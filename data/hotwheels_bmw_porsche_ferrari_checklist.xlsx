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f61e8b08cf4aa5" /></Relationships>
</file>

<file path=xl/workbook.xml><?xml version="1.0" encoding="utf-8"?>
<x:workbook xmlns:x="http://schemas.openxmlformats.org/spreadsheetml/2006/main">
  <x:sheets>
    <x:sheet xmlns:r="http://schemas.openxmlformats.org/officeDocument/2006/relationships" name="Painel" sheetId="1" r:id="R06f4e946d43b4813"/>
    <x:sheet xmlns:r="http://schemas.openxmlformats.org/officeDocument/2006/relationships" name="BMW" sheetId="2" r:id="Rae926716179044c4"/>
    <x:sheet xmlns:r="http://schemas.openxmlformats.org/officeDocument/2006/relationships" name="Porsche" sheetId="3" r:id="Raadd9c8effc6476b"/>
    <x:sheet xmlns:r="http://schemas.openxmlformats.org/officeDocument/2006/relationships" name="Ferrari" sheetId="4" r:id="R039e4db50eb147c3"/>
    <x:sheet xmlns:r="http://schemas.openxmlformats.org/officeDocument/2006/relationships" name="Outras linhas" sheetId="5" r:id="Ra3f2b1dd61184d97"/>
    <x:sheet xmlns:r="http://schemas.openxmlformats.org/officeDocument/2006/relationships" name="Castings" sheetId="6" r:id="R6f63307b13414a82"/>
    <x:sheet xmlns:r="http://schemas.openxmlformats.org/officeDocument/2006/relationships" name="Guia" sheetId="7" r:id="R29d526b0b9084ac2"/>
    <x:sheet xmlns:r="http://schemas.openxmlformats.org/officeDocument/2006/relationships" name="Fontes" sheetId="8" r:id="Rc9b0092d5245461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
    <x:numFmt numFmtId="202" formatCode="0.0%"/>
  </x:numFmts>
  <x:fonts count="26">
    <x:font>
      <x:sz val="11"/>
      <x:name val="Carlito"/>
    </x:font>
    <x:font>
      <x:b/>
      <x:sz val="18"/>
      <x:color rgb="FFFFFFFF"/>
      <x:name val="Carlito"/>
    </x:font>
    <x:font>
      <x:i/>
      <x:sz val="10"/>
      <x:color rgb="FFFFFFFF"/>
      <x:name val="Carlito"/>
    </x:font>
    <x:font>
      <x:b/>
      <x:sz val="9"/>
      <x:color rgb="FFFFFFFF"/>
      <x:name val="Carlito"/>
    </x:font>
    <x:font>
      <x:sz val="9"/>
      <x:color rgb="FF1D2A35"/>
      <x:name val="Carlito"/>
    </x:font>
    <x:font>
      <x:b/>
      <x:sz val="20"/>
      <x:color rgb="FFFFFFFF"/>
      <x:name val="Carlito"/>
    </x:font>
    <x:font>
      <x:i/>
      <x:sz val="11"/>
      <x:color rgb="FFFFFFFF"/>
      <x:name val="Carlito"/>
    </x:font>
    <x:font>
      <x:b/>
      <x:sz val="11"/>
      <x:color rgb="FF6A4A00"/>
      <x:name val="Carlito"/>
    </x:font>
    <x:font>
      <x:b/>
      <x:sz val="11"/>
      <x:color rgb="FFFFFFFF"/>
      <x:name val="Carlito"/>
    </x:font>
    <x:font>
      <x:b/>
      <x:sz val="11"/>
      <x:color rgb="FF0B1F33"/>
      <x:name val="Carlito"/>
    </x:font>
    <x:font>
      <x:b/>
      <x:sz val="11"/>
      <x:name val="Carlito"/>
    </x:font>
    <x:font>
      <x:b/>
      <x:sz val="20"/>
      <x:color rgb="FFFFFFFF"/>
      <x:name val="Aptos"/>
    </x:font>
    <x:font>
      <x:i/>
      <x:sz val="11"/>
      <x:color rgb="FFFFFFFF"/>
      <x:name val="Aptos"/>
    </x:font>
    <x:font>
      <x:b/>
      <x:sz val="11"/>
      <x:color rgb="FF6A4A00"/>
      <x:name val="Aptos"/>
    </x:font>
    <x:font>
      <x:sz val="11"/>
      <x:name val="Aptos"/>
    </x:font>
    <x:font>
      <x:b/>
      <x:sz val="11"/>
      <x:color rgb="FFFFFFFF"/>
      <x:name val="Aptos"/>
    </x:font>
    <x:font>
      <x:b/>
      <x:sz val="11"/>
      <x:name val="Aptos"/>
    </x:font>
    <x:font>
      <x:b/>
      <x:sz val="11"/>
      <x:color rgb="FF0B1F33"/>
      <x:name val="Aptos"/>
    </x:font>
    <x:font>
      <x:i/>
      <x:sz val="11"/>
      <x:color rgb="FF0B1F33"/>
      <x:name val="Carlito"/>
    </x:font>
    <x:font>
      <x:sz val="9"/>
      <x:name val="Carlito"/>
    </x:font>
    <x:font>
      <x:b/>
      <x:sz val="18"/>
      <x:color rgb="FFFFFFFF"/>
      <x:name val="Aptos"/>
    </x:font>
    <x:font>
      <x:i/>
      <x:sz val="10"/>
      <x:color rgb="FFFFFFFF"/>
      <x:name val="Aptos"/>
    </x:font>
    <x:font>
      <x:b/>
      <x:sz val="9"/>
      <x:color rgb="FFFFFFFF"/>
      <x:name val="Aptos"/>
    </x:font>
    <x:font>
      <x:sz val="9"/>
      <x:color rgb="FF1D2A35"/>
      <x:name val="Aptos"/>
    </x:font>
    <x:font>
      <x:i/>
      <x:sz val="11"/>
      <x:color rgb="FF0B1F33"/>
      <x:name val="Aptos"/>
    </x:font>
    <x:font>
      <x:sz val="9"/>
      <x:name val="Aptos"/>
    </x:font>
  </x:fonts>
  <x:fills count="11">
    <x:fill>
      <x:patternFill patternType="none"/>
    </x:fill>
    <x:fill>
      <x:patternFill patternType="gray125"/>
    </x:fill>
    <x:fill>
      <x:patternFill patternType="solid">
        <x:fgColor rgb="FF0B1F33"/>
      </x:patternFill>
    </x:fill>
    <x:fill>
      <x:patternFill patternType="solid">
        <x:fgColor rgb="FF0066B1"/>
      </x:patternFill>
    </x:fill>
    <x:fill>
      <x:patternFill patternType="solid">
        <x:fgColor rgb="FF16324F"/>
      </x:patternFill>
    </x:fill>
    <x:fill>
      <x:patternFill patternType="solid">
        <x:fgColor rgb="FFC99200"/>
      </x:patternFill>
    </x:fill>
    <x:fill>
      <x:patternFill patternType="solid">
        <x:fgColor rgb="FFD71920"/>
      </x:patternFill>
    </x:fill>
    <x:fill>
      <x:patternFill patternType="solid">
        <x:fgColor rgb="FF617180"/>
      </x:patternFill>
    </x:fill>
    <x:fill>
      <x:patternFill patternType="solid">
        <x:fgColor rgb="FFFFF0C7"/>
      </x:patternFill>
    </x:fill>
    <x:fill>
      <x:patternFill patternType="solid">
        <x:fgColor rgb="FFDCEEFF"/>
      </x:patternFill>
    </x:fill>
    <x:fill>
      <x:patternFill patternType="solid">
        <x:fgColor rgb="FFF3F6F8"/>
      </x:patternFill>
    </x:fill>
  </x:fills>
  <x:borders count="2">
    <x:border/>
    <x:border>
      <x:left style="thin">
        <x:color rgb="FFD6DEE5"/>
      </x:left>
      <x:right style="thin">
        <x:color rgb="FFD6DEE5"/>
      </x:right>
      <x:top style="thin">
        <x:color rgb="FFD6DEE5"/>
      </x:top>
      <x:bottom style="thin">
        <x:color rgb="FFD6DEE5"/>
      </x:bottom>
    </x:border>
  </x:borders>
  <x:cellStyleXfs count="1">
    <x:xf numFmtId="0" fontId="0" fillId="0" borderId="0"/>
  </x:cellStyleXfs>
  <x:cellXfs count="9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0"/>
    </x:xf>
    <x:xf numFmtId="0" fontId="4" fillId="0" borderId="0" xfId="0" applyNumberFormat="1" applyFont="1" applyFill="1" applyBorder="1" applyAlignment="1">
      <x:alignment vertical="top" wrapText="0"/>
    </x:xf>
    <x:xf numFmtId="200" fontId="4" fillId="0" borderId="0" xfId="0" applyNumberFormat="1" applyFont="1" applyFill="1" applyBorder="1" applyAlignment="1">
      <x:alignment vertical="top" wrapText="0"/>
    </x:xf>
    <x:xf numFmtId="201" fontId="4" fillId="0" borderId="0" xfId="0" applyNumberFormat="1" applyFont="1" applyFill="1" applyBorder="1" applyAlignment="1">
      <x:alignment vertical="top" wrapText="0"/>
    </x:xf>
    <x:xf numFmtId="0" fontId="4" fillId="0"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4" borderId="0" xfId="0" applyNumberFormat="1" applyFont="1" applyFill="1" applyBorder="1"/>
    <x:xf numFmtId="0" fontId="6" fillId="4" borderId="0" xfId="0" applyNumberFormat="1" applyFont="1" applyFill="1" applyBorder="1" applyAlignment="1">
      <x:alignment vertical="center"/>
    </x:xf>
    <x:xf numFmtId="0" fontId="0" fillId="8" borderId="0" xfId="0" applyNumberFormat="1" applyFont="1" applyFill="1" applyBorder="1"/>
    <x:xf numFmtId="0" fontId="7" fillId="8"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0" fillId="9" borderId="0" xfId="0" applyNumberFormat="1" applyFont="1" applyFill="1" applyBorder="1"/>
    <x:xf numFmtId="0" fontId="9" fillId="9" borderId="0" xfId="0" applyNumberFormat="1" applyFont="1" applyFill="1" applyBorder="1"/>
    <x:xf numFmtId="202" fontId="0" fillId="0" borderId="0" xfId="0" applyNumberFormat="1" applyFont="1" applyFill="1" applyBorder="1"/>
    <x:xf numFmtId="202" fontId="9" fillId="9" borderId="0" xfId="0" applyNumberFormat="1" applyFont="1" applyFill="1" applyBorder="1"/>
    <x:xf numFmtId="0" fontId="10" fillId="0" borderId="0" xfId="0" applyNumberFormat="1" applyFont="1" applyFill="1" applyBorder="1"/>
    <x:xf numFmtId="0" fontId="10" fillId="0" borderId="1" xfId="0" applyNumberFormat="1" applyFont="1" applyFill="1" applyBorder="1"/>
    <x:xf numFmtId="0" fontId="0" fillId="0" borderId="1" xfId="0" applyNumberFormat="1" applyFont="1" applyFill="1" applyBorder="1"/>
    <x:xf numFmtId="202" fontId="0" fillId="0" borderId="1" xfId="0" applyNumberFormat="1" applyFont="1" applyFill="1" applyBorder="1"/>
    <x:xf numFmtId="0" fontId="9" fillId="9" borderId="1" xfId="0" applyNumberFormat="1" applyFont="1" applyFill="1" applyBorder="1"/>
    <x:xf numFmtId="202" fontId="9" fillId="9" borderId="1" xfId="0" applyNumberFormat="1" applyFont="1" applyFill="1" applyBorder="1"/>
    <x:xf numFmtId="0" fontId="0"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8" fillId="4" borderId="1" xfId="0" applyNumberFormat="1" applyFont="1" applyFill="1" applyBorder="1"/>
    <x:xf numFmtId="0" fontId="0" fillId="0" borderId="1" xfId="0" applyNumberFormat="1" applyFont="1" applyFill="1" applyBorder="1" applyAlignment="1">
      <x:alignment vertical="top" wrapText="1"/>
    </x:xf>
    <x:xf numFmtId="0" fontId="11" fillId="2" borderId="0" xfId="0" applyNumberFormat="1" applyFont="1" applyFill="1" applyBorder="1" applyAlignment="1">
      <x:alignment vertical="center"/>
    </x:xf>
    <x:xf numFmtId="0" fontId="12" fillId="4" borderId="0" xfId="0" applyNumberFormat="1" applyFont="1" applyFill="1" applyBorder="1" applyAlignment="1">
      <x:alignment vertical="center"/>
    </x:xf>
    <x:xf numFmtId="0" fontId="13" fillId="8" borderId="0" xfId="0" applyNumberFormat="1" applyFont="1" applyFill="1" applyBorder="1"/>
    <x:xf numFmtId="0" fontId="14" fillId="0" borderId="0" xfId="0" applyNumberFormat="1" applyFont="1" applyFill="1" applyBorder="1"/>
    <x:xf numFmtId="0" fontId="15" fillId="4" borderId="0" xfId="0" applyNumberFormat="1" applyFont="1" applyFill="1" applyBorder="1" applyAlignment="1">
      <x:alignment horizontal="center" wrapText="1"/>
    </x:xf>
    <x:xf numFmtId="0" fontId="16" fillId="0" borderId="1" xfId="0" applyNumberFormat="1" applyFont="1" applyFill="1" applyBorder="1"/>
    <x:xf numFmtId="0" fontId="14" fillId="0" borderId="1" xfId="0" applyNumberFormat="1" applyFont="1" applyFill="1" applyBorder="1"/>
    <x:xf numFmtId="202" fontId="14" fillId="0" borderId="1" xfId="0" applyNumberFormat="1" applyFont="1" applyFill="1" applyBorder="1"/>
    <x:xf numFmtId="0" fontId="17" fillId="9" borderId="1" xfId="0" applyNumberFormat="1" applyFont="1" applyFill="1" applyBorder="1"/>
    <x:xf numFmtId="202" fontId="17" fillId="9" borderId="1" xfId="0" applyNumberFormat="1" applyFont="1" applyFill="1" applyBorder="1"/>
    <x:xf numFmtId="0" fontId="15" fillId="4" borderId="0" xfId="0" applyNumberFormat="1" applyFont="1" applyFill="1" applyBorder="1"/>
    <x:xf numFmtId="0" fontId="15" fillId="4" borderId="0" xfId="0" applyNumberFormat="1" applyFont="1" applyFill="1" applyBorder="1" applyAlignment="1">
      <x:alignment wrapText="1"/>
    </x:xf>
    <x:xf numFmtId="0" fontId="14" fillId="0" borderId="1" xfId="0" applyNumberFormat="1" applyFont="1" applyFill="1" applyBorder="1" applyAlignment="1">
      <x:alignment wrapText="1"/>
    </x:xf>
    <x:xf numFmtId="0" fontId="15" fillId="4" borderId="1" xfId="0" applyNumberFormat="1" applyFont="1" applyFill="1" applyBorder="1"/>
    <x:xf numFmtId="0" fontId="14" fillId="0" borderId="1" xfId="0" applyNumberFormat="1" applyFont="1" applyFill="1" applyBorder="1" applyAlignment="1">
      <x:alignment vertical="top" wrapText="1"/>
    </x:xf>
    <x:xf numFmtId="0" fontId="18" fillId="9" borderId="0" xfId="0" applyNumberFormat="1" applyFont="1" applyFill="1" applyBorder="1"/>
    <x:xf numFmtId="0" fontId="19" fillId="0" borderId="0" xfId="0" applyNumberFormat="1" applyFont="1" applyFill="1" applyBorder="1"/>
    <x:xf numFmtId="0" fontId="19" fillId="0" borderId="0" xfId="0" applyNumberFormat="1" applyFont="1" applyFill="1" applyBorder="1" applyAlignment="1">
      <x:alignment vertical="top"/>
    </x:xf>
    <x:xf numFmtId="0" fontId="19" fillId="0" borderId="0" xfId="0" applyNumberFormat="1" applyFont="1" applyFill="1" applyBorder="1" applyAlignment="1">
      <x:alignment vertical="top" wrapText="1"/>
    </x:xf>
    <x:xf numFmtId="0" fontId="0" fillId="10" borderId="1" xfId="0" applyNumberFormat="1" applyFont="1" applyFill="1" applyBorder="1"/>
    <x:xf numFmtId="0" fontId="9" fillId="10" borderId="1" xfId="0" applyNumberFormat="1" applyFont="1" applyFill="1" applyBorder="1"/>
    <x:xf numFmtId="0" fontId="9" fillId="10" borderId="1" xfId="0" applyNumberFormat="1" applyFont="1" applyFill="1" applyBorder="1" applyAlignment="1">
      <x:alignment vertical="top"/>
    </x:xf>
    <x:xf numFmtId="0" fontId="20" fillId="2" borderId="0" xfId="0" applyNumberFormat="1" applyFont="1" applyFill="1" applyBorder="1" applyAlignment="1">
      <x:alignment vertical="center"/>
    </x:xf>
    <x:xf numFmtId="0" fontId="21" fillId="3" borderId="0" xfId="0" applyNumberFormat="1" applyFont="1" applyFill="1" applyBorder="1" applyAlignment="1">
      <x:alignment vertical="center" wrapText="1"/>
    </x:xf>
    <x:xf numFmtId="0" fontId="22" fillId="4" borderId="0" xfId="0" applyNumberFormat="1" applyFont="1" applyFill="1" applyBorder="1" applyAlignment="1">
      <x:alignment horizontal="center" vertical="center" wrapText="1"/>
    </x:xf>
    <x:xf numFmtId="0" fontId="23" fillId="0" borderId="0" xfId="0" applyNumberFormat="1" applyFont="1" applyFill="1" applyBorder="1" applyAlignment="1">
      <x:alignment vertical="top" wrapText="0"/>
    </x:xf>
    <x:xf numFmtId="200" fontId="23" fillId="0" borderId="0" xfId="0" applyNumberFormat="1" applyFont="1" applyFill="1" applyBorder="1" applyAlignment="1">
      <x:alignment vertical="top" wrapText="0"/>
    </x:xf>
    <x:xf numFmtId="0" fontId="23" fillId="0" borderId="0" xfId="0" applyNumberFormat="1" applyFont="1" applyFill="1" applyBorder="1" applyAlignment="1">
      <x:alignment vertical="top" wrapText="1"/>
    </x:xf>
    <x:xf numFmtId="201" fontId="23" fillId="0" borderId="0" xfId="0" applyNumberFormat="1" applyFont="1" applyFill="1" applyBorder="1" applyAlignment="1">
      <x:alignment vertical="top" wrapText="0"/>
    </x:xf>
    <x:xf numFmtId="0" fontId="21" fillId="5" borderId="0" xfId="0" applyNumberFormat="1" applyFont="1" applyFill="1" applyBorder="1" applyAlignment="1">
      <x:alignment vertical="center" wrapText="1"/>
    </x:xf>
    <x:xf numFmtId="0" fontId="21" fillId="6" borderId="0" xfId="0" applyNumberFormat="1" applyFont="1" applyFill="1" applyBorder="1" applyAlignment="1">
      <x:alignment vertical="center" wrapText="1"/>
    </x:xf>
    <x:xf numFmtId="0" fontId="21" fillId="7" borderId="0" xfId="0" applyNumberFormat="1" applyFont="1" applyFill="1" applyBorder="1" applyAlignment="1">
      <x:alignment vertical="center" wrapText="1"/>
    </x:xf>
    <x:xf numFmtId="0" fontId="24" fillId="9" borderId="0" xfId="0" applyNumberFormat="1" applyFont="1" applyFill="1" applyBorder="1"/>
    <x:xf numFmtId="0" fontId="25" fillId="0" borderId="0" xfId="0" applyNumberFormat="1" applyFont="1" applyFill="1" applyBorder="1" applyAlignment="1">
      <x:alignment vertical="top"/>
    </x:xf>
    <x:xf numFmtId="0" fontId="25" fillId="0" borderId="0" xfId="0" applyNumberFormat="1" applyFont="1" applyFill="1" applyBorder="1" applyAlignment="1">
      <x:alignment vertical="top" wrapText="1"/>
    </x:xf>
    <x:xf numFmtId="0" fontId="17" fillId="10" borderId="1" xfId="0" applyNumberFormat="1" applyFont="1" applyFill="1" applyBorder="1" applyAlignment="1">
      <x:alignment vertical="top"/>
    </x:xf>
    <x:xf numFmtId="0" fontId="14" fillId="0" borderId="0" xfId="0" applyNumberFormat="1" applyFont="1" applyFill="1" applyBorder="1" applyAlignment="1">
      <x:alignment vertical="top" wrapText="1"/>
    </x:xf>
  </x:cellXfs>
  <x:cellStyles count="1">
    <x:cellStyle name="Normal" xfId="0"/>
  </x:cellStyles>
  <x:dxfs count="16">
    <x:dxf>
      <x:font>
        <x:b/>
        <x:color rgb="FF14804A"/>
      </x:font>
      <x:fill>
        <x:patternFill patternType="solid">
          <x:bgColor rgb="FFDDF3E7"/>
        </x:patternFill>
      </x:fill>
    </x:dxf>
    <x:dxf>
      <x:font>
        <x:b/>
        <x:color rgb="FF0066B1"/>
      </x:font>
      <x:fill>
        <x:patternFill patternType="solid">
          <x:bgColor rgb="FFDCEEFF"/>
        </x:patternFill>
      </x:fill>
    </x:dxf>
    <x:dxf>
      <x:font>
        <x:b/>
        <x:color rgb="FF805900"/>
      </x:font>
      <x:fill>
        <x:patternFill patternType="solid">
          <x:bgColor rgb="FFFFF0C7"/>
        </x:patternFill>
      </x:fill>
    </x:dxf>
    <x:dxf>
      <x:font>
        <x:color rgb="FF805900"/>
      </x:font>
      <x:fill>
        <x:patternFill patternType="solid">
          <x:bgColor rgb="FFFFF0C7"/>
        </x:patternFill>
      </x:fill>
    </x:dxf>
    <x:dxf>
      <x:font>
        <x:b/>
        <x:color rgb="FF14804A"/>
      </x:font>
      <x:fill>
        <x:patternFill patternType="solid">
          <x:bgColor rgb="FFDDF3E7"/>
        </x:patternFill>
      </x:fill>
    </x:dxf>
    <x:dxf>
      <x:font>
        <x:b/>
        <x:color rgb="FF0066B1"/>
      </x:font>
      <x:fill>
        <x:patternFill patternType="solid">
          <x:bgColor rgb="FFDCEEFF"/>
        </x:patternFill>
      </x:fill>
    </x:dxf>
    <x:dxf>
      <x:font>
        <x:b/>
        <x:color rgb="FF805900"/>
      </x:font>
      <x:fill>
        <x:patternFill patternType="solid">
          <x:bgColor rgb="FFFFF0C7"/>
        </x:patternFill>
      </x:fill>
    </x:dxf>
    <x:dxf>
      <x:font>
        <x:color rgb="FF805900"/>
      </x:font>
      <x:fill>
        <x:patternFill patternType="solid">
          <x:bgColor rgb="FFFFF0C7"/>
        </x:patternFill>
      </x:fill>
    </x:dxf>
    <x:dxf>
      <x:font>
        <x:b/>
        <x:color rgb="FF14804A"/>
      </x:font>
      <x:fill>
        <x:patternFill patternType="solid">
          <x:bgColor rgb="FFDDF3E7"/>
        </x:patternFill>
      </x:fill>
    </x:dxf>
    <x:dxf>
      <x:font>
        <x:b/>
        <x:color rgb="FF0066B1"/>
      </x:font>
      <x:fill>
        <x:patternFill patternType="solid">
          <x:bgColor rgb="FFDCEEFF"/>
        </x:patternFill>
      </x:fill>
    </x:dxf>
    <x:dxf>
      <x:font>
        <x:b/>
        <x:color rgb="FF805900"/>
      </x:font>
      <x:fill>
        <x:patternFill patternType="solid">
          <x:bgColor rgb="FFFFF0C7"/>
        </x:patternFill>
      </x:fill>
    </x:dxf>
    <x:dxf>
      <x:font>
        <x:color rgb="FF805900"/>
      </x:font>
      <x:fill>
        <x:patternFill patternType="solid">
          <x:bgColor rgb="FFFFF0C7"/>
        </x:patternFill>
      </x:fill>
    </x:dxf>
    <x:dxf>
      <x:font>
        <x:b/>
        <x:color rgb="FF14804A"/>
      </x:font>
      <x:fill>
        <x:patternFill patternType="solid">
          <x:bgColor rgb="FFDDF3E7"/>
        </x:patternFill>
      </x:fill>
    </x:dxf>
    <x:dxf>
      <x:font>
        <x:b/>
        <x:color rgb="FF0066B1"/>
      </x:font>
      <x:fill>
        <x:patternFill patternType="solid">
          <x:bgColor rgb="FFDCEEFF"/>
        </x:patternFill>
      </x:fill>
    </x:dxf>
    <x:dxf>
      <x:font>
        <x:b/>
        <x:color rgb="FF805900"/>
      </x:font>
      <x:fill>
        <x:patternFill patternType="solid">
          <x:bgColor rgb="FFFFF0C7"/>
        </x:patternFill>
      </x:fill>
    </x:dxf>
    <x:dxf>
      <x:font>
        <x:color rgb="FF805900"/>
      </x:font>
      <x:fill>
        <x:patternFill patternType="solid">
          <x:bgColor rgb="FFFFF0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f556dc667f408e" /><Relationship Type="http://schemas.openxmlformats.org/officeDocument/2006/relationships/theme" Target="/xl/theme/theme1.xml" Id="Rfea202b144f44342" /><Relationship Type="http://schemas.openxmlformats.org/officeDocument/2006/relationships/sharedStrings" Target="/xl/sharedStrings.xml" Id="Rd70db04db67b4d86" /><Relationship Type="http://schemas.openxmlformats.org/officeDocument/2006/relationships/worksheet" Target="/xl/worksheets/sheet1.xml" Id="R06f4e946d43b4813" /><Relationship Type="http://schemas.openxmlformats.org/officeDocument/2006/relationships/worksheet" Target="/xl/worksheets/sheet2.xml" Id="Rae926716179044c4" /><Relationship Type="http://schemas.openxmlformats.org/officeDocument/2006/relationships/worksheet" Target="/xl/worksheets/sheet3.xml" Id="Raadd9c8effc6476b" /><Relationship Type="http://schemas.openxmlformats.org/officeDocument/2006/relationships/worksheet" Target="/xl/worksheets/sheet4.xml" Id="R039e4db50eb147c3" /><Relationship Type="http://schemas.openxmlformats.org/officeDocument/2006/relationships/worksheet" Target="/xl/worksheets/sheet5.xml" Id="Ra3f2b1dd61184d97" /><Relationship Type="http://schemas.openxmlformats.org/officeDocument/2006/relationships/worksheet" Target="/xl/worksheets/sheet6.xml" Id="R6f63307b13414a82" /><Relationship Type="http://schemas.openxmlformats.org/officeDocument/2006/relationships/worksheet" Target="/xl/worksheets/sheet7.xml" Id="R29d526b0b9084ac2" /><Relationship Type="http://schemas.openxmlformats.org/officeDocument/2006/relationships/worksheet" Target="/xl/worksheets/sheet8.xml" Id="Rc9b0092d5245461c" /></Relationships>
</file>

<file path=xl/tables/table1.xml><?xml version="1.0" encoding="utf-8"?>
<x:table xmlns:x="http://schemas.openxmlformats.org/spreadsheetml/2006/main" id="1" name="TabelaBMW" displayName="TabelaBMW" ref="A4:X273" headerRowCount="1" totalsRowCount="0" totalsRowShown="0">
  <x:autoFilter ref="A4:X273"/>
  <x:tableColumns count="24">
    <x:tableColumn id="1" name="Tenho?"/>
    <x:tableColumn id="2" name="Prioridade"/>
    <x:tableColumn id="3" name="Ano"/>
    <x:tableColumn id="4" name="Casting"/>
    <x:tableColumn id="5" name="Modelo na embalagem"/>
    <x:tableColumn id="6" name="Linha / série"/>
    <x:tableColumn id="7" name="Nº série"/>
    <x:tableColumn id="8" name="Nº coleção"/>
    <x:tableColumn id="9" name="Toy # / SKU"/>
    <x:tableColumn id="10" name="Cor"/>
    <x:tableColumn id="11" name="Tampo / decoração"/>
    <x:tableColumn id="12" name="Rodas"/>
    <x:tableColumn id="13" name="Base"/>
    <x:tableColumn id="14" name="Vidros"/>
    <x:tableColumn id="15" name="Interior"/>
    <x:tableColumn id="16" name="País"/>
    <x:tableColumn id="17" name="Exclusividade / variação"/>
    <x:tableColumn id="18" name="Tipo"/>
    <x:tableColumn id="19" name="Raridade estimada"/>
    <x:tableColumn id="20" name="Situação do lançamento"/>
    <x:tableColumn id="21" name="Notas"/>
    <x:tableColumn id="22" name="Escopo / escala"/>
    <x:tableColumn id="23" name="Fonte da versão"/>
    <x:tableColumn id="24" name="Página do casting"/>
  </x:tableColumns>
  <x:tableStyleInfo name="TableStyleMedium2" showFirstColumn="0" showLastColumn="0" showRowStripes="1" showColumnStripes="0"/>
</x:table>
</file>

<file path=xl/tables/table2.xml><?xml version="1.0" encoding="utf-8"?>
<x:table xmlns:x="http://schemas.openxmlformats.org/spreadsheetml/2006/main" id="2" name="TabelaPorsche" displayName="TabelaPorsche" ref="A4:X823" headerRowCount="1" totalsRowCount="0" totalsRowShown="0">
  <x:autoFilter ref="A4:X823"/>
  <x:tableColumns count="24">
    <x:tableColumn id="1" name="Tenho?"/>
    <x:tableColumn id="2" name="Prioridade"/>
    <x:tableColumn id="3" name="Ano"/>
    <x:tableColumn id="4" name="Casting"/>
    <x:tableColumn id="5" name="Modelo na embalagem"/>
    <x:tableColumn id="6" name="Linha / série"/>
    <x:tableColumn id="7" name="Nº série"/>
    <x:tableColumn id="8" name="Nº coleção"/>
    <x:tableColumn id="9" name="Toy # / SKU"/>
    <x:tableColumn id="10" name="Cor"/>
    <x:tableColumn id="11" name="Tampo / decoração"/>
    <x:tableColumn id="12" name="Rodas"/>
    <x:tableColumn id="13" name="Base"/>
    <x:tableColumn id="14" name="Vidros"/>
    <x:tableColumn id="15" name="Interior"/>
    <x:tableColumn id="16" name="País"/>
    <x:tableColumn id="17" name="Exclusividade / variação"/>
    <x:tableColumn id="18" name="Tipo"/>
    <x:tableColumn id="19" name="Raridade estimada"/>
    <x:tableColumn id="20" name="Situação do lançamento"/>
    <x:tableColumn id="21" name="Notas"/>
    <x:tableColumn id="22" name="Escopo / escala"/>
    <x:tableColumn id="23" name="Fonte da versão"/>
    <x:tableColumn id="24" name="Página do casting"/>
  </x:tableColumns>
  <x:tableStyleInfo name="TableStyleMedium2" showFirstColumn="0" showLastColumn="0" showRowStripes="1" showColumnStripes="0"/>
</x:table>
</file>

<file path=xl/tables/table3.xml><?xml version="1.0" encoding="utf-8"?>
<x:table xmlns:x="http://schemas.openxmlformats.org/spreadsheetml/2006/main" id="3" name="TabelaFerrari" displayName="TabelaFerrari" ref="A4:X721" headerRowCount="1" totalsRowCount="0" totalsRowShown="0">
  <x:autoFilter ref="A4:X721"/>
  <x:tableColumns count="24">
    <x:tableColumn id="1" name="Tenho?"/>
    <x:tableColumn id="2" name="Prioridade"/>
    <x:tableColumn id="3" name="Ano"/>
    <x:tableColumn id="4" name="Casting"/>
    <x:tableColumn id="5" name="Modelo na embalagem"/>
    <x:tableColumn id="6" name="Linha / série"/>
    <x:tableColumn id="7" name="Nº série"/>
    <x:tableColumn id="8" name="Nº coleção"/>
    <x:tableColumn id="9" name="Toy # / SKU"/>
    <x:tableColumn id="10" name="Cor"/>
    <x:tableColumn id="11" name="Tampo / decoração"/>
    <x:tableColumn id="12" name="Rodas"/>
    <x:tableColumn id="13" name="Base"/>
    <x:tableColumn id="14" name="Vidros"/>
    <x:tableColumn id="15" name="Interior"/>
    <x:tableColumn id="16" name="País"/>
    <x:tableColumn id="17" name="Exclusividade / variação"/>
    <x:tableColumn id="18" name="Tipo"/>
    <x:tableColumn id="19" name="Raridade estimada"/>
    <x:tableColumn id="20" name="Situação do lançamento"/>
    <x:tableColumn id="21" name="Notas"/>
    <x:tableColumn id="22" name="Escopo / escala"/>
    <x:tableColumn id="23" name="Fonte da versão"/>
    <x:tableColumn id="24" name="Página do casting"/>
  </x:tableColumns>
  <x:tableStyleInfo name="TableStyleMedium2" showFirstColumn="0" showLastColumn="0" showRowStripes="1" showColumnStripes="0"/>
</x:table>
</file>

<file path=xl/tables/table4.xml><?xml version="1.0" encoding="utf-8"?>
<x:table xmlns:x="http://schemas.openxmlformats.org/spreadsheetml/2006/main" id="4" name="TabelaOutrasLinhas" displayName="TabelaOutrasLinhas" ref="A4:X247" headerRowCount="1" totalsRowCount="0" totalsRowShown="0">
  <x:autoFilter ref="A4:X247"/>
  <x:tableColumns count="24">
    <x:tableColumn id="1" name="Tenho?"/>
    <x:tableColumn id="2" name="Prioridade"/>
    <x:tableColumn id="3" name="Ano"/>
    <x:tableColumn id="4" name="Casting"/>
    <x:tableColumn id="5" name="Modelo na embalagem"/>
    <x:tableColumn id="6" name="Linha / série"/>
    <x:tableColumn id="7" name="Nº série"/>
    <x:tableColumn id="8" name="Nº coleção"/>
    <x:tableColumn id="9" name="Toy # / SKU"/>
    <x:tableColumn id="10" name="Cor"/>
    <x:tableColumn id="11" name="Tampo / decoração"/>
    <x:tableColumn id="12" name="Rodas"/>
    <x:tableColumn id="13" name="Base"/>
    <x:tableColumn id="14" name="Vidros"/>
    <x:tableColumn id="15" name="Interior"/>
    <x:tableColumn id="16" name="País"/>
    <x:tableColumn id="17" name="Exclusividade / variação"/>
    <x:tableColumn id="18" name="Tipo"/>
    <x:tableColumn id="19" name="Raridade estimada"/>
    <x:tableColumn id="20" name="Situação do lançamento"/>
    <x:tableColumn id="21" name="Notas"/>
    <x:tableColumn id="22" name="Escopo / escala"/>
    <x:tableColumn id="23" name="Fonte da versão"/>
    <x:tableColumn id="24" name="Página do casting"/>
  </x:tableColumns>
  <x:tableStyleInfo name="TableStyleMedium2" showFirstColumn="0" showLastColumn="0" showRowStripes="1" showColumnStripes="0"/>
</x:table>
</file>

<file path=xl/tables/table5.xml><?xml version="1.0" encoding="utf-8"?>
<x:table xmlns:x="http://schemas.openxmlformats.org/spreadsheetml/2006/main" id="5" name="TabelaCastings" displayName="TabelaCastings" ref="A4:J264" headerRowCount="1" totalsRowCount="0" totalsRowShown="0">
  <x:tableColumns count="10">
    <x:tableColumn id="1" name="Marca"/>
    <x:tableColumn id="2" name="Casting"/>
    <x:tableColumn id="3" name="Escopo"/>
    <x:tableColumn id="4" name="1º ano"/>
    <x:tableColumn id="5" name="Último ano"/>
    <x:tableColumn id="6" name="Versões"/>
    <x:tableColumn id="7" name="Principais"/>
    <x:tableColumn id="8" name="Paralelas"/>
    <x:tableColumn id="9" name="Prioridade típica"/>
    <x:tableColumn id="10" name="Página"/>
  </x:tableColumns>
  <x:tableStyleInfo name="TableStyleMedium2" showFirstColumn="0" showLastColumn="0" showRowStripes="1" showColumnStripes="0"/>
</x:table>
</file>

<file path=xl/tables/table6.xml><?xml version="1.0" encoding="utf-8"?>
<x:table xmlns:x="http://schemas.openxmlformats.org/spreadsheetml/2006/main" id="6" name="TabelaFontes" displayName="TabelaFontes" ref="A3:C13" headerRowCount="1" totalsRowCount="0" totalsRowShown="0">
  <x:tableColumns count="3">
    <x:tableColumn id="1" name="Fonte"/>
    <x:tableColumn id="2" name="Uso na pesquisa"/>
    <x:tableColumn id="3"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79c7e2fba642bb" /></Relationships>
</file>

<file path=xl/worksheets/_rels/sheet3.xml.rels>&#65279;<?xml version="1.0" encoding="utf-8"?><Relationships xmlns="http://schemas.openxmlformats.org/package/2006/relationships"><Relationship Type="http://schemas.openxmlformats.org/officeDocument/2006/relationships/table" Target="/xl/tables/table2.xml" Id="R4323a2517b434806" /></Relationships>
</file>

<file path=xl/worksheets/_rels/sheet4.xml.rels>&#65279;<?xml version="1.0" encoding="utf-8"?><Relationships xmlns="http://schemas.openxmlformats.org/package/2006/relationships"><Relationship Type="http://schemas.openxmlformats.org/officeDocument/2006/relationships/table" Target="/xl/tables/table3.xml" Id="R03621fb326aa4087" /></Relationships>
</file>

<file path=xl/worksheets/_rels/sheet5.xml.rels>&#65279;<?xml version="1.0" encoding="utf-8"?><Relationships xmlns="http://schemas.openxmlformats.org/package/2006/relationships"><Relationship Type="http://schemas.openxmlformats.org/officeDocument/2006/relationships/table" Target="/xl/tables/table4.xml" Id="R0e1af9f5c71c48de" /></Relationships>
</file>

<file path=xl/worksheets/_rels/sheet6.xml.rels>&#65279;<?xml version="1.0" encoding="utf-8"?><Relationships xmlns="http://schemas.openxmlformats.org/package/2006/relationships"><Relationship Type="http://schemas.openxmlformats.org/officeDocument/2006/relationships/table" Target="/xl/tables/table5.xml" Id="R861483e802294973" /></Relationships>
</file>

<file path=xl/worksheets/_rels/sheet8.xml.rels>&#65279;<?xml version="1.0" encoding="utf-8"?><Relationships xmlns="http://schemas.openxmlformats.org/package/2006/relationships"><Relationship Type="http://schemas.openxmlformats.org/officeDocument/2006/relationships/table" Target="/xl/tables/table6.xml" Id="R431a435e3cdc422f"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24" hidden="0" customWidth="1"/>
    <x:col min="3" max="3" width="18" hidden="0" customWidth="1"/>
    <x:col min="4" max="4" width="18" hidden="0" customWidth="1"/>
    <x:col min="5" max="5" width="18" hidden="0" customWidth="1"/>
    <x:col min="6" max="6" width="15" hidden="0" customWidth="1"/>
    <x:col min="7" max="7" width="24" hidden="0" customWidth="1"/>
    <x:col min="8" max="8" width="16" hidden="0" customWidth="1"/>
  </x:cols>
  <x:sheetData>
    <x:row r="1" ht="38" customHeight="1">
      <x:c r="A1" s="55" t="str">
        <x:v>Coleção Hot Wheels — BMW, Porsche e Ferrari</x:v>
      </x:c>
      <x:c r="B1" s="55"/>
      <x:c r="C1" s="55"/>
      <x:c r="D1" s="55"/>
      <x:c r="E1" s="55"/>
      <x:c r="F1" s="55"/>
      <x:c r="G1" s="55"/>
      <x:c r="H1" s="55"/>
    </x:row>
    <x:row r="2">
      <x:c r="A2" s="56" t="str">
        <x:v>Checklist de lançamentos e variações físicas visíveis; sem duplicar mudanças apenas de embalagem.</x:v>
      </x:c>
      <x:c r="B2" s="56"/>
      <x:c r="C2" s="56"/>
      <x:c r="D2" s="56"/>
      <x:c r="E2" s="56"/>
      <x:c r="F2" s="56"/>
      <x:c r="G2" s="56"/>
      <x:c r="H2" s="56"/>
    </x:row>
    <x:row r="3">
      <x:c r="A3" s="57" t="str">
        <x:v>Pesquisa fechada em 15/08/2026. Os itens de 2026 podem mudar até o encerramento do ano.</x:v>
      </x:c>
      <x:c r="B3" s="57"/>
      <x:c r="C3" s="57"/>
      <x:c r="D3" s="57"/>
      <x:c r="E3" s="57"/>
      <x:c r="F3" s="57"/>
      <x:c r="G3" s="57"/>
      <x:c r="H3" s="57"/>
    </x:row>
    <x:row r="4">
      <x:c r="A4" s="58"/>
      <x:c r="B4" s="58"/>
      <x:c r="C4" s="58"/>
      <x:c r="D4" s="58"/>
      <x:c r="E4" s="58"/>
      <x:c r="F4" s="58"/>
      <x:c r="G4" s="58"/>
      <x:c r="H4" s="58"/>
    </x:row>
    <x:row r="5">
      <x:c r="A5" s="59" t="str">
        <x:v>Marca</x:v>
      </x:c>
      <x:c r="B5" s="59" t="str">
        <x:v>Versões principais</x:v>
      </x:c>
      <x:c r="C5" s="59" t="str">
        <x:v>Tenho</x:v>
      </x:c>
      <x:c r="D5" s="59" t="str">
        <x:v>A caminho</x:v>
      </x:c>
      <x:c r="E5" s="59" t="str">
        <x:v>Faltam</x:v>
      </x:c>
      <x:c r="F5" s="59" t="str">
        <x:v>Conclusão</x:v>
      </x:c>
      <x:c r="G5" s="59" t="str">
        <x:v>Prioridade 1 em falta</x:v>
      </x:c>
      <x:c r="H5" s="58"/>
    </x:row>
    <x:row r="6">
      <x:c r="A6" s="60" t="str">
        <x:v>BMW</x:v>
      </x:c>
      <x:c r="B6" s="61" t="n">
        <x:f>COUNTA(BMW!$D$5:$D$273)</x:f>
        <x:v>269</x:v>
      </x:c>
      <x:c r="C6" s="61" t="n">
        <x:f>COUNTIF(BMW!$A$5:$A$273,"Tenho")</x:f>
        <x:v>0</x:v>
      </x:c>
      <x:c r="D6" s="61" t="n">
        <x:f>COUNTIF(BMW!$A$5:$A$273,"A caminho")</x:f>
        <x:v>0</x:v>
      </x:c>
      <x:c r="E6" s="61" t="n">
        <x:f>B6-C6-D6</x:f>
        <x:v>269</x:v>
      </x:c>
      <x:c r="F6" s="62" t="n">
        <x:f>IFERROR(C6/B6,0)</x:f>
        <x:v>0</x:v>
      </x:c>
      <x:c r="G6" s="61" t="n">
        <x:f>COUNTIFS(BMW!$B$5:$B$273,"1 — Comprar agora",BMW!$A$5:$A$273,"&lt;&gt;Tenho")</x:f>
        <x:v>57</x:v>
      </x:c>
      <x:c r="H6" s="58"/>
    </x:row>
    <x:row r="7">
      <x:c r="A7" s="60" t="str">
        <x:v>Porsche</x:v>
      </x:c>
      <x:c r="B7" s="61" t="n">
        <x:f>COUNTA(Porsche!$D$5:$D$823)</x:f>
        <x:v>819</x:v>
      </x:c>
      <x:c r="C7" s="61" t="n">
        <x:f>COUNTIF(Porsche!$A$5:$A$823,"Tenho")</x:f>
        <x:v>0</x:v>
      </x:c>
      <x:c r="D7" s="61" t="n">
        <x:f>COUNTIF(Porsche!$A$5:$A$823,"A caminho")</x:f>
        <x:v>0</x:v>
      </x:c>
      <x:c r="E7" s="61" t="n">
        <x:f>B7-C7-D7</x:f>
        <x:v>819</x:v>
      </x:c>
      <x:c r="F7" s="62" t="n">
        <x:f>IFERROR(C7/B7,0)</x:f>
        <x:v>0</x:v>
      </x:c>
      <x:c r="G7" s="61" t="n">
        <x:f>COUNTIFS(Porsche!$B$5:$B$823,"1 — Comprar agora",Porsche!$A$5:$A$823,"&lt;&gt;Tenho")</x:f>
        <x:v>138</x:v>
      </x:c>
      <x:c r="H7" s="58"/>
    </x:row>
    <x:row r="8">
      <x:c r="A8" s="60" t="str">
        <x:v>Ferrari</x:v>
      </x:c>
      <x:c r="B8" s="61" t="n">
        <x:f>COUNTA(Ferrari!$D$5:$D$721)</x:f>
        <x:v>717</x:v>
      </x:c>
      <x:c r="C8" s="61" t="n">
        <x:f>COUNTIF(Ferrari!$A$5:$A$721,"Tenho")</x:f>
        <x:v>0</x:v>
      </x:c>
      <x:c r="D8" s="61" t="n">
        <x:f>COUNTIF(Ferrari!$A$5:$A$721,"A caminho")</x:f>
        <x:v>0</x:v>
      </x:c>
      <x:c r="E8" s="61" t="n">
        <x:f>B8-C8-D8</x:f>
        <x:v>717</x:v>
      </x:c>
      <x:c r="F8" s="62" t="n">
        <x:f>IFERROR(C8/B8,0)</x:f>
        <x:v>0</x:v>
      </x:c>
      <x:c r="G8" s="61" t="n">
        <x:f>COUNTIFS(Ferrari!$B$5:$B$721,"1 — Comprar agora",Ferrari!$A$5:$A$721,"&lt;&gt;Tenho")</x:f>
        <x:v>39</x:v>
      </x:c>
      <x:c r="H8" s="58"/>
    </x:row>
    <x:row r="9">
      <x:c r="A9" s="63" t="str">
        <x:v>Total</x:v>
      </x:c>
      <x:c r="B9" s="63" t="n">
        <x:f>SUM(B6:B8)</x:f>
        <x:v>1805</x:v>
      </x:c>
      <x:c r="C9" s="63" t="n">
        <x:f>SUM(C6:C8)</x:f>
        <x:v>0</x:v>
      </x:c>
      <x:c r="D9" s="63" t="n">
        <x:f>SUM(D6:D8)</x:f>
        <x:v>0</x:v>
      </x:c>
      <x:c r="E9" s="63" t="n">
        <x:f>SUM(E6:E8)</x:f>
        <x:v>1805</x:v>
      </x:c>
      <x:c r="F9" s="64" t="n">
        <x:f>IFERROR(C9/B9,0)</x:f>
        <x:v>0</x:v>
      </x:c>
      <x:c r="G9" s="63" t="n">
        <x:f>SUM(G6:G8)</x:f>
        <x:v>234</x:v>
      </x:c>
      <x:c r="H9" s="58"/>
    </x:row>
    <x:row r="10">
      <x:c r="A10" s="58"/>
      <x:c r="B10" s="58"/>
      <x:c r="C10" s="58"/>
      <x:c r="D10" s="58"/>
      <x:c r="E10" s="58"/>
      <x:c r="F10" s="58"/>
      <x:c r="G10" s="58"/>
      <x:c r="H10" s="58"/>
    </x:row>
    <x:row r="11">
      <x:c r="A11" s="58"/>
      <x:c r="B11" s="58"/>
      <x:c r="C11" s="58"/>
      <x:c r="D11" s="58"/>
      <x:c r="E11" s="58"/>
      <x:c r="F11" s="58"/>
      <x:c r="G11" s="58"/>
      <x:c r="H11" s="58"/>
    </x:row>
    <x:row r="12">
      <x:c r="A12" s="65" t="str">
        <x:v>Raridade estimada</x:v>
      </x:c>
      <x:c r="B12" s="65" t="str">
        <x:v>Qtd. principal</x:v>
      </x:c>
      <x:c r="C12" s="65" t="str">
        <x:v>O que significa</x:v>
      </x:c>
      <x:c r="D12" s="58"/>
      <x:c r="E12" s="66" t="str">
        <x:v>Linha paralela / escala</x:v>
      </x:c>
      <x:c r="F12" s="66" t="str">
        <x:v>BMW</x:v>
      </x:c>
      <x:c r="G12" s="66" t="str">
        <x:v>Porsche</x:v>
      </x:c>
      <x:c r="H12" s="66" t="str">
        <x:v>Ferrari</x:v>
      </x:c>
    </x:row>
    <x:row r="13">
      <x:c r="A13" s="61" t="str">
        <x:v>Muito rara</x:v>
      </x:c>
      <x:c r="B13" s="61" t="n">
        <x:f>COUNTIF(BMW!$S$5:$S$273,A13)+COUNTIF(Porsche!$S$5:$S$823,A13)+COUNTIF(Ferrari!$S$5:$S$721,A13)</x:f>
        <x:v>61</x:v>
      </x:c>
      <x:c r="C13" s="67" t="str">
        <x:v>RLC, convenção, chase, STH ou lançamento de acesso limitado</x:v>
      </x:c>
      <x:c r="D13" s="58"/>
      <x:c r="E13" s="61" t="str">
        <x:v>Action Racers</x:v>
      </x:c>
      <x:c r="F13" s="61" t="n">
        <x:v>4</x:v>
      </x:c>
      <x:c r="G13" s="61" t="n">
        <x:v>0</x:v>
      </x:c>
      <x:c r="H13" s="61" t="n">
        <x:v>22</x:v>
      </x:c>
    </x:row>
    <x:row r="14">
      <x:c r="A14" s="61" t="str">
        <x:v>Rara</x:v>
      </x:c>
      <x:c r="B14" s="61" t="n">
        <x:f>COUNTIF(BMW!$S$5:$S$273,A14)+COUNTIF(Porsche!$S$5:$S$823,A14)+COUNTIF(Ferrari!$S$5:$S$721,A14)</x:f>
        <x:v>707</x:v>
      </x:c>
      <x:c r="C14" s="67" t="str">
        <x:v>Exclusividade, linha antiga ou baixa oferta documentada</x:v>
      </x:c>
      <x:c r="D14" s="58"/>
      <x:c r="E14" s="61" t="str">
        <x:v>Escala 1:18</x:v>
      </x:c>
      <x:c r="F14" s="61" t="n">
        <x:v>0</x:v>
      </x:c>
      <x:c r="G14" s="61" t="n">
        <x:v>11</x:v>
      </x:c>
      <x:c r="H14" s="61" t="n">
        <x:v>0</x:v>
      </x:c>
    </x:row>
    <x:row r="15">
      <x:c r="A15" s="61" t="str">
        <x:v>Incomum</x:v>
      </x:c>
      <x:c r="B15" s="61" t="n">
        <x:f>COUNTIF(BMW!$S$5:$S$273,A15)+COUNTIF(Porsche!$S$5:$S$823,A15)+COUNTIF(Ferrari!$S$5:$S$721,A15)</x:f>
        <x:v>662</x:v>
      </x:c>
      <x:c r="C15" s="67" t="str">
        <x:v>Premium ou edição temática com distribuição mais restrita</x:v>
      </x:c>
      <x:c r="D15" s="58"/>
      <x:c r="E15" s="61" t="str">
        <x:v>Escala 1:24</x:v>
      </x:c>
      <x:c r="F15" s="61" t="n">
        <x:v>0</x:v>
      </x:c>
      <x:c r="G15" s="61" t="n">
        <x:v>0</x:v>
      </x:c>
      <x:c r="H15" s="61" t="n">
        <x:v>1</x:v>
      </x:c>
    </x:row>
    <x:row r="16">
      <x:c r="A16" s="61" t="str">
        <x:v>Comum / atual</x:v>
      </x:c>
      <x:c r="B16" s="61" t="n">
        <x:f>COUNTIF(BMW!$S$5:$S$273,A16)+COUNTIF(Porsche!$S$5:$S$823,A16)+COUNTIF(Ferrari!$S$5:$S$721,A16)</x:f>
        <x:v>375</x:v>
      </x:c>
      <x:c r="C16" s="67" t="str">
        <x:v>Mainline ou lançamento recente com distribuição mais ampla</x:v>
      </x:c>
      <x:c r="D16" s="58"/>
      <x:c r="E16" s="61" t="str">
        <x:v>Escala 1:25</x:v>
      </x:c>
      <x:c r="F16" s="61" t="n">
        <x:v>0</x:v>
      </x:c>
      <x:c r="G16" s="61" t="n">
        <x:v>2</x:v>
      </x:c>
      <x:c r="H16" s="61" t="n">
        <x:v>0</x:v>
      </x:c>
    </x:row>
    <x:row r="17">
      <x:c r="A17" s="58"/>
      <x:c r="B17" s="58"/>
      <x:c r="C17" s="58"/>
      <x:c r="D17" s="58"/>
      <x:c r="E17" s="61" t="str">
        <x:v>Escala 1:43</x:v>
      </x:c>
      <x:c r="F17" s="61" t="n">
        <x:v>4</x:v>
      </x:c>
      <x:c r="G17" s="61" t="n">
        <x:v>29</x:v>
      </x:c>
      <x:c r="H17" s="61" t="n">
        <x:v>5</x:v>
      </x:c>
    </x:row>
    <x:row r="18">
      <x:c r="A18" s="58"/>
      <x:c r="B18" s="58"/>
      <x:c r="C18" s="58"/>
      <x:c r="D18" s="58"/>
      <x:c r="E18" s="61" t="str">
        <x:v>Escala 1:50</x:v>
      </x:c>
      <x:c r="F18" s="61" t="n">
        <x:v>3</x:v>
      </x:c>
      <x:c r="G18" s="61" t="n">
        <x:v>0</x:v>
      </x:c>
      <x:c r="H18" s="61" t="n">
        <x:v>8</x:v>
      </x:c>
    </x:row>
    <x:row r="19">
      <x:c r="A19" s="58"/>
      <x:c r="B19" s="58"/>
      <x:c r="C19" s="58"/>
      <x:c r="D19" s="58"/>
      <x:c r="E19" s="61" t="str">
        <x:v>Escala 1:87</x:v>
      </x:c>
      <x:c r="F19" s="61" t="n">
        <x:v>0</x:v>
      </x:c>
      <x:c r="G19" s="61" t="n">
        <x:v>5</x:v>
      </x:c>
      <x:c r="H19" s="61" t="n">
        <x:v>7</x:v>
      </x:c>
    </x:row>
    <x:row r="20">
      <x:c r="A20" s="68" t="str">
        <x:v>Como começar</x:v>
      </x:c>
      <x:c r="B20" s="68" t="str">
        <x:v>Ação</x:v>
      </x:c>
      <x:c r="C20" s="68" t="str">
        <x:v>Motivo</x:v>
      </x:c>
      <x:c r="D20" s="58"/>
      <x:c r="E20" s="61" t="str">
        <x:v>Hot Wheels XL</x:v>
      </x:c>
      <x:c r="F20" s="61" t="n">
        <x:v>3</x:v>
      </x:c>
      <x:c r="G20" s="61" t="n">
        <x:v>2</x:v>
      </x:c>
      <x:c r="H20" s="61" t="n">
        <x:v>0</x:v>
      </x:c>
    </x:row>
    <x:row r="21">
      <x:c r="A21" s="69" t="str">
        <x:v>1</x:v>
      </x:c>
      <x:c r="B21" s="69" t="str">
        <x:v>Filtre Prioridade por “1 — Comprar agora”</x:v>
      </x:c>
      <x:c r="C21" s="69" t="str">
        <x:v>RLC, convenções, chase/STH e itens de menor oferta tendem a ficar mais difíceis.</x:v>
      </x:c>
      <x:c r="D21" s="58"/>
      <x:c r="E21" s="61" t="str">
        <x:v>Linha vintage / escala variável</x:v>
      </x:c>
      <x:c r="F21" s="61" t="n">
        <x:v>8</x:v>
      </x:c>
      <x:c r="G21" s="61" t="n">
        <x:v>9</x:v>
      </x:c>
      <x:c r="H21" s="61" t="n">
        <x:v>14</x:v>
      </x:c>
    </x:row>
    <x:row r="22">
      <x:c r="A22" s="69" t="str">
        <x:v>2</x:v>
      </x:c>
      <x:c r="B22" s="69" t="str">
        <x:v>Marque cada compra em Tenho?</x:v>
      </x:c>
      <x:c r="C22" s="69" t="str">
        <x:v>O Painel calcula automaticamente faltantes e conclusão.</x:v>
      </x:c>
      <x:c r="D22" s="58"/>
      <x:c r="E22" s="61" t="str">
        <x:v>Micro</x:v>
      </x:c>
      <x:c r="F22" s="61" t="n">
        <x:v>1</x:v>
      </x:c>
      <x:c r="G22" s="61" t="n">
        <x:v>23</x:v>
      </x:c>
      <x:c r="H22" s="61" t="n">
        <x:v>34</x:v>
      </x:c>
    </x:row>
    <x:row r="23">
      <x:c r="A23" s="69" t="str">
        <x:v>3</x:v>
      </x:c>
      <x:c r="B23" s="69" t="str">
        <x:v>Use Toy # / SKU antes de comprar</x:v>
      </x:c>
      <x:c r="C23" s="69" t="str">
        <x:v>Evita confundir cores e variações visualmente parecidas.</x:v>
      </x:c>
      <x:c r="D23" s="58"/>
      <x:c r="E23" s="61" t="str">
        <x:v>Motocicleta</x:v>
      </x:c>
      <x:c r="F23" s="61" t="n">
        <x:v>20</x:v>
      </x:c>
      <x:c r="G23" s="61" t="n">
        <x:v>0</x:v>
      </x:c>
      <x:c r="H23" s="61" t="n">
        <x:v>0</x:v>
      </x:c>
    </x:row>
    <x:row r="24">
      <x:c r="A24" s="69" t="str">
        <x:v>4</x:v>
      </x:c>
      <x:c r="B24" s="69" t="str">
        <x:v>Confirme itens de 2026 na fonte</x:v>
      </x:c>
      <x:c r="C24" s="69" t="str">
        <x:v>O calendário anual ainda pode receber mudanças ou cancelamentos.</x:v>
      </x:c>
      <x:c r="D24" s="58"/>
      <x:c r="E24" s="61" t="str">
        <x:v>Não lançado / protótipo</x:v>
      </x:c>
      <x:c r="F24" s="61" t="n">
        <x:v>0</x:v>
      </x:c>
      <x:c r="G24" s="61" t="n">
        <x:v>4</x:v>
      </x:c>
      <x:c r="H24" s="61" t="n">
        <x:v>0</x:v>
      </x:c>
    </x:row>
    <x:row r="25">
      <x:c r="A25" s="58"/>
      <x:c r="B25" s="58"/>
      <x:c r="C25" s="58"/>
      <x:c r="D25" s="58"/>
      <x:c r="E25" s="61" t="str">
        <x:v>Pull-Back</x:v>
      </x:c>
      <x:c r="F25" s="61" t="n">
        <x:v>3</x:v>
      </x:c>
      <x:c r="G25" s="61" t="n">
        <x:v>10</x:v>
      </x:c>
      <x:c r="H25" s="61" t="n">
        <x:v>0</x:v>
      </x:c>
    </x:row>
    <x:row r="26">
      <x:c r="A26" s="58"/>
      <x:c r="B26" s="58"/>
      <x:c r="C26" s="58"/>
      <x:c r="D26" s="58"/>
      <x:c r="E26" s="61" t="str">
        <x:v>RC</x:v>
      </x:c>
      <x:c r="F26" s="61" t="n">
        <x:v>0</x:v>
      </x:c>
      <x:c r="G26" s="61" t="n">
        <x:v>1</x:v>
      </x:c>
      <x:c r="H26" s="61" t="n">
        <x:v>3</x:v>
      </x:c>
    </x:row>
    <x:row r="27">
      <x:c r="A27" s="58"/>
      <x:c r="B27" s="58"/>
      <x:c r="C27" s="58"/>
      <x:c r="D27" s="58"/>
      <x:c r="E27" s="61" t="str">
        <x:v>Sizzlers/Scorchers</x:v>
      </x:c>
      <x:c r="F27" s="61" t="n">
        <x:v>0</x:v>
      </x:c>
      <x:c r="G27" s="61" t="n">
        <x:v>4</x:v>
      </x:c>
      <x:c r="H27" s="61" t="n">
        <x:v>3</x:v>
      </x:c>
    </x:row>
    <x:row r="28">
      <x:c r="A28" s="58"/>
      <x:c r="B28" s="58"/>
      <x:c r="C28" s="58"/>
      <x:c r="D28" s="58"/>
      <x:c r="E28" s="58"/>
      <x:c r="F28" s="58"/>
      <x:c r="G28" s="58"/>
      <x:c r="H28" s="58"/>
    </x:row>
    <x:row r="29">
      <x:c r="A29" s="58"/>
      <x:c r="B29" s="58"/>
      <x:c r="C29" s="58"/>
      <x:c r="D29" s="58"/>
      <x:c r="E29" s="58"/>
      <x:c r="F29" s="58"/>
      <x:c r="G29" s="58"/>
      <x:c r="H29" s="58"/>
    </x:row>
    <x:row r="30">
      <x:c r="A30" s="58"/>
      <x:c r="B30" s="58"/>
      <x:c r="C30" s="58"/>
      <x:c r="D30" s="58"/>
      <x:c r="E30" s="58"/>
      <x:c r="F30" s="58"/>
      <x:c r="G30" s="58"/>
      <x:c r="H30" s="58"/>
    </x:row>
  </x:sheetData>
  <x:mergeCells>
    <x:mergeCell ref="A1:H1"/>
    <x:mergeCell ref="A2:H2"/>
    <x:mergeCell ref="A3:H3"/>
  </x:mergeCells>
  <x:conditionalFormatting sqref="F6:F9">
    <x:cfRule type="dataBar" priority="1">
      <x:dataBar>
        <x:cfvo type="min"/>
        <x:cfvo type="max"/>
        <x:color rgb="FF14804A"/>
      </x:dataBar>
      <x:extLst>
        <x:ext xmlns:x14="http://schemas.microsoft.com/office/spreadsheetml/2009/9/main" uri="{B025F937-C7B1-47D3-B67F-A62EFF666E3E}">
          <x14:id>{E876FCD4-B743-5704-0EC8-8DD06661C565}</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876FCD4-B743-5704-0EC8-8DD06661C565}">
            <x14:dataBar gradient="1">
              <x14:cfvo type="min"/>
              <x14:cfvo type="max"/>
              <x14:fillColor rgb="FF14804A"/>
            </x14:dataBar>
          </x14:cfRule>
          <xm:sqref>F6:F9</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8" hidden="0" customWidth="1"/>
    <x:col min="4" max="4" width="28" hidden="0" customWidth="1"/>
    <x:col min="5" max="5" width="25" hidden="0" customWidth="1"/>
    <x:col min="6" max="6" width="32" hidden="0" customWidth="1"/>
    <x:col min="7" max="7" width="11" hidden="0" customWidth="1"/>
    <x:col min="8" max="8" width="12" hidden="0" customWidth="1"/>
    <x:col min="9" max="9" width="16" hidden="0" customWidth="1"/>
    <x:col min="10" max="10" width="24" hidden="0" customWidth="1"/>
    <x:col min="11" max="11" width="38" hidden="0" customWidth="1"/>
    <x:col min="12" max="12" width="24" hidden="0" customWidth="1"/>
    <x:col min="13" max="13" width="24" hidden="0" customWidth="1"/>
    <x:col min="14" max="14" width="18" hidden="0" customWidth="1"/>
    <x:col min="15" max="15" width="18" hidden="0" customWidth="1"/>
    <x:col min="16" max="16" width="13" hidden="0" customWidth="1"/>
    <x:col min="17" max="17" width="27" hidden="0" customWidth="1"/>
    <x:col min="18" max="18" width="22" hidden="0" customWidth="1"/>
    <x:col min="19" max="19" width="20" hidden="0" customWidth="1"/>
    <x:col min="20" max="20" width="27" hidden="0" customWidth="1"/>
    <x:col min="21" max="21" width="38" hidden="0" customWidth="1"/>
    <x:col min="22" max="22" width="24" hidden="0" customWidth="1"/>
    <x:col min="23" max="23" width="45" hidden="0" customWidth="1"/>
    <x:col min="24" max="24" width="45" hidden="0" customWidth="1"/>
  </x:cols>
  <x:sheetData>
    <x:row r="1" ht="34" customHeight="1">
      <x:c r="A1" s="77" t="str">
        <x:v>Hot Wheels BMW — checklist completo</x:v>
      </x:c>
      <x:c r="B1" s="77"/>
      <x:c r="C1" s="77"/>
      <x:c r="D1" s="77"/>
      <x:c r="E1" s="77"/>
      <x:c r="F1" s="77"/>
      <x:c r="G1" s="77"/>
      <x:c r="H1" s="77"/>
      <x:c r="I1" s="77"/>
      <x:c r="J1" s="77"/>
      <x:c r="K1" s="77"/>
      <x:c r="L1" s="77"/>
      <x:c r="M1" s="77"/>
      <x:c r="N1" s="77"/>
      <x:c r="O1" s="77"/>
      <x:c r="P1" s="77"/>
      <x:c r="Q1" s="77"/>
      <x:c r="R1" s="77"/>
      <x:c r="S1" s="77"/>
      <x:c r="T1" s="77"/>
      <x:c r="U1" s="77"/>
      <x:c r="V1" s="77"/>
      <x:c r="W1" s="77"/>
      <x:c r="X1" s="77"/>
    </x:row>
    <x:row r="2" ht="30" customHeight="1">
      <x:c r="A2" s="78" t="str">
        <x:v>Cada linha representa um lançamento ou variação física visível documentada até 15/08/2026. Embalagem diferente sem mudança no carrinho não conta.</x:v>
      </x:c>
      <x:c r="B2" s="78"/>
      <x:c r="C2" s="78"/>
      <x:c r="D2" s="78"/>
      <x:c r="E2" s="78"/>
      <x:c r="F2" s="78"/>
      <x:c r="G2" s="78"/>
      <x:c r="H2" s="78"/>
      <x:c r="I2" s="78"/>
      <x:c r="J2" s="78"/>
      <x:c r="K2" s="78"/>
      <x:c r="L2" s="78"/>
      <x:c r="M2" s="78"/>
      <x:c r="N2" s="78"/>
      <x:c r="O2" s="78"/>
      <x:c r="P2" s="78"/>
      <x:c r="Q2" s="78"/>
      <x:c r="R2" s="78"/>
      <x:c r="S2" s="78"/>
      <x:c r="T2" s="78"/>
      <x:c r="U2" s="78"/>
      <x:c r="V2" s="78"/>
      <x:c r="W2" s="78"/>
      <x:c r="X2" s="78"/>
    </x:row>
    <x:row r="3">
      <x:c r="A3" s="58"/>
      <x:c r="B3" s="58"/>
      <x:c r="C3" s="58"/>
      <x:c r="D3" s="58"/>
      <x:c r="E3" s="58"/>
      <x:c r="F3" s="58"/>
      <x:c r="G3" s="58"/>
      <x:c r="H3" s="58"/>
      <x:c r="I3" s="58"/>
      <x:c r="J3" s="58"/>
      <x:c r="K3" s="58"/>
      <x:c r="L3" s="58"/>
      <x:c r="M3" s="58"/>
      <x:c r="N3" s="58"/>
      <x:c r="O3" s="58"/>
      <x:c r="P3" s="58"/>
      <x:c r="Q3" s="58"/>
      <x:c r="R3" s="58"/>
      <x:c r="S3" s="58"/>
      <x:c r="T3" s="58"/>
      <x:c r="U3" s="58"/>
      <x:c r="V3" s="58"/>
      <x:c r="W3" s="58"/>
      <x:c r="X3" s="58"/>
    </x:row>
    <x:row r="4" ht="38" customHeight="1">
      <x:c r="A4" s="79" t="str">
        <x:v>Tenho?</x:v>
      </x:c>
      <x:c r="B4" s="79" t="str">
        <x:v>Prioridade</x:v>
      </x:c>
      <x:c r="C4" s="79" t="str">
        <x:v>Ano</x:v>
      </x:c>
      <x:c r="D4" s="79" t="str">
        <x:v>Casting</x:v>
      </x:c>
      <x:c r="E4" s="79" t="str">
        <x:v>Modelo na embalagem</x:v>
      </x:c>
      <x:c r="F4" s="79" t="str">
        <x:v>Linha / série</x:v>
      </x:c>
      <x:c r="G4" s="79" t="str">
        <x:v>Nº série</x:v>
      </x:c>
      <x:c r="H4" s="79" t="str">
        <x:v>Nº coleção</x:v>
      </x:c>
      <x:c r="I4" s="79" t="str">
        <x:v>Toy # / SKU</x:v>
      </x:c>
      <x:c r="J4" s="79" t="str">
        <x:v>Cor</x:v>
      </x:c>
      <x:c r="K4" s="79" t="str">
        <x:v>Tampo / decoração</x:v>
      </x:c>
      <x:c r="L4" s="79" t="str">
        <x:v>Rodas</x:v>
      </x:c>
      <x:c r="M4" s="79" t="str">
        <x:v>Base</x:v>
      </x:c>
      <x:c r="N4" s="79" t="str">
        <x:v>Vidros</x:v>
      </x:c>
      <x:c r="O4" s="79" t="str">
        <x:v>Interior</x:v>
      </x:c>
      <x:c r="P4" s="79" t="str">
        <x:v>País</x:v>
      </x:c>
      <x:c r="Q4" s="79" t="str">
        <x:v>Exclusividade / variação</x:v>
      </x:c>
      <x:c r="R4" s="79" t="str">
        <x:v>Tipo</x:v>
      </x:c>
      <x:c r="S4" s="79" t="str">
        <x:v>Raridade estimada</x:v>
      </x:c>
      <x:c r="T4" s="79" t="str">
        <x:v>Situação do lançamento</x:v>
      </x:c>
      <x:c r="U4" s="79" t="str">
        <x:v>Notas</x:v>
      </x:c>
      <x:c r="V4" s="79" t="str">
        <x:v>Escopo / escala</x:v>
      </x:c>
      <x:c r="W4" s="79" t="str">
        <x:v>Fonte da versão</x:v>
      </x:c>
      <x:c r="X4" s="79" t="str">
        <x:v>Página do casting</x:v>
      </x:c>
    </x:row>
    <x:row r="5">
      <x:c r="A5" s="80" t="str">
        <x:v>Não</x:v>
      </x:c>
      <x:c r="B5" s="80" t="str">
        <x:v>1 — Comprar agora</x:v>
      </x:c>
      <x:c r="C5" s="81" t="n">
        <x:v>2026</x:v>
      </x:c>
      <x:c r="D5" s="80" t="str">
        <x:v>'10 BMW M3</x:v>
      </x:c>
      <x:c r="E5" s="80" t="str">
        <x:v>'10 BMW M3</x:v>
      </x:c>
      <x:c r="F5" s="82" t="str">
        <x:v>Multi-Pack Exclusive</x:v>
      </x:c>
      <x:c r="G5" s="80" t="str"/>
      <x:c r="H5" s="80" t="str"/>
      <x:c r="I5" s="83" t="str">
        <x:v>X6999</x:v>
      </x:c>
      <x:c r="J5" s="80" t="str">
        <x:v>White</x:v>
      </x:c>
      <x:c r="K5" s="82" t="str">
        <x:v>Red, dark blue &amp; light blue stripes on hood and sides, BMW logo on hood, "M Series" &amp; gray Hot Wheels logo on sides</x:v>
      </x:c>
      <x:c r="L5" s="82" t="str">
        <x:v>White rim, Black PR5</x:v>
      </x:c>
      <x:c r="M5" s="82" t="str">
        <x:v>Gray / Plastic</x:v>
      </x:c>
      <x:c r="N5" s="82" t="str">
        <x:v>Smoke tint</x:v>
      </x:c>
      <x:c r="O5" s="82" t="str">
        <x:v>Dark Blue</x:v>
      </x:c>
      <x:c r="P5" s="82" t="str">
        <x:v>Indonesia</x:v>
      </x:c>
      <x:c r="Q5" s="82" t="str"/>
      <x:c r="R5" s="82" t="str">
        <x:v>Temática / multipack</x:v>
      </x:c>
      <x:c r="S5" s="82" t="str">
        <x:v>Comum / atual</x:v>
      </x:c>
      <x:c r="T5" s="82" t="str">
        <x:v>2026 — listado; confirmar disponibilidade</x:v>
      </x:c>
      <x:c r="U5" s="82" t="str">
        <x:v>Identical to FKT59 Base codes: U29I, U32I</x:v>
      </x:c>
      <x:c r="V5" s="80" t="str">
        <x:v>Coleção principal (~1:64)</x:v>
      </x:c>
      <x:c r="W5" s="82" t="str">
        <x:v>https://hotwheels.fandom.com/wiki/%2710_BMW_M3</x:v>
      </x:c>
      <x:c r="X5" s="82" t="str">
        <x:v>https://hotwheels.fandom.com/wiki/%2710_BMW_M3</x:v>
      </x:c>
    </x:row>
    <x:row r="6">
      <x:c r="A6" s="80" t="str">
        <x:v>Não</x:v>
      </x:c>
      <x:c r="B6" s="80" t="str">
        <x:v>1 — Comprar agora</x:v>
      </x:c>
      <x:c r="C6" s="81" t="n">
        <x:v>2026</x:v>
      </x:c>
      <x:c r="D6" s="80" t="str">
        <x:v>'92 BMW M3</x:v>
      </x:c>
      <x:c r="E6" s="80" t="str">
        <x:v>'92 BMW M3</x:v>
      </x:c>
      <x:c r="F6" s="82" t="str">
        <x:v>European Car Culture Themed Multipack</x:v>
      </x:c>
      <x:c r="G6" s="80" t="str"/>
      <x:c r="H6" s="80" t="str"/>
      <x:c r="I6" s="83" t="str">
        <x:v>JLB25</x:v>
      </x:c>
      <x:c r="J6" s="80" t="str">
        <x:v>Dark Green</x:v>
      </x:c>
      <x:c r="K6" s="82" t="str">
        <x:v>Detailed headlights, taillights, badging, and trim, "HW 92M3" European style license plate</x:v>
      </x:c>
      <x:c r="L6" s="82" t="str">
        <x:v>Chrome S5</x:v>
      </x:c>
      <x:c r="M6" s="82" t="str">
        <x:v>Black / Plastic</x:v>
      </x:c>
      <x:c r="N6" s="82" t="str">
        <x:v>Smoke tint</x:v>
      </x:c>
      <x:c r="O6" s="82" t="str">
        <x:v>Black</x:v>
      </x:c>
      <x:c r="P6" s="82" t="str">
        <x:v>Thailand</x:v>
      </x:c>
      <x:c r="Q6" s="82" t="str"/>
      <x:c r="R6" s="82" t="str">
        <x:v>Premium</x:v>
      </x:c>
      <x:c r="S6" s="82" t="str">
        <x:v>Incomum</x:v>
      </x:c>
      <x:c r="T6" s="82" t="str">
        <x:v>2026 — listado; confirmar disponibilidade</x:v>
      </x:c>
      <x:c r="U6" s="82" t="str">
        <x:v>Base code(s): U36A, U43A, U45A</x:v>
      </x:c>
      <x:c r="V6" s="80" t="str">
        <x:v>Coleção principal (~1:64)</x:v>
      </x:c>
      <x:c r="W6" s="82" t="str">
        <x:v>https://hotwheels.fandom.com/wiki/%2792_BMW_M3</x:v>
      </x:c>
      <x:c r="X6" s="82" t="str">
        <x:v>https://hotwheels.fandom.com/wiki/%2792_BMW_M3</x:v>
      </x:c>
    </x:row>
    <x:row r="7">
      <x:c r="A7" s="80" t="str">
        <x:v>Não</x:v>
      </x:c>
      <x:c r="B7" s="80" t="str">
        <x:v>1 — Comprar agora</x:v>
      </x:c>
      <x:c r="C7" s="81" t="n">
        <x:v>2026</x:v>
      </x:c>
      <x:c r="D7" s="80" t="str">
        <x:v>'92 BMW M3</x:v>
      </x:c>
      <x:c r="E7" s="80" t="str">
        <x:v>'92 BMW M3</x:v>
      </x:c>
      <x:c r="F7" s="82" t="str">
        <x:v>European Car Culture Themed Multipack</x:v>
      </x:c>
      <x:c r="G7" s="80" t="str"/>
      <x:c r="H7" s="80" t="str"/>
      <x:c r="I7" s="83" t="str">
        <x:v>JLB25</x:v>
      </x:c>
      <x:c r="J7" s="80" t="str">
        <x:v>Dark Green</x:v>
      </x:c>
      <x:c r="K7" s="82" t="str">
        <x:v>Detailed headlights, taillights, badging, and trim, "HW 92M3" European style license plate</x:v>
      </x:c>
      <x:c r="L7" s="82" t="str">
        <x:v>S5</x:v>
      </x:c>
      <x:c r="M7" s="82" t="str">
        <x:v>Black / / / Plastic</x:v>
      </x:c>
      <x:c r="N7" s="82" t="str">
        <x:v>Smoke tint</x:v>
      </x:c>
      <x:c r="O7" s="82" t="str">
        <x:v>Black</x:v>
      </x:c>
      <x:c r="P7" s="82" t="str">
        <x:v>Thailand</x:v>
      </x:c>
      <x:c r="Q7" s="82" t="str"/>
      <x:c r="R7" s="82" t="str">
        <x:v>Premium</x:v>
      </x:c>
      <x:c r="S7" s="82" t="str">
        <x:v>Incomum</x:v>
      </x:c>
      <x:c r="T7" s="82" t="str">
        <x:v>2026 — listado; confirmar disponibilidade</x:v>
      </x:c>
      <x:c r="U7" s="82" t="str">
        <x:v>Base code(s):</x:v>
      </x:c>
      <x:c r="V7" s="80" t="str">
        <x:v>Coleção principal (~1:64)</x:v>
      </x:c>
      <x:c r="W7" s="82" t="str">
        <x:v>https://hotwheels.fandom.com/wiki/%2792_BMW_M3</x:v>
      </x:c>
      <x:c r="X7" s="82" t="str">
        <x:v>https://hotwheels.fandom.com/wiki/%2792_BMW_M3</x:v>
      </x:c>
    </x:row>
    <x:row r="8">
      <x:c r="A8" s="80" t="str">
        <x:v>Não</x:v>
      </x:c>
      <x:c r="B8" s="80" t="str">
        <x:v>1 — Comprar agora</x:v>
      </x:c>
      <x:c r="C8" s="81" t="n">
        <x:v>2026</x:v>
      </x:c>
      <x:c r="D8" s="80" t="str">
        <x:v>1983 BMW 733i</x:v>
      </x:c>
      <x:c r="E8" s="80" t="str">
        <x:v>1983 BMW 733i</x:v>
      </x:c>
      <x:c r="F8" s="82" t="str">
        <x:v>Pop Culture: Stranger Things</x:v>
      </x:c>
      <x:c r="G8" s="80" t="str"/>
      <x:c r="H8" s="80" t="str"/>
      <x:c r="I8" s="83" t="str">
        <x:v>JHW81</x:v>
      </x:c>
      <x:c r="J8" s="80" t="str">
        <x:v>Maroon</x:v>
      </x:c>
      <x:c r="K8" s="82" t="str">
        <x:v>Detailed headlights, taillights and trim, "3DS4672" license plate</x:v>
      </x:c>
      <x:c r="L8" s="82" t="str">
        <x:v>RREURO</x:v>
      </x:c>
      <x:c r="M8" s="82" t="str">
        <x:v>Black / Metal</x:v>
      </x:c>
      <x:c r="N8" s="82" t="str">
        <x:v>Clear</x:v>
      </x:c>
      <x:c r="O8" s="82" t="str">
        <x:v>Tan</x:v>
      </x:c>
      <x:c r="P8" s="82" t="str">
        <x:v>Indonesia</x:v>
      </x:c>
      <x:c r="Q8" s="82" t="str"/>
      <x:c r="R8" s="82" t="str">
        <x:v>Premium</x:v>
      </x:c>
      <x:c r="S8" s="82" t="str">
        <x:v>Incomum</x:v>
      </x:c>
      <x:c r="T8" s="82" t="str">
        <x:v>2026 — listado; confirmar disponibilidade</x:v>
      </x:c>
      <x:c r="U8" s="82" t="str">
        <x:v>Base code(s): U34I, U40I, U41I</x:v>
      </x:c>
      <x:c r="V8" s="80" t="str">
        <x:v>Coleção principal (~1:64)</x:v>
      </x:c>
      <x:c r="W8" s="82" t="str">
        <x:v>https://hotwheels.fandom.com/wiki/1983_BMW_733i</x:v>
      </x:c>
      <x:c r="X8" s="82" t="str">
        <x:v>https://hotwheels.fandom.com/wiki/1983_BMW_733i</x:v>
      </x:c>
    </x:row>
    <x:row r="9">
      <x:c r="A9" s="80" t="str">
        <x:v>Não</x:v>
      </x:c>
      <x:c r="B9" s="80" t="str">
        <x:v>1 — Comprar agora</x:v>
      </x:c>
      <x:c r="C9" s="81" t="n">
        <x:v>2026</x:v>
      </x:c>
      <x:c r="D9" s="80" t="str">
        <x:v>2010 BMW M5</x:v>
      </x:c>
      <x:c r="E9" s="80" t="str">
        <x:v>2010 BMW M5</x:v>
      </x:c>
      <x:c r="F9" s="82" t="str">
        <x:v>Car Culture / Deutschland Design*</x:v>
      </x:c>
      <x:c r="G9" s="80" t="str"/>
      <x:c r="H9" s="80" t="str"/>
      <x:c r="I9" s="83" t="str"/>
      <x:c r="J9" s="80" t="str"/>
      <x:c r="K9" s="82" t="str"/>
      <x:c r="L9" s="82" t="str"/>
      <x:c r="M9" s="82" t="str"/>
      <x:c r="N9" s="82" t="str"/>
      <x:c r="O9" s="82" t="str"/>
      <x:c r="P9" s="82" t="str"/>
      <x:c r="Q9" s="82" t="str"/>
      <x:c r="R9" s="82" t="str">
        <x:v>Premium</x:v>
      </x:c>
      <x:c r="S9" s="82" t="str">
        <x:v>Incomum</x:v>
      </x:c>
      <x:c r="T9" s="82" t="str">
        <x:v>2026 — listado; confirmar disponibilidade</x:v>
      </x:c>
      <x:c r="U9" s="82" t="str"/>
      <x:c r="V9" s="80" t="str">
        <x:v>Coleção principal (~1:64)</x:v>
      </x:c>
      <x:c r="W9" s="82" t="str">
        <x:v>https://orangetrackdiecast.com/2026-hot-wheels-master-list-of-all-lines/</x:v>
      </x:c>
      <x:c r="X9" s="82" t="str">
        <x:v>https://hotwheels.fandom.com/wiki/2010_BMW_M5</x:v>
      </x:c>
    </x:row>
    <x:row r="10">
      <x:c r="A10" s="80" t="str">
        <x:v>Não</x:v>
      </x:c>
      <x:c r="B10" s="80" t="str">
        <x:v>1 — Comprar agora</x:v>
      </x:c>
      <x:c r="C10" s="81" t="n">
        <x:v>2026</x:v>
      </x:c>
      <x:c r="D10" s="80" t="str">
        <x:v>2010 BMW M5</x:v>
      </x:c>
      <x:c r="E10" s="80" t="str">
        <x:v>2010 BMW M5</x:v>
      </x:c>
      <x:c r="F10" s="82" t="str">
        <x:v>Fast &amp; Furious / 4/5</x:v>
      </x:c>
      <x:c r="G10" s="80" t="str"/>
      <x:c r="H10" s="80" t="str"/>
      <x:c r="I10" s="83" t="str">
        <x:v>JHW62</x:v>
      </x:c>
      <x:c r="J10" s="80" t="str">
        <x:v>Black Sapphire</x:v>
      </x:c>
      <x:c r="K10" s="82" t="str">
        <x:v>Detailed headlights, taillights and trim</x:v>
      </x:c>
      <x:c r="L10" s="82" t="str">
        <x:v>RR10SPM</x:v>
      </x:c>
      <x:c r="M10" s="82" t="str">
        <x:v>Black / Metal</x:v>
      </x:c>
      <x:c r="N10" s="82" t="str">
        <x:v>Smoke tint</x:v>
      </x:c>
      <x:c r="O10" s="82" t="str">
        <x:v>Black</x:v>
      </x:c>
      <x:c r="P10" s="82" t="str">
        <x:v>Thailand</x:v>
      </x:c>
      <x:c r="Q10" s="82" t="str"/>
      <x:c r="R10" s="82" t="str">
        <x:v>Outra linha</x:v>
      </x:c>
      <x:c r="S10" s="82" t="str">
        <x:v>Comum / atual</x:v>
      </x:c>
      <x:c r="T10" s="82" t="str">
        <x:v>2026 — listado; confirmar disponibilidade</x:v>
      </x:c>
      <x:c r="U10" s="82" t="str"/>
      <x:c r="V10" s="80" t="str">
        <x:v>Coleção principal (~1:64)</x:v>
      </x:c>
      <x:c r="W10" s="82" t="str">
        <x:v>https://hotwheels.fandom.com/wiki/2010_BMW_M5</x:v>
      </x:c>
      <x:c r="X10" s="82" t="str">
        <x:v>https://hotwheels.fandom.com/wiki/2010_BMW_M5</x:v>
      </x:c>
    </x:row>
    <x:row r="11">
      <x:c r="A11" s="80" t="str">
        <x:v>Não</x:v>
      </x:c>
      <x:c r="B11" s="80" t="str">
        <x:v>1 — Comprar agora</x:v>
      </x:c>
      <x:c r="C11" s="81" t="n">
        <x:v>2026</x:v>
      </x:c>
      <x:c r="D11" s="80" t="str">
        <x:v>2010 BMW M5</x:v>
      </x:c>
      <x:c r="E11" s="80" t="str">
        <x:v>2010 BMW M5</x:v>
      </x:c>
      <x:c r="F11" s="82" t="str">
        <x:v>Fast &amp; Furious 4/5</x:v>
      </x:c>
      <x:c r="G11" s="80" t="str"/>
      <x:c r="H11" s="80" t="str"/>
      <x:c r="I11" s="83" t="str">
        <x:v>JHW62</x:v>
      </x:c>
      <x:c r="J11" s="80" t="str">
        <x:v>Black Sapphire</x:v>
      </x:c>
      <x:c r="K11" s="82" t="str">
        <x:v>Detailed headlights, taillights and trim</x:v>
      </x:c>
      <x:c r="L11" s="82" t="str">
        <x:v>Black RR10SPM</x:v>
      </x:c>
      <x:c r="M11" s="82" t="str">
        <x:v>Matte Black / Metal</x:v>
      </x:c>
      <x:c r="N11" s="82" t="str">
        <x:v>Smoke tint</x:v>
      </x:c>
      <x:c r="O11" s="82" t="str">
        <x:v>Black</x:v>
      </x:c>
      <x:c r="P11" s="82" t="str">
        <x:v>Thailand</x:v>
      </x:c>
      <x:c r="Q11" s="82" t="str"/>
      <x:c r="R11" s="82" t="str">
        <x:v>Outra linha</x:v>
      </x:c>
      <x:c r="S11" s="82" t="str">
        <x:v>Comum / atual</x:v>
      </x:c>
      <x:c r="T11" s="82" t="str">
        <x:v>2026 — listado; confirmar disponibilidade</x:v>
      </x:c>
      <x:c r="U11" s="82" t="str">
        <x:v>Base code(s): V05A, V06A, V08A, V09A, V10A, V19A</x:v>
      </x:c>
      <x:c r="V11" s="80" t="str">
        <x:v>Coleção principal (~1:64)</x:v>
      </x:c>
      <x:c r="W11" s="82" t="str">
        <x:v>https://hotwheels.fandom.com/wiki/2010_BMW_M5</x:v>
      </x:c>
      <x:c r="X11" s="82" t="str">
        <x:v>https://hotwheels.fandom.com/wiki/2010_BMW_M5</x:v>
      </x:c>
    </x:row>
    <x:row r="12">
      <x:c r="A12" s="80" t="str">
        <x:v>Não</x:v>
      </x:c>
      <x:c r="B12" s="80" t="str">
        <x:v>1 — Comprar agora</x:v>
      </x:c>
      <x:c r="C12" s="81" t="n">
        <x:v>2026</x:v>
      </x:c>
      <x:c r="D12" s="80" t="str">
        <x:v>2025 BMW M5</x:v>
      </x:c>
      <x:c r="E12" s="80" t="str">
        <x:v>2025 BMW M5</x:v>
      </x:c>
      <x:c r="F12" s="82" t="str">
        <x:v>Car Culture: Deutschland Design 3/5</x:v>
      </x:c>
      <x:c r="G12" s="80" t="str"/>
      <x:c r="H12" s="80" t="str"/>
      <x:c r="I12" s="83" t="str">
        <x:v>JKF09</x:v>
      </x:c>
      <x:c r="J12" s="80" t="str">
        <x:v>Isle of Man Green</x:v>
      </x:c>
      <x:c r="K12" s="82" t="str">
        <x:v>Detailed headlights, taillights and trim, M5 wordmark rear license plate</x:v>
      </x:c>
      <x:c r="L12" s="82" t="str">
        <x:v>RR10SPM</x:v>
      </x:c>
      <x:c r="M12" s="82" t="str">
        <x:v>Black / Metal</x:v>
      </x:c>
      <x:c r="N12" s="82" t="str">
        <x:v>Smoke tint</x:v>
      </x:c>
      <x:c r="O12" s="82" t="str">
        <x:v>Black</x:v>
      </x:c>
      <x:c r="P12" s="82" t="str">
        <x:v>Thailand</x:v>
      </x:c>
      <x:c r="Q12" s="82" t="str"/>
      <x:c r="R12" s="82" t="str">
        <x:v>Premium</x:v>
      </x:c>
      <x:c r="S12" s="82" t="str">
        <x:v>Incomum</x:v>
      </x:c>
      <x:c r="T12" s="82" t="str">
        <x:v>2026 — listado; confirmar disponibilidade</x:v>
      </x:c>
      <x:c r="U12" s="82" t="str"/>
      <x:c r="V12" s="80" t="str">
        <x:v>Coleção principal (~1:64)</x:v>
      </x:c>
      <x:c r="W12" s="82" t="str">
        <x:v>https://hotwheels.fandom.com/wiki/2025_BMW_M5</x:v>
      </x:c>
      <x:c r="X12" s="82" t="str">
        <x:v>https://hotwheels.fandom.com/wiki/2025_BMW_M5</x:v>
      </x:c>
    </x:row>
    <x:row r="13">
      <x:c r="A13" s="80" t="str">
        <x:v>Não</x:v>
      </x:c>
      <x:c r="B13" s="80" t="str">
        <x:v>1 — Comprar agora</x:v>
      </x:c>
      <x:c r="C13" s="81" t="n">
        <x:v>2026</x:v>
      </x:c>
      <x:c r="D13" s="80" t="str">
        <x:v>BMW 507</x:v>
      </x:c>
      <x:c r="E13" s="80" t="str">
        <x:v>BMW 507</x:v>
      </x:c>
      <x:c r="F13" s="82" t="str">
        <x:v>Vintage Club 1/5</x:v>
      </x:c>
      <x:c r="G13" s="80" t="str"/>
      <x:c r="H13" s="80" t="str"/>
      <x:c r="I13" s="83" t="str">
        <x:v>JKY26</x:v>
      </x:c>
      <x:c r="J13" s="80" t="str">
        <x:v>Schwarz</x:v>
      </x:c>
      <x:c r="K13" s="82" t="str">
        <x:v>Detailed headlights, taillights and trim, "56" on sides</x:v>
      </x:c>
      <x:c r="L13" s="82" t="str">
        <x:v>Steelie</x:v>
      </x:c>
      <x:c r="M13" s="82" t="str">
        <x:v>Chrome / Plastic</x:v>
      </x:c>
      <x:c r="N13" s="82" t="str">
        <x:v>Clear</x:v>
      </x:c>
      <x:c r="O13" s="82" t="str">
        <x:v>Brown</x:v>
      </x:c>
      <x:c r="P13" s="82" t="str">
        <x:v>Indonesia</x:v>
      </x:c>
      <x:c r="Q13" s="82" t="str"/>
      <x:c r="R13" s="82" t="str">
        <x:v>Outra linha</x:v>
      </x:c>
      <x:c r="S13" s="82" t="str">
        <x:v>Comum / atual</x:v>
      </x:c>
      <x:c r="T13" s="82" t="str">
        <x:v>2026 — listado; confirmar disponibilidade</x:v>
      </x:c>
      <x:c r="U13" s="82" t="str">
        <x:v>Base code(s): U49I, U50I</x:v>
      </x:c>
      <x:c r="V13" s="80" t="str">
        <x:v>Coleção principal (~1:64)</x:v>
      </x:c>
      <x:c r="W13" s="82" t="str">
        <x:v>https://hotwheels.fandom.com/wiki/BMW_507</x:v>
      </x:c>
      <x:c r="X13" s="82" t="str">
        <x:v>https://hotwheels.fandom.com/wiki/BMW_507</x:v>
      </x:c>
    </x:row>
    <x:row r="14">
      <x:c r="A14" s="80" t="str">
        <x:v>Não</x:v>
      </x:c>
      <x:c r="B14" s="80" t="str">
        <x:v>1 — Comprar agora</x:v>
      </x:c>
      <x:c r="C14" s="81" t="n">
        <x:v>2026</x:v>
      </x:c>
      <x:c r="D14" s="80" t="str">
        <x:v>BMW 635 CSi</x:v>
      </x:c>
      <x:c r="E14" s="80" t="str">
        <x:v>BMW 635 CSi</x:v>
      </x:c>
      <x:c r="F14" s="82" t="str">
        <x:v>HW Euro / 7/10</x:v>
      </x:c>
      <x:c r="G14" s="80" t="str"/>
      <x:c r="H14" s="80" t="str">
        <x:v>152/250</x:v>
      </x:c>
      <x:c r="I14" s="83" t="str">
        <x:v>JJK00</x:v>
      </x:c>
      <x:c r="J14" s="80" t="str">
        <x:v>White</x:v>
      </x:c>
      <x:c r="K14" s="82" t="str">
        <x:v>Black grid on hood, roof and sides, M Series stripes and "80" number circle on hood and sides, disassembled engine illustration on hood, Goodyear sponsor, "B.ZHAO", "A.Andrieu", "N.P.LIM", "AA", and red Hot Wheels logo on sides, BMW badge on front, black "CASTROL" on driver's side rear quarter</x:v>
      </x:c>
      <x:c r="L14" s="82" t="str">
        <x:v>White lip DD8</x:v>
      </x:c>
      <x:c r="M14" s="82" t="str">
        <x:v>White / / / Plastic</x:v>
      </x:c>
      <x:c r="N14" s="82" t="str">
        <x:v>Smoke tint</x:v>
      </x:c>
      <x:c r="O14" s="82" t="str">
        <x:v>White</x:v>
      </x:c>
      <x:c r="P14" s="82" t="str">
        <x:v>Malaysia</x:v>
      </x:c>
      <x:c r="Q14" s="82" t="str"/>
      <x:c r="R14" s="82" t="str">
        <x:v>Mainline</x:v>
      </x:c>
      <x:c r="S14" s="82" t="str">
        <x:v>Comum / atual</x:v>
      </x:c>
      <x:c r="T14" s="82" t="str">
        <x:v>2026 — listado; confirmar disponibilidade</x:v>
      </x:c>
      <x:c r="U14" s="82" t="str">
        <x:v>Base code(s): V02N</x:v>
      </x:c>
      <x:c r="V14" s="80" t="str">
        <x:v>Coleção principal (~1:64)</x:v>
      </x:c>
      <x:c r="W14" s="82" t="str">
        <x:v>https://hotwheels.fandom.com/wiki/BMW_635_CSi</x:v>
      </x:c>
      <x:c r="X14" s="82" t="str">
        <x:v>https://hotwheels.fandom.com/wiki/BMW_635_CSi</x:v>
      </x:c>
    </x:row>
    <x:row r="15">
      <x:c r="A15" s="80" t="str">
        <x:v>Não</x:v>
      </x:c>
      <x:c r="B15" s="80" t="str">
        <x:v>1 — Comprar agora</x:v>
      </x:c>
      <x:c r="C15" s="81" t="n">
        <x:v>2026</x:v>
      </x:c>
      <x:c r="D15" s="80" t="str">
        <x:v>BMW 635 CSi</x:v>
      </x:c>
      <x:c r="E15" s="80" t="str">
        <x:v>BMW 635 CSi</x:v>
      </x:c>
      <x:c r="F15" s="82" t="str">
        <x:v>HW Euro 7/10</x:v>
      </x:c>
      <x:c r="G15" s="80" t="str"/>
      <x:c r="H15" s="80" t="str">
        <x:v>152/250</x:v>
      </x:c>
      <x:c r="I15" s="83" t="str">
        <x:v>JJK00</x:v>
      </x:c>
      <x:c r="J15" s="80" t="str">
        <x:v>White</x:v>
      </x:c>
      <x:c r="K15" s="82" t="str">
        <x:v>Black grid on hood, roof and sides, M Series stripes and "80" number circle on hood and sides, disassembled engine illustration on hood, Goodyear sponsor, "B.ZHAO", "A.ANDRIEU", "N.P.LIM", "AA", and red Hot Wheels logo on sides, BMW badge on front, black "CASTROL" on driver's side rear quarter</x:v>
      </x:c>
      <x:c r="L15" s="82" t="str">
        <x:v>White DD8</x:v>
      </x:c>
      <x:c r="M15" s="82" t="str">
        <x:v>White / Plastic</x:v>
      </x:c>
      <x:c r="N15" s="82" t="str">
        <x:v>Smoke tint</x:v>
      </x:c>
      <x:c r="O15" s="82" t="str">
        <x:v>White</x:v>
      </x:c>
      <x:c r="P15" s="82" t="str">
        <x:v>Malaysia</x:v>
      </x:c>
      <x:c r="Q15" s="82" t="str"/>
      <x:c r="R15" s="82" t="str">
        <x:v>Mainline</x:v>
      </x:c>
      <x:c r="S15" s="82" t="str">
        <x:v>Comum / atual</x:v>
      </x:c>
      <x:c r="T15" s="82" t="str">
        <x:v>2026 — listado; confirmar disponibilidade</x:v>
      </x:c>
      <x:c r="U15" s="82" t="str">
        <x:v>Base code(s): V01N, V02N, V07N</x:v>
      </x:c>
      <x:c r="V15" s="80" t="str">
        <x:v>Coleção principal (~1:64)</x:v>
      </x:c>
      <x:c r="W15" s="82" t="str">
        <x:v>https://hotwheels.fandom.com/wiki/BMW_635_CSi</x:v>
      </x:c>
      <x:c r="X15" s="82" t="str">
        <x:v>https://hotwheels.fandom.com/wiki/BMW_635_CSi</x:v>
      </x:c>
    </x:row>
    <x:row r="16">
      <x:c r="A16" s="80" t="str">
        <x:v>Não</x:v>
      </x:c>
      <x:c r="B16" s="80" t="str">
        <x:v>1 — Comprar agora</x:v>
      </x:c>
      <x:c r="C16" s="81" t="n">
        <x:v>2026</x:v>
      </x:c>
      <x:c r="D16" s="80" t="str">
        <x:v>BMW M3 E46</x:v>
      </x:c>
      <x:c r="E16" s="80" t="str">
        <x:v>BMW M3 E46</x:v>
      </x:c>
      <x:c r="F16" s="82" t="str">
        <x:v>Car Culture: Power Trip 1/5</x:v>
      </x:c>
      <x:c r="G16" s="80" t="str"/>
      <x:c r="H16" s="80" t="str"/>
      <x:c r="I16" s="83" t="str">
        <x:v>JKF30</x:v>
      </x:c>
      <x:c r="J16" s="80" t="str">
        <x:v>Oxford Green</x:v>
      </x:c>
      <x:c r="K16" s="82" t="str">
        <x:v>Detailed headlights, taillights, trim and badging, "BMW M3" European style license plate</x:v>
      </x:c>
      <x:c r="L16" s="82" t="str">
        <x:v>Gray RRSPLIT6</x:v>
      </x:c>
      <x:c r="M16" s="82" t="str">
        <x:v>Matte Black / Metal</x:v>
      </x:c>
      <x:c r="N16" s="82" t="str">
        <x:v>Smoke tint</x:v>
      </x:c>
      <x:c r="O16" s="82" t="str">
        <x:v>Tan</x:v>
      </x:c>
      <x:c r="P16" s="82" t="str">
        <x:v>Thailand</x:v>
      </x:c>
      <x:c r="Q16" s="82" t="str"/>
      <x:c r="R16" s="82" t="str">
        <x:v>Premium</x:v>
      </x:c>
      <x:c r="S16" s="82" t="str">
        <x:v>Incomum</x:v>
      </x:c>
      <x:c r="T16" s="82" t="str">
        <x:v>2026 — listado; confirmar disponibilidade</x:v>
      </x:c>
      <x:c r="U16" s="82" t="str">
        <x:v>Named BMW M3 Base code(s): U49A, U50A, U51A, U52A</x:v>
      </x:c>
      <x:c r="V16" s="80" t="str">
        <x:v>Coleção principal (~1:64)</x:v>
      </x:c>
      <x:c r="W16" s="82" t="str">
        <x:v>https://hotwheels.fandom.com/wiki/BMW_M3_E46</x:v>
      </x:c>
      <x:c r="X16" s="82" t="str">
        <x:v>https://hotwheels.fandom.com/wiki/BMW_M3_E46</x:v>
      </x:c>
    </x:row>
    <x:row r="17">
      <x:c r="A17" s="80" t="str">
        <x:v>Não</x:v>
      </x:c>
      <x:c r="B17" s="80" t="str">
        <x:v>1 — Comprar agora</x:v>
      </x:c>
      <x:c r="C17" s="81" t="n">
        <x:v>2026</x:v>
      </x:c>
      <x:c r="D17" s="80" t="str">
        <x:v>BMW M3 GT2</x:v>
      </x:c>
      <x:c r="E17" s="80" t="str">
        <x:v>BMW M3 GT2</x:v>
      </x:c>
      <x:c r="F17" s="82" t="str">
        <x:v>Hot Wheels Boulevard #164</x:v>
      </x:c>
      <x:c r="G17" s="80" t="str"/>
      <x:c r="H17" s="80" t="str"/>
      <x:c r="I17" s="83" t="str">
        <x:v>JBL27</x:v>
      </x:c>
      <x:c r="J17" s="80" t="str">
        <x:v>Black/Green</x:v>
      </x:c>
      <x:c r="K17" s="82" t="str">
        <x:v>Detailed headlights, taillights, and trim, various sponsors on sides</x:v>
      </x:c>
      <x:c r="L17" s="82" t="str">
        <x:v>RR10SPM</x:v>
      </x:c>
      <x:c r="M17" s="82" t="str">
        <x:v>Black / Metal</x:v>
      </x:c>
      <x:c r="N17" s="82" t="str">
        <x:v>Smoke tint</x:v>
      </x:c>
      <x:c r="O17" s="82" t="str">
        <x:v>Black</x:v>
      </x:c>
      <x:c r="P17" s="82" t="str">
        <x:v>Thailand</x:v>
      </x:c>
      <x:c r="Q17" s="82" t="str"/>
      <x:c r="R17" s="82" t="str">
        <x:v>Premium</x:v>
      </x:c>
      <x:c r="S17" s="82" t="str">
        <x:v>Incomum</x:v>
      </x:c>
      <x:c r="T17" s="82" t="str">
        <x:v>2026 — listado; confirmar disponibilidade</x:v>
      </x:c>
      <x:c r="U17" s="82" t="str"/>
      <x:c r="V17" s="80" t="str">
        <x:v>Coleção principal (~1:64)</x:v>
      </x:c>
      <x:c r="W17" s="82" t="str">
        <x:v>https://hotwheels.fandom.com/wiki/BMW_M3_GT2</x:v>
      </x:c>
      <x:c r="X17" s="82" t="str">
        <x:v>https://hotwheels.fandom.com/wiki/BMW_M3_GT2</x:v>
      </x:c>
    </x:row>
    <x:row r="18">
      <x:c r="A18" s="80" t="str">
        <x:v>Não</x:v>
      </x:c>
      <x:c r="B18" s="80" t="str">
        <x:v>1 — Comprar agora</x:v>
      </x:c>
      <x:c r="C18" s="81" t="n">
        <x:v>2026</x:v>
      </x:c>
      <x:c r="D18" s="80" t="str">
        <x:v>BMW M3 GTR</x:v>
      </x:c>
      <x:c r="E18" s="80" t="str">
        <x:v>BMW M3 GTR</x:v>
      </x:c>
      <x:c r="F18" s="82" t="str">
        <x:v>Boulevard</x:v>
      </x:c>
      <x:c r="G18" s="80" t="str"/>
      <x:c r="H18" s="80" t="str">
        <x:v>142</x:v>
      </x:c>
      <x:c r="I18" s="83" t="str"/>
      <x:c r="J18" s="80" t="str"/>
      <x:c r="K18" s="82" t="str"/>
      <x:c r="L18" s="82" t="str"/>
      <x:c r="M18" s="82" t="str"/>
      <x:c r="N18" s="82" t="str"/>
      <x:c r="O18" s="82" t="str"/>
      <x:c r="P18" s="82" t="str"/>
      <x:c r="Q18" s="82" t="str"/>
      <x:c r="R18" s="82" t="str">
        <x:v>Premium</x:v>
      </x:c>
      <x:c r="S18" s="82" t="str">
        <x:v>Incomum</x:v>
      </x:c>
      <x:c r="T18" s="82" t="str">
        <x:v>2026 — listado; confirmar disponibilidade</x:v>
      </x:c>
      <x:c r="U18" s="82" t="str"/>
      <x:c r="V18" s="80" t="str">
        <x:v>Coleção principal (~1:64)</x:v>
      </x:c>
      <x:c r="W18" s="82" t="str">
        <x:v>https://orangetrackdiecast.com/2026-hot-wheels-master-list-of-all-lines/</x:v>
      </x:c>
      <x:c r="X18" s="82" t="str"/>
    </x:row>
    <x:row r="19">
      <x:c r="A19" s="80" t="str">
        <x:v>Não</x:v>
      </x:c>
      <x:c r="B19" s="80" t="str">
        <x:v>1 — Comprar agora</x:v>
      </x:c>
      <x:c r="C19" s="81" t="n">
        <x:v>2026</x:v>
      </x:c>
      <x:c r="D19" s="80" t="str">
        <x:v>BMW M3 Wagon</x:v>
      </x:c>
      <x:c r="E19" s="80" t="str">
        <x:v>BMW M3 Wagon</x:v>
      </x:c>
      <x:c r="F19" s="82" t="str">
        <x:v>Blue and Gold 1/6</x:v>
      </x:c>
      <x:c r="G19" s="80" t="str"/>
      <x:c r="H19" s="80" t="str"/>
      <x:c r="I19" s="83" t="str">
        <x:v>JKX87</x:v>
      </x:c>
      <x:c r="J19" s="80" t="str">
        <x:v>Metalflake cerulean</x:v>
      </x:c>
      <x:c r="K19" s="82" t="str">
        <x:v>Hot Wheels logo, "H/W", "58", "BILSTEIN", gold stripes on sides, BMW roundel</x:v>
      </x:c>
      <x:c r="L19" s="82" t="str">
        <x:v>10SP</x:v>
      </x:c>
      <x:c r="M19" s="82" t="str"/>
      <x:c r="N19" s="82" t="str"/>
      <x:c r="O19" s="82" t="str"/>
      <x:c r="P19" s="82" t="str">
        <x:v>Malaysia</x:v>
      </x:c>
      <x:c r="Q19" s="82" t="str"/>
      <x:c r="R19" s="82" t="str">
        <x:v>Outra linha</x:v>
      </x:c>
      <x:c r="S19" s="82" t="str">
        <x:v>Comum / atual</x:v>
      </x:c>
      <x:c r="T19" s="82" t="str">
        <x:v>2026 — listado; confirmar disponibilidade</x:v>
      </x:c>
      <x:c r="U19" s="82" t="str">
        <x:v>Base code(s): V11N</x:v>
      </x:c>
      <x:c r="V19" s="80" t="str">
        <x:v>Coleção principal (~1:64)</x:v>
      </x:c>
      <x:c r="W19" s="82" t="str">
        <x:v>https://hotwheels.fandom.com/wiki/BMW_M3_Wagon</x:v>
      </x:c>
      <x:c r="X19" s="82" t="str">
        <x:v>https://hotwheels.fandom.com/wiki/BMW_M3_Wagon</x:v>
      </x:c>
    </x:row>
    <x:row r="20">
      <x:c r="A20" s="80" t="str">
        <x:v>Não</x:v>
      </x:c>
      <x:c r="B20" s="80" t="str">
        <x:v>1 — Comprar agora</x:v>
      </x:c>
      <x:c r="C20" s="81" t="n">
        <x:v>2026</x:v>
      </x:c>
      <x:c r="D20" s="80" t="str">
        <x:v>BMW M4</x:v>
      </x:c>
      <x:c r="E20" s="80" t="str">
        <x:v>BMW M4</x:v>
      </x:c>
      <x:c r="F20" s="82" t="str">
        <x:v>Neon Speeders 2/8</x:v>
      </x:c>
      <x:c r="G20" s="80" t="str"/>
      <x:c r="H20" s="80" t="str"/>
      <x:c r="I20" s="83" t="str">
        <x:v>JKY02</x:v>
      </x:c>
      <x:c r="J20" s="80" t="str">
        <x:v>White</x:v>
      </x:c>
      <x:c r="K20" s="82" t="str">
        <x:v>Detailed headlights, taillights, and trim, pink, blue and black diagonals, "4" on sides, Hella, Bilstein logos on door sills</x:v>
      </x:c>
      <x:c r="L20" s="82" t="str">
        <x:v>NS6</x:v>
      </x:c>
      <x:c r="M20" s="82" t="str">
        <x:v>Black / Plastic</x:v>
      </x:c>
      <x:c r="N20" s="82" t="str">
        <x:v>Smoke tint</x:v>
      </x:c>
      <x:c r="O20" s="82" t="str">
        <x:v>Black</x:v>
      </x:c>
      <x:c r="P20" s="82" t="str">
        <x:v>Indonesia</x:v>
      </x:c>
      <x:c r="Q20" s="82" t="str"/>
      <x:c r="R20" s="82" t="str">
        <x:v>Outra linha</x:v>
      </x:c>
      <x:c r="S20" s="82" t="str">
        <x:v>Comum / atual</x:v>
      </x:c>
      <x:c r="T20" s="82" t="str">
        <x:v>2026 — listado; confirmar disponibilidade</x:v>
      </x:c>
      <x:c r="U20" s="82" t="str">
        <x:v>Base code(s): V13I</x:v>
      </x:c>
      <x:c r="V20" s="80" t="str">
        <x:v>Coleção principal (~1:64)</x:v>
      </x:c>
      <x:c r="W20" s="82" t="str">
        <x:v>https://hotwheels.fandom.com/wiki/BMW_M4</x:v>
      </x:c>
      <x:c r="X20" s="82" t="str">
        <x:v>https://hotwheels.fandom.com/wiki/BMW_M4</x:v>
      </x:c>
    </x:row>
    <x:row r="21">
      <x:c r="A21" s="80" t="str">
        <x:v>Não</x:v>
      </x:c>
      <x:c r="B21" s="80" t="str">
        <x:v>1 — Comprar agora</x:v>
      </x:c>
      <x:c r="C21" s="81" t="n">
        <x:v>2026</x:v>
      </x:c>
      <x:c r="D21" s="80" t="str">
        <x:v>BMW M4 GT3</x:v>
      </x:c>
      <x:c r="E21" s="80" t="str">
        <x:v>BMW M4 GT3</x:v>
      </x:c>
      <x:c r="F21" s="82" t="str">
        <x:v>HW Starting Grid 5/10</x:v>
      </x:c>
      <x:c r="G21" s="80" t="str"/>
      <x:c r="H21" s="80" t="str">
        <x:v>073/250</x:v>
      </x:c>
      <x:c r="I21" s="83" t="str">
        <x:v>JJK96</x:v>
      </x:c>
      <x:c r="J21" s="80" t="str">
        <x:v>Matte black</x:v>
      </x:c>
      <x:c r="K21" s="82" t="str">
        <x:v>Detailed hood latches, BMW badge on nose, BMW M stripes on hood and sides, "2", Hot Wheels logo and M4 GT3 wordmark on sides</x:v>
      </x:c>
      <x:c r="L21" s="82" t="str">
        <x:v>Black Y5</x:v>
      </x:c>
      <x:c r="M21" s="82" t="str">
        <x:v>Black / Plastic</x:v>
      </x:c>
      <x:c r="N21" s="82" t="str">
        <x:v>Smoke tint</x:v>
      </x:c>
      <x:c r="O21" s="82" t="str">
        <x:v>Black</x:v>
      </x:c>
      <x:c r="P21" s="82" t="str">
        <x:v>Malaysia</x:v>
      </x:c>
      <x:c r="Q21" s="82" t="str"/>
      <x:c r="R21" s="82" t="str">
        <x:v>Mainline</x:v>
      </x:c>
      <x:c r="S21" s="82" t="str">
        <x:v>Comum / atual</x:v>
      </x:c>
      <x:c r="T21" s="82" t="str">
        <x:v>2026 — listado; confirmar disponibilidade</x:v>
      </x:c>
      <x:c r="U21" s="82" t="str"/>
      <x:c r="V21" s="80" t="str">
        <x:v>Coleção principal (~1:64)</x:v>
      </x:c>
      <x:c r="W21" s="82" t="str">
        <x:v>https://hotwheels.fandom.com/wiki/BMW_M4_GT3</x:v>
      </x:c>
      <x:c r="X21" s="82" t="str">
        <x:v>https://hotwheels.fandom.com/wiki/BMW_M4_GT3</x:v>
      </x:c>
    </x:row>
    <x:row r="22">
      <x:c r="A22" s="80" t="str">
        <x:v>Não</x:v>
      </x:c>
      <x:c r="B22" s="80" t="str">
        <x:v>1 — Comprar agora</x:v>
      </x:c>
      <x:c r="C22" s="81" t="n">
        <x:v>2026</x:v>
      </x:c>
      <x:c r="D22" s="80" t="str">
        <x:v>BMW M4 GT3</x:v>
      </x:c>
      <x:c r="E22" s="80" t="str">
        <x:v>BMW M4 GT3</x:v>
      </x:c>
      <x:c r="F22" s="82" t="str">
        <x:v>HW Starting Grid 5/10</x:v>
      </x:c>
      <x:c r="G22" s="80" t="str"/>
      <x:c r="H22" s="80" t="str">
        <x:v>073/250</x:v>
      </x:c>
      <x:c r="I22" s="83" t="str">
        <x:v>JNG69</x:v>
      </x:c>
      <x:c r="J22" s="80" t="str">
        <x:v>White</x:v>
      </x:c>
      <x:c r="K22" s="82" t="str">
        <x:v>Detailed hood latches, BMW badge on nose, BMW M stripes on hood and sides, "1", Hot Wheels logo and M4 GT3 wordmark on sides</x:v>
      </x:c>
      <x:c r="L22" s="82" t="str">
        <x:v>Black Y5</x:v>
      </x:c>
      <x:c r="M22" s="82" t="str">
        <x:v>Black / Plastic</x:v>
      </x:c>
      <x:c r="N22" s="82" t="str">
        <x:v>Smoke tint</x:v>
      </x:c>
      <x:c r="O22" s="82" t="str">
        <x:v>Black</x:v>
      </x:c>
      <x:c r="P22" s="82" t="str">
        <x:v>Malaysia</x:v>
      </x:c>
      <x:c r="Q22" s="82" t="str"/>
      <x:c r="R22" s="82" t="str">
        <x:v>Mainline</x:v>
      </x:c>
      <x:c r="S22" s="82" t="str">
        <x:v>Comum / atual</x:v>
      </x:c>
      <x:c r="T22" s="82" t="str">
        <x:v>2026 — listado; confirmar disponibilidade</x:v>
      </x:c>
      <x:c r="U22" s="82" t="str"/>
      <x:c r="V22" s="80" t="str">
        <x:v>Coleção principal (~1:64)</x:v>
      </x:c>
      <x:c r="W22" s="82" t="str">
        <x:v>https://hotwheels.fandom.com/wiki/BMW_M4_GT3</x:v>
      </x:c>
      <x:c r="X22" s="82" t="str">
        <x:v>https://hotwheels.fandom.com/wiki/BMW_M4_GT3</x:v>
      </x:c>
    </x:row>
    <x:row r="23">
      <x:c r="A23" s="80" t="str">
        <x:v>Não</x:v>
      </x:c>
      <x:c r="B23" s="80" t="str">
        <x:v>1 — Comprar agora</x:v>
      </x:c>
      <x:c r="C23" s="81" t="n">
        <x:v>2025</x:v>
      </x:c>
      <x:c r="D23" s="80" t="str">
        <x:v>'92 BMW M3</x:v>
      </x:c>
      <x:c r="E23" s="80" t="str">
        <x:v>'92 BMW M3</x:v>
      </x:c>
      <x:c r="F23" s="82" t="str">
        <x:v>BMW 3/5</x:v>
      </x:c>
      <x:c r="G23" s="80" t="str"/>
      <x:c r="H23" s="80" t="str"/>
      <x:c r="I23" s="83" t="str">
        <x:v>JBY56</x:v>
      </x:c>
      <x:c r="J23" s="80" t="str">
        <x:v>Alpine White</x:v>
      </x:c>
      <x:c r="K23" s="82" t="str">
        <x:v>Detailed headlights, taillights and trim, BMW M racing stripes on sides, black accent striping</x:v>
      </x:c>
      <x:c r="L23" s="82" t="str">
        <x:v>6SP</x:v>
      </x:c>
      <x:c r="M23" s="82" t="str">
        <x:v>Black / Plastic</x:v>
      </x:c>
      <x:c r="N23" s="82" t="str">
        <x:v>Smoke tint</x:v>
      </x:c>
      <x:c r="O23" s="82" t="str">
        <x:v>Black</x:v>
      </x:c>
      <x:c r="P23" s="82" t="str">
        <x:v>Indonesia</x:v>
      </x:c>
      <x:c r="Q23" s="82" t="str"/>
      <x:c r="R23" s="82" t="str">
        <x:v>Outra linha</x:v>
      </x:c>
      <x:c r="S23" s="82" t="str">
        <x:v>Comum / atual</x:v>
      </x:c>
      <x:c r="T23" s="82" t="str">
        <x:v>Lançado</x:v>
      </x:c>
      <x:c r="U23" s="82" t="str">
        <x:v>Base code(s): U07I, U13I, U25I</x:v>
      </x:c>
      <x:c r="V23" s="80" t="str">
        <x:v>Coleção principal (~1:64)</x:v>
      </x:c>
      <x:c r="W23" s="82" t="str">
        <x:v>https://hotwheels.fandom.com/wiki/%2792_BMW_M3</x:v>
      </x:c>
      <x:c r="X23" s="82" t="str">
        <x:v>https://hotwheels.fandom.com/wiki/%2792_BMW_M3</x:v>
      </x:c>
    </x:row>
    <x:row r="24">
      <x:c r="A24" s="80" t="str">
        <x:v>Não</x:v>
      </x:c>
      <x:c r="B24" s="80" t="str">
        <x:v>1 — Comprar agora</x:v>
      </x:c>
      <x:c r="C24" s="81" t="n">
        <x:v>2025</x:v>
      </x:c>
      <x:c r="D24" s="80" t="str">
        <x:v>1975 BMW 3.0 CSL Race</x:v>
      </x:c>
      <x:c r="E24" s="80" t="str">
        <x:v>1975 BMW 3.0 CSL Race</x:v>
      </x:c>
      <x:c r="F24" s="82" t="str">
        <x:v>Elite 64</x:v>
      </x:c>
      <x:c r="G24" s="80" t="str"/>
      <x:c r="H24" s="80" t="str"/>
      <x:c r="I24" s="83" t="str">
        <x:v>JCP42</x:v>
      </x:c>
      <x:c r="J24" s="80" t="str"/>
      <x:c r="K24" s="82" t="str"/>
      <x:c r="L24" s="82" t="str"/>
      <x:c r="M24" s="82" t="str"/>
      <x:c r="N24" s="82" t="str"/>
      <x:c r="O24" s="82" t="str"/>
      <x:c r="P24" s="82" t="str"/>
      <x:c r="Q24" s="82" t="str"/>
      <x:c r="R24" s="82" t="str">
        <x:v>Elite 64</x:v>
      </x:c>
      <x:c r="S24" s="82" t="str">
        <x:v>Incomum</x:v>
      </x:c>
      <x:c r="T24" s="82" t="str">
        <x:v>Lançado</x:v>
      </x:c>
      <x:c r="U24" s="82" t="str"/>
      <x:c r="V24" s="80" t="str">
        <x:v>Coleção principal (~1:64)</x:v>
      </x:c>
      <x:c r="W24" s="82" t="str">
        <x:v>https://hotwheels.fandom.com/wiki/BMW</x:v>
      </x:c>
      <x:c r="X24" s="82" t="str">
        <x:v>https://hotwheels.fandom.com/wiki/1975_BMW_3.0_CSL_Race</x:v>
      </x:c>
    </x:row>
    <x:row r="25">
      <x:c r="A25" s="80" t="str">
        <x:v>Não</x:v>
      </x:c>
      <x:c r="B25" s="80" t="str">
        <x:v>1 — Comprar agora</x:v>
      </x:c>
      <x:c r="C25" s="81" t="n">
        <x:v>2025</x:v>
      </x:c>
      <x:c r="D25" s="80" t="str">
        <x:v>1975 BMW 3.0 CSL Race</x:v>
      </x:c>
      <x:c r="E25" s="80" t="str">
        <x:v>1975 BMW 3.0 CSL Race</x:v>
      </x:c>
      <x:c r="F25" s="82" t="str">
        <x:v>Elite 64</x:v>
      </x:c>
      <x:c r="G25" s="80" t="str"/>
      <x:c r="H25" s="80" t="str"/>
      <x:c r="I25" s="83" t="str">
        <x:v>China</x:v>
      </x:c>
      <x:c r="J25" s="80" t="str">
        <x:v>Gloss white</x:v>
      </x:c>
      <x:c r="K25" s="82" t="str">
        <x:v>BMW M livery</x:v>
      </x:c>
      <x:c r="L25" s="82" t="str">
        <x:v>RR</x:v>
      </x:c>
      <x:c r="M25" s="82" t="str">
        <x:v>Black / Metal</x:v>
      </x:c>
      <x:c r="N25" s="82" t="str">
        <x:v>Light smoke tint</x:v>
      </x:c>
      <x:c r="O25" s="82" t="str">
        <x:v>Black</x:v>
      </x:c>
      <x:c r="P25" s="82" t="str">
        <x:v>JCP42</x:v>
      </x:c>
      <x:c r="Q25" s="82" t="str"/>
      <x:c r="R25" s="82" t="str">
        <x:v>Elite 64</x:v>
      </x:c>
      <x:c r="S25" s="82" t="str">
        <x:v>Incomum</x:v>
      </x:c>
      <x:c r="T25" s="82" t="str">
        <x:v>Lançado</x:v>
      </x:c>
      <x:c r="U25" s="82" t="str">
        <x:v>Production code(s): 2235YY, 2435YY, 2585YY, 2615YY</x:v>
      </x:c>
      <x:c r="V25" s="80" t="str">
        <x:v>Coleção principal (~1:64)</x:v>
      </x:c>
      <x:c r="W25" s="82" t="str">
        <x:v>https://hotwheels.fandom.com/wiki/1975_BMW_3.0_CSL_Race</x:v>
      </x:c>
      <x:c r="X25" s="82" t="str">
        <x:v>https://hotwheels.fandom.com/wiki/1975_BMW_3.0_CSL_Race</x:v>
      </x:c>
    </x:row>
    <x:row r="26">
      <x:c r="A26" s="80" t="str">
        <x:v>Não</x:v>
      </x:c>
      <x:c r="B26" s="80" t="str">
        <x:v>1 — Comprar agora</x:v>
      </x:c>
      <x:c r="C26" s="81" t="n">
        <x:v>2025</x:v>
      </x:c>
      <x:c r="D26" s="80" t="str">
        <x:v>1991 BMW M5</x:v>
      </x:c>
      <x:c r="E26" s="80" t="str">
        <x:v>1991 BMW M5</x:v>
      </x:c>
      <x:c r="F26" s="82" t="str">
        <x:v>Hot Wheels Boulevard #118</x:v>
      </x:c>
      <x:c r="G26" s="80" t="str"/>
      <x:c r="H26" s="80" t="str"/>
      <x:c r="I26" s="83" t="str">
        <x:v>JBL24</x:v>
      </x:c>
      <x:c r="J26" s="80" t="str">
        <x:v>White</x:v>
      </x:c>
      <x:c r="K26" s="82" t="str">
        <x:v>Detailed headlights and taillights, "BAHN BRNR" on rear license plate</x:v>
      </x:c>
      <x:c r="L26" s="82" t="str">
        <x:v>GRR5SPM</x:v>
      </x:c>
      <x:c r="M26" s="82" t="str">
        <x:v>Black / Metal</x:v>
      </x:c>
      <x:c r="N26" s="82" t="str">
        <x:v>Smoke tint</x:v>
      </x:c>
      <x:c r="O26" s="82" t="str">
        <x:v>Black</x:v>
      </x:c>
      <x:c r="P26" s="82" t="str">
        <x:v>Thailand</x:v>
      </x:c>
      <x:c r="Q26" s="82" t="str"/>
      <x:c r="R26" s="82" t="str">
        <x:v>Premium</x:v>
      </x:c>
      <x:c r="S26" s="82" t="str">
        <x:v>Incomum</x:v>
      </x:c>
      <x:c r="T26" s="82" t="str">
        <x:v>Lançado</x:v>
      </x:c>
      <x:c r="U26" s="82" t="str">
        <x:v>Base code(s): T45, T46, T47</x:v>
      </x:c>
      <x:c r="V26" s="80" t="str">
        <x:v>Coleção principal (~1:64)</x:v>
      </x:c>
      <x:c r="W26" s="82" t="str">
        <x:v>https://hotwheels.fandom.com/wiki/1991_BMW_M5</x:v>
      </x:c>
      <x:c r="X26" s="82" t="str">
        <x:v>https://hotwheels.fandom.com/wiki/1991_BMW_M5</x:v>
      </x:c>
    </x:row>
    <x:row r="27">
      <x:c r="A27" s="80" t="str">
        <x:v>Não</x:v>
      </x:c>
      <x:c r="B27" s="80" t="str">
        <x:v>1 — Comprar agora</x:v>
      </x:c>
      <x:c r="C27" s="81" t="n">
        <x:v>2025</x:v>
      </x:c>
      <x:c r="D27" s="80" t="str">
        <x:v>2001 BMW M5</x:v>
      </x:c>
      <x:c r="E27" s="80" t="str">
        <x:v>2001 BMW M5</x:v>
      </x:c>
      <x:c r="F27" s="82" t="str">
        <x:v>BMW 5/5</x:v>
      </x:c>
      <x:c r="G27" s="80" t="str"/>
      <x:c r="H27" s="80" t="str"/>
      <x:c r="I27" s="83" t="str">
        <x:v>JBY58</x:v>
      </x:c>
      <x:c r="J27" s="80" t="str">
        <x:v>Titanium Silver</x:v>
      </x:c>
      <x:c r="K27" s="82" t="str">
        <x:v>Detailed headlights, taillights and trim, black, red, and blue stripes, Hot Wheels logo on sides, "M5 E39" on rear black Hot Wheels license plate</x:v>
      </x:c>
      <x:c r="L27" s="82" t="str">
        <x:v>Chrome lip, black MM5</x:v>
      </x:c>
      <x:c r="M27" s="82" t="str">
        <x:v>Black / Metal</x:v>
      </x:c>
      <x:c r="N27" s="82" t="str">
        <x:v>Smoke tint</x:v>
      </x:c>
      <x:c r="O27" s="82" t="str">
        <x:v>Black</x:v>
      </x:c>
      <x:c r="P27" s="82" t="str">
        <x:v>Indonesia</x:v>
      </x:c>
      <x:c r="Q27" s="82" t="str"/>
      <x:c r="R27" s="82" t="str">
        <x:v>Outra linha</x:v>
      </x:c>
      <x:c r="S27" s="82" t="str">
        <x:v>Comum / atual</x:v>
      </x:c>
      <x:c r="T27" s="82" t="str">
        <x:v>Lançado</x:v>
      </x:c>
      <x:c r="U27" s="82" t="str">
        <x:v>Base code(s): U07I, U11I, U13I, U25I</x:v>
      </x:c>
      <x:c r="V27" s="80" t="str">
        <x:v>Coleção principal (~1:64)</x:v>
      </x:c>
      <x:c r="W27" s="82" t="str">
        <x:v>https://hotwheels.fandom.com/wiki/2001_BMW_M5</x:v>
      </x:c>
      <x:c r="X27" s="82" t="str">
        <x:v>https://hotwheels.fandom.com/wiki/2001_BMW_M5</x:v>
      </x:c>
    </x:row>
    <x:row r="28">
      <x:c r="A28" s="80" t="str">
        <x:v>Não</x:v>
      </x:c>
      <x:c r="B28" s="80" t="str">
        <x:v>1 — Comprar agora</x:v>
      </x:c>
      <x:c r="C28" s="81" t="n">
        <x:v>2025</x:v>
      </x:c>
      <x:c r="D28" s="80" t="str">
        <x:v>2016 BMW M2</x:v>
      </x:c>
      <x:c r="E28" s="80" t="str">
        <x:v>2016 BMW M2</x:v>
      </x:c>
      <x:c r="F28" s="82" t="str">
        <x:v>BMW 2/5</x:v>
      </x:c>
      <x:c r="G28" s="80" t="str"/>
      <x:c r="H28" s="80" t="str"/>
      <x:c r="I28" s="83" t="str">
        <x:v>JBY55</x:v>
      </x:c>
      <x:c r="J28" s="80" t="str">
        <x:v>Austin Yellow</x:v>
      </x:c>
      <x:c r="K28" s="82" t="str">
        <x:v>Detailed headlights, taillights and trim</x:v>
      </x:c>
      <x:c r="L28" s="82" t="str">
        <x:v>Black MM5</x:v>
      </x:c>
      <x:c r="M28" s="82" t="str">
        <x:v>Black / Plastic</x:v>
      </x:c>
      <x:c r="N28" s="82" t="str">
        <x:v>Smoke tint</x:v>
      </x:c>
      <x:c r="O28" s="82" t="str">
        <x:v>Black</x:v>
      </x:c>
      <x:c r="P28" s="82" t="str">
        <x:v>Indonesia</x:v>
      </x:c>
      <x:c r="Q28" s="82" t="str"/>
      <x:c r="R28" s="82" t="str">
        <x:v>Outra linha</x:v>
      </x:c>
      <x:c r="S28" s="82" t="str">
        <x:v>Comum / atual</x:v>
      </x:c>
      <x:c r="T28" s="82" t="str">
        <x:v>Lançado</x:v>
      </x:c>
      <x:c r="U28" s="82" t="str">
        <x:v>Base code(s): U07I, U13I, U25I</x:v>
      </x:c>
      <x:c r="V28" s="80" t="str">
        <x:v>Coleção principal (~1:64)</x:v>
      </x:c>
      <x:c r="W28" s="82" t="str">
        <x:v>https://hotwheels.fandom.com/wiki/2016_BMW_M2</x:v>
      </x:c>
      <x:c r="X28" s="82" t="str">
        <x:v>https://hotwheels.fandom.com/wiki/2016_BMW_M2</x:v>
      </x:c>
    </x:row>
    <x:row r="29">
      <x:c r="A29" s="80" t="str">
        <x:v>Não</x:v>
      </x:c>
      <x:c r="B29" s="80" t="str">
        <x:v>1 — Comprar agora</x:v>
      </x:c>
      <x:c r="C29" s="81" t="n">
        <x:v>2025</x:v>
      </x:c>
      <x:c r="D29" s="80" t="str">
        <x:v>2021 BMW M5</x:v>
      </x:c>
      <x:c r="E29" s="80" t="str">
        <x:v>2021 BMW M5</x:v>
      </x:c>
      <x:c r="F29" s="82" t="str">
        <x:v>Pop Culture: Mission Impossible: Dead Reckoning</x:v>
      </x:c>
      <x:c r="G29" s="80" t="str"/>
      <x:c r="H29" s="80" t="str"/>
      <x:c r="I29" s="83" t="str">
        <x:v>JBL58</x:v>
      </x:c>
      <x:c r="J29" s="80" t="str">
        <x:v>Singapore Grey Metallic</x:v>
      </x:c>
      <x:c r="K29" s="82" t="str">
        <x:v>Detailed headlights, taillights and trim, "881 JK 43" European license plate</x:v>
      </x:c>
      <x:c r="L29" s="82" t="str">
        <x:v>Black RR10SPM</x:v>
      </x:c>
      <x:c r="M29" s="82" t="str">
        <x:v>Black / Metal</x:v>
      </x:c>
      <x:c r="N29" s="82" t="str">
        <x:v>Clear</x:v>
      </x:c>
      <x:c r="O29" s="82" t="str">
        <x:v>Black</x:v>
      </x:c>
      <x:c r="P29" s="82" t="str">
        <x:v>Indonesia</x:v>
      </x:c>
      <x:c r="Q29" s="82" t="str"/>
      <x:c r="R29" s="82" t="str">
        <x:v>Premium</x:v>
      </x:c>
      <x:c r="S29" s="82" t="str">
        <x:v>Incomum</x:v>
      </x:c>
      <x:c r="T29" s="82" t="str">
        <x:v>Lançado</x:v>
      </x:c>
      <x:c r="U29" s="82" t="str">
        <x:v>Base code(s): U19I, U23I, U26I</x:v>
      </x:c>
      <x:c r="V29" s="80" t="str">
        <x:v>Coleção principal (~1:64)</x:v>
      </x:c>
      <x:c r="W29" s="82" t="str">
        <x:v>https://hotwheels.fandom.com/wiki/2021_BMW_M5</x:v>
      </x:c>
      <x:c r="X29" s="82" t="str">
        <x:v>https://hotwheels.fandom.com/wiki/2021_BMW_M5</x:v>
      </x:c>
    </x:row>
    <x:row r="30">
      <x:c r="A30" s="80" t="str">
        <x:v>Não</x:v>
      </x:c>
      <x:c r="B30" s="80" t="str">
        <x:v>1 — Comprar agora</x:v>
      </x:c>
      <x:c r="C30" s="81" t="n">
        <x:v>2025</x:v>
      </x:c>
      <x:c r="D30" s="80" t="str">
        <x:v>BMW 2002</x:v>
      </x:c>
      <x:c r="E30" s="80" t="str">
        <x:v>BMW 2002</x:v>
      </x:c>
      <x:c r="F30" s="82" t="str">
        <x:v>HW: '70s vs. '90s 5/10</x:v>
      </x:c>
      <x:c r="G30" s="80" t="str"/>
      <x:c r="H30" s="80" t="str">
        <x:v>077/250</x:v>
      </x:c>
      <x:c r="I30" s="83" t="str">
        <x:v>JBB61</x:v>
      </x:c>
      <x:c r="J30" s="80" t="str">
        <x:v>Metalflake Blue</x:v>
      </x:c>
      <x:c r="K30" s="82" t="str">
        <x:v>Silver trim, BMW badging, detailed gas cap, BMW M graphics on sides</x:v>
      </x:c>
      <x:c r="L30" s="82" t="str">
        <x:v>Chrome lip OH5</x:v>
      </x:c>
      <x:c r="M30" s="82" t="str">
        <x:v>Dark Grey / Plastic</x:v>
      </x:c>
      <x:c r="N30" s="82" t="str">
        <x:v>Light Smoke tint</x:v>
      </x:c>
      <x:c r="O30" s="82" t="str">
        <x:v>Dark Grey</x:v>
      </x:c>
      <x:c r="P30" s="82" t="str">
        <x:v>Malaysia</x:v>
      </x:c>
      <x:c r="Q30" s="82" t="str"/>
      <x:c r="R30" s="82" t="str">
        <x:v>Mainline</x:v>
      </x:c>
      <x:c r="S30" s="82" t="str">
        <x:v>Comum / atual</x:v>
      </x:c>
      <x:c r="T30" s="82" t="str">
        <x:v>Lançado</x:v>
      </x:c>
      <x:c r="U30" s="82" t="str">
        <x:v>Base code(s): U22N, U24N, U25N, U27N</x:v>
      </x:c>
      <x:c r="V30" s="80" t="str">
        <x:v>Coleção principal (~1:64)</x:v>
      </x:c>
      <x:c r="W30" s="82" t="str">
        <x:v>https://hotwheels.fandom.com/wiki/BMW_2002</x:v>
      </x:c>
      <x:c r="X30" s="82" t="str">
        <x:v>https://hotwheels.fandom.com/wiki/BMW_2002</x:v>
      </x:c>
    </x:row>
    <x:row r="31">
      <x:c r="A31" s="80" t="str">
        <x:v>Não</x:v>
      </x:c>
      <x:c r="B31" s="80" t="str">
        <x:v>1 — Comprar agora</x:v>
      </x:c>
      <x:c r="C31" s="81" t="n">
        <x:v>2025</x:v>
      </x:c>
      <x:c r="D31" s="80" t="str">
        <x:v>BMW 2002</x:v>
      </x:c>
      <x:c r="E31" s="80" t="str">
        <x:v>BMW 2002</x:v>
      </x:c>
      <x:c r="F31" s="82" t="str">
        <x:v>HW: '70s vs. '90s 5/10</x:v>
      </x:c>
      <x:c r="G31" s="80" t="str"/>
      <x:c r="H31" s="80" t="str">
        <x:v>077/250</x:v>
      </x:c>
      <x:c r="I31" s="83" t="str">
        <x:v>HYX21</x:v>
      </x:c>
      <x:c r="J31" s="80" t="str">
        <x:v>Mustard Yellow</x:v>
      </x:c>
      <x:c r="K31" s="82" t="str">
        <x:v>Silver trim, BMW badging, detailed gas cap, BMW M graphics on sides</x:v>
      </x:c>
      <x:c r="L31" s="82" t="str">
        <x:v>Chrome Lip L4</x:v>
      </x:c>
      <x:c r="M31" s="82" t="str">
        <x:v>Black / Plastic</x:v>
      </x:c>
      <x:c r="N31" s="82" t="str">
        <x:v>Clear</x:v>
      </x:c>
      <x:c r="O31" s="82" t="str">
        <x:v>Black</x:v>
      </x:c>
      <x:c r="P31" s="82" t="str">
        <x:v>Malaysia</x:v>
      </x:c>
      <x:c r="Q31" s="82" t="str"/>
      <x:c r="R31" s="82" t="str">
        <x:v>Mainline</x:v>
      </x:c>
      <x:c r="S31" s="82" t="str">
        <x:v>Comum / atual</x:v>
      </x:c>
      <x:c r="T31" s="82" t="str">
        <x:v>Lançado</x:v>
      </x:c>
      <x:c r="U31" s="82" t="str">
        <x:v>Base code(s): T50N, T51N, U01N, U02N, U03N, U05N</x:v>
      </x:c>
      <x:c r="V31" s="80" t="str">
        <x:v>Coleção principal (~1:64)</x:v>
      </x:c>
      <x:c r="W31" s="82" t="str">
        <x:v>https://hotwheels.fandom.com/wiki/BMW_2002</x:v>
      </x:c>
      <x:c r="X31" s="82" t="str">
        <x:v>https://hotwheels.fandom.com/wiki/BMW_2002</x:v>
      </x:c>
    </x:row>
    <x:row r="32">
      <x:c r="A32" s="80" t="str">
        <x:v>Não</x:v>
      </x:c>
      <x:c r="B32" s="80" t="str">
        <x:v>1 — Comprar agora</x:v>
      </x:c>
      <x:c r="C32" s="81" t="n">
        <x:v>2025</x:v>
      </x:c>
      <x:c r="D32" s="80" t="str">
        <x:v>BMW 2002</x:v>
      </x:c>
      <x:c r="E32" s="80" t="str">
        <x:v>BMW 2002</x:v>
      </x:c>
      <x:c r="F32" s="82" t="str">
        <x:v>Neon Speeders 8/8</x:v>
      </x:c>
      <x:c r="G32" s="80" t="str"/>
      <x:c r="H32" s="80" t="str"/>
      <x:c r="I32" s="83" t="str">
        <x:v>JCB07</x:v>
      </x:c>
      <x:c r="J32" s="80" t="str">
        <x:v>Neon Yellow</x:v>
      </x:c>
      <x:c r="K32" s="82" t="str">
        <x:v>Detailed headlights, taillights and reflectors, black striping, BMW M logomarks</x:v>
      </x:c>
      <x:c r="L32" s="82" t="str">
        <x:v>GNS6</x:v>
      </x:c>
      <x:c r="M32" s="82" t="str">
        <x:v>ZAMAC</x:v>
      </x:c>
      <x:c r="N32" s="82" t="str">
        <x:v>Smoke tint</x:v>
      </x:c>
      <x:c r="O32" s="82" t="str">
        <x:v>Black</x:v>
      </x:c>
      <x:c r="P32" s="82" t="str">
        <x:v>Indonesia</x:v>
      </x:c>
      <x:c r="Q32" s="82" t="str"/>
      <x:c r="R32" s="82" t="str">
        <x:v>Outra linha</x:v>
      </x:c>
      <x:c r="S32" s="82" t="str">
        <x:v>Comum / atual</x:v>
      </x:c>
      <x:c r="T32" s="82" t="str">
        <x:v>Lançado</x:v>
      </x:c>
      <x:c r="U32" s="82" t="str">
        <x:v>Base code(s): U06I, U09I, U10I, U11I, U13I, U15I</x:v>
      </x:c>
      <x:c r="V32" s="80" t="str">
        <x:v>Coleção principal (~1:64)</x:v>
      </x:c>
      <x:c r="W32" s="82" t="str">
        <x:v>https://hotwheels.fandom.com/wiki/BMW_2002</x:v>
      </x:c>
      <x:c r="X32" s="82" t="str">
        <x:v>https://hotwheels.fandom.com/wiki/BMW_2002</x:v>
      </x:c>
    </x:row>
    <x:row r="33">
      <x:c r="A33" s="80" t="str">
        <x:v>Não</x:v>
      </x:c>
      <x:c r="B33" s="80" t="str">
        <x:v>1 — Comprar agora</x:v>
      </x:c>
      <x:c r="C33" s="81" t="n">
        <x:v>2025</x:v>
      </x:c>
      <x:c r="D33" s="80" t="str">
        <x:v>BMW 507</x:v>
      </x:c>
      <x:c r="E33" s="80" t="str">
        <x:v>BMW 507</x:v>
      </x:c>
      <x:c r="F33" s="82" t="str">
        <x:v>European Car Culture Themed Multipack</x:v>
      </x:c>
      <x:c r="G33" s="80" t="str"/>
      <x:c r="H33" s="80" t="str"/>
      <x:c r="I33" s="83" t="str">
        <x:v>JBY79</x:v>
      </x:c>
      <x:c r="J33" s="80" t="str">
        <x:v>Metalflake Altelfenbein</x:v>
      </x:c>
      <x:c r="K33" s="82" t="str">
        <x:v>Detailed headlamps, taillights, front and side trim, "M HW 507" rear plates</x:v>
      </x:c>
      <x:c r="L33" s="82" t="str">
        <x:v>C5</x:v>
      </x:c>
      <x:c r="M33" s="82" t="str">
        <x:v>Chrome / Plastic</x:v>
      </x:c>
      <x:c r="N33" s="82" t="str">
        <x:v>Clear</x:v>
      </x:c>
      <x:c r="O33" s="82" t="str">
        <x:v>Red</x:v>
      </x:c>
      <x:c r="P33" s="82" t="str">
        <x:v>Thailand</x:v>
      </x:c>
      <x:c r="Q33" s="82" t="str"/>
      <x:c r="R33" s="82" t="str">
        <x:v>Premium</x:v>
      </x:c>
      <x:c r="S33" s="82" t="str">
        <x:v>Incomum</x:v>
      </x:c>
      <x:c r="T33" s="82" t="str">
        <x:v>Lançado</x:v>
      </x:c>
      <x:c r="U33" s="82" t="str">
        <x:v>Base code(s): U09A, U27A</x:v>
      </x:c>
      <x:c r="V33" s="80" t="str">
        <x:v>Coleção principal (~1:64)</x:v>
      </x:c>
      <x:c r="W33" s="82" t="str">
        <x:v>https://hotwheels.fandom.com/wiki/BMW_507</x:v>
      </x:c>
      <x:c r="X33" s="82" t="str">
        <x:v>https://hotwheels.fandom.com/wiki/BMW_507</x:v>
      </x:c>
    </x:row>
    <x:row r="34">
      <x:c r="A34" s="80" t="str">
        <x:v>Não</x:v>
      </x:c>
      <x:c r="B34" s="80" t="str">
        <x:v>1 — Comprar agora</x:v>
      </x:c>
      <x:c r="C34" s="81" t="n">
        <x:v>2025</x:v>
      </x:c>
      <x:c r="D34" s="80" t="str">
        <x:v>BMW 635 CSi</x:v>
      </x:c>
      <x:c r="E34" s="80" t="str">
        <x:v>BMW 635 CSi</x:v>
      </x:c>
      <x:c r="F34" s="82" t="str">
        <x:v>Wild Widebody / 1/5</x:v>
      </x:c>
      <x:c r="G34" s="80" t="str"/>
      <x:c r="H34" s="80" t="str">
        <x:v>185/250</x:v>
      </x:c>
      <x:c r="I34" s="83" t="str">
        <x:v>HYW38</x:v>
      </x:c>
      <x:c r="J34" s="80" t="str">
        <x:v>Metalflake Black</x:v>
      </x:c>
      <x:c r="K34" s="82" t="str">
        <x:v>Gold accents, "HWS", "35", " ★ BRYAN Z. ★ ANDRES A. ★ DANIEL L ." on roof and sides, Castrol, Mothers logos, "HWGRFX", "A A " on sides</x:v>
      </x:c>
      <x:c r="L34" s="82" t="str">
        <x:v>Gold L4</x:v>
      </x:c>
      <x:c r="M34" s="82" t="str">
        <x:v>Black / / / Plastic</x:v>
      </x:c>
      <x:c r="N34" s="82" t="str">
        <x:v>Smoke tint</x:v>
      </x:c>
      <x:c r="O34" s="82" t="str">
        <x:v>Dark chrome</x:v>
      </x:c>
      <x:c r="P34" s="82" t="str">
        <x:v>Malaysia</x:v>
      </x:c>
      <x:c r="Q34" s="82" t="str"/>
      <x:c r="R34" s="82" t="str">
        <x:v>Mainline</x:v>
      </x:c>
      <x:c r="S34" s="82" t="str">
        <x:v>Comum / atual</x:v>
      </x:c>
      <x:c r="T34" s="82" t="str">
        <x:v>Lançado</x:v>
      </x:c>
      <x:c r="U34" s="82" t="str">
        <x:v>New Model / Base code(s): U06N, U07N, U09N, U10N</x:v>
      </x:c>
      <x:c r="V34" s="80" t="str">
        <x:v>Coleção principal (~1:64)</x:v>
      </x:c>
      <x:c r="W34" s="82" t="str">
        <x:v>https://hotwheels.fandom.com/wiki/BMW_635_CSi</x:v>
      </x:c>
      <x:c r="X34" s="82" t="str">
        <x:v>https://hotwheels.fandom.com/wiki/BMW_635_CSi</x:v>
      </x:c>
    </x:row>
    <x:row r="35">
      <x:c r="A35" s="80" t="str">
        <x:v>Não</x:v>
      </x:c>
      <x:c r="B35" s="80" t="str">
        <x:v>1 — Comprar agora</x:v>
      </x:c>
      <x:c r="C35" s="81" t="n">
        <x:v>2025</x:v>
      </x:c>
      <x:c r="D35" s="80" t="str">
        <x:v>BMW 635 CSi</x:v>
      </x:c>
      <x:c r="E35" s="80" t="str">
        <x:v>BMW 635 CSi</x:v>
      </x:c>
      <x:c r="F35" s="82" t="str">
        <x:v>Wild Widebody 1/5</x:v>
      </x:c>
      <x:c r="G35" s="80" t="str"/>
      <x:c r="H35" s="80" t="str">
        <x:v>185/250</x:v>
      </x:c>
      <x:c r="I35" s="83" t="str">
        <x:v>HYW38</x:v>
      </x:c>
      <x:c r="J35" s="80" t="str">
        <x:v>Metalflake Black with blue metalflake</x:v>
      </x:c>
      <x:c r="K35" s="82" t="str">
        <x:v>Gold accents, "HWS", "35", "★ BRYAN Z. ★ ANDRES A. ★ DANIEL L ." on roof and sides, Castrol, Mothers logos, "HWGRFX", "AA" on sides</x:v>
      </x:c>
      <x:c r="L35" s="82" t="str">
        <x:v>Gold L4</x:v>
      </x:c>
      <x:c r="M35" s="82" t="str">
        <x:v>Black / Plastic</x:v>
      </x:c>
      <x:c r="N35" s="82" t="str">
        <x:v>Smoke tint</x:v>
      </x:c>
      <x:c r="O35" s="82" t="str">
        <x:v>Dark chrome</x:v>
      </x:c>
      <x:c r="P35" s="82" t="str">
        <x:v>Malaysia</x:v>
      </x:c>
      <x:c r="Q35" s="82" t="str"/>
      <x:c r="R35" s="82" t="str">
        <x:v>Mainline</x:v>
      </x:c>
      <x:c r="S35" s="82" t="str">
        <x:v>Comum / atual</x:v>
      </x:c>
      <x:c r="T35" s="82" t="str">
        <x:v>Lançado</x:v>
      </x:c>
      <x:c r="U35" s="82" t="str">
        <x:v>New Model Base code(s): U06N, U07N, U09N, U10N</x:v>
      </x:c>
      <x:c r="V35" s="80" t="str">
        <x:v>Coleção principal (~1:64)</x:v>
      </x:c>
      <x:c r="W35" s="82" t="str">
        <x:v>https://hotwheels.fandom.com/wiki/BMW_635_CSi</x:v>
      </x:c>
      <x:c r="X35" s="82" t="str">
        <x:v>https://hotwheels.fandom.com/wiki/BMW_635_CSi</x:v>
      </x:c>
    </x:row>
    <x:row r="36">
      <x:c r="A36" s="80" t="str">
        <x:v>Não</x:v>
      </x:c>
      <x:c r="B36" s="80" t="str">
        <x:v>1 — Comprar agora</x:v>
      </x:c>
      <x:c r="C36" s="81" t="n">
        <x:v>2025</x:v>
      </x:c>
      <x:c r="D36" s="80" t="str">
        <x:v>BMW 635 CSi</x:v>
      </x:c>
      <x:c r="E36" s="80" t="str">
        <x:v>BMW 635 CSi</x:v>
      </x:c>
      <x:c r="F36" s="82" t="str">
        <x:v>Wild Widebody 1/5</x:v>
      </x:c>
      <x:c r="G36" s="80" t="str"/>
      <x:c r="H36" s="80" t="str">
        <x:v>185/250</x:v>
      </x:c>
      <x:c r="I36" s="83" t="str">
        <x:v>JBB84</x:v>
      </x:c>
      <x:c r="J36" s="80" t="str">
        <x:v>Orange</x:v>
      </x:c>
      <x:c r="K36" s="82" t="str">
        <x:v>White accents, "HWS", "35", "★ BRYAN Z. ★ ANDRES A. ★ DANIEL L.", on roof and sides, Castrol, Mothers logos, "HWGRFX", "AA" on sides</x:v>
      </x:c>
      <x:c r="L36" s="82" t="str">
        <x:v>E10SP</x:v>
      </x:c>
      <x:c r="M36" s="82" t="str">
        <x:v>Orange / Plastic</x:v>
      </x:c>
      <x:c r="N36" s="82" t="str">
        <x:v>Smoke tint</x:v>
      </x:c>
      <x:c r="O36" s="82" t="str">
        <x:v>Chrome</x:v>
      </x:c>
      <x:c r="P36" s="82" t="str">
        <x:v>Malaysia</x:v>
      </x:c>
      <x:c r="Q36" s="82" t="str"/>
      <x:c r="R36" s="82" t="str">
        <x:v>Mainline</x:v>
      </x:c>
      <x:c r="S36" s="82" t="str">
        <x:v>Comum / atual</x:v>
      </x:c>
      <x:c r="T36" s="82" t="str">
        <x:v>Lançado</x:v>
      </x:c>
      <x:c r="U36" s="82" t="str">
        <x:v>New Model Base code(s): U28N, U30N, U31N</x:v>
      </x:c>
      <x:c r="V36" s="80" t="str">
        <x:v>Coleção principal (~1:64)</x:v>
      </x:c>
      <x:c r="W36" s="82" t="str">
        <x:v>https://hotwheels.fandom.com/wiki/BMW_635_CSi</x:v>
      </x:c>
      <x:c r="X36" s="82" t="str">
        <x:v>https://hotwheels.fandom.com/wiki/BMW_635_CSi</x:v>
      </x:c>
    </x:row>
    <x:row r="37">
      <x:c r="A37" s="80" t="str">
        <x:v>Não</x:v>
      </x:c>
      <x:c r="B37" s="80" t="str">
        <x:v>1 — Comprar agora</x:v>
      </x:c>
      <x:c r="C37" s="81" t="n">
        <x:v>2025</x:v>
      </x:c>
      <x:c r="D37" s="80" t="str">
        <x:v>BMW E36 M3 Race</x:v>
      </x:c>
      <x:c r="E37" s="80" t="str">
        <x:v>BMW E36 M3 Race</x:v>
      </x:c>
      <x:c r="F37" s="82" t="str">
        <x:v>Mattel 80th Anniversary Multipack</x:v>
      </x:c>
      <x:c r="G37" s="80" t="str"/>
      <x:c r="H37" s="80" t="str"/>
      <x:c r="I37" s="83" t="str">
        <x:v>JGK09</x:v>
      </x:c>
      <x:c r="J37" s="80" t="str">
        <x:v>Red Metallic</x:v>
      </x:c>
      <x:c r="K37" s="82" t="str">
        <x:v>Detailed headlights, taillights and trim, maroon accents, Hot Wheels and Mattel 80th Anniversary logos on sides</x:v>
      </x:c>
      <x:c r="L37" s="82" t="str">
        <x:v>MM5</x:v>
      </x:c>
      <x:c r="M37" s="82" t="str">
        <x:v>Black / Metal</x:v>
      </x:c>
      <x:c r="N37" s="82" t="str">
        <x:v>Smoke tint</x:v>
      </x:c>
      <x:c r="O37" s="82" t="str">
        <x:v>Black</x:v>
      </x:c>
      <x:c r="P37" s="82" t="str">
        <x:v>Thailand</x:v>
      </x:c>
      <x:c r="Q37" s="82" t="str"/>
      <x:c r="R37" s="82" t="str">
        <x:v>Temática / multipack</x:v>
      </x:c>
      <x:c r="S37" s="82" t="str">
        <x:v>Comum / atual</x:v>
      </x:c>
      <x:c r="T37" s="82" t="str">
        <x:v>Lançado</x:v>
      </x:c>
      <x:c r="U37" s="82" t="str">
        <x:v>Base code(s): U21A</x:v>
      </x:c>
      <x:c r="V37" s="80" t="str">
        <x:v>Coleção principal (~1:64)</x:v>
      </x:c>
      <x:c r="W37" s="82" t="str">
        <x:v>https://hotwheels.fandom.com/wiki/BMW_E36_M3_Race</x:v>
      </x:c>
      <x:c r="X37" s="82" t="str">
        <x:v>https://hotwheels.fandom.com/wiki/BMW_E36_M3_Race</x:v>
      </x:c>
    </x:row>
    <x:row r="38">
      <x:c r="A38" s="80" t="str">
        <x:v>Não</x:v>
      </x:c>
      <x:c r="B38" s="80" t="str">
        <x:v>1 — Comprar agora</x:v>
      </x:c>
      <x:c r="C38" s="81" t="n">
        <x:v>2025</x:v>
      </x:c>
      <x:c r="D38" s="80" t="str">
        <x:v>BMW i8 Roadster</x:v>
      </x:c>
      <x:c r="E38" s="80" t="str">
        <x:v>BMW i8 Roadster</x:v>
      </x:c>
      <x:c r="F38" s="82" t="str">
        <x:v>Hybrid Speed 1/5</x:v>
      </x:c>
      <x:c r="G38" s="80" t="str"/>
      <x:c r="H38" s="80" t="str"/>
      <x:c r="I38" s="83" t="str">
        <x:v>JCB76</x:v>
      </x:c>
      <x:c r="J38" s="80" t="str">
        <x:v>Crystal White Pearl</x:v>
      </x:c>
      <x:c r="K38" s="82" t="str">
        <x:v>Detailed headlights, taillights and trim</x:v>
      </x:c>
      <x:c r="L38" s="82" t="str">
        <x:v>P4</x:v>
      </x:c>
      <x:c r="M38" s="82" t="str">
        <x:v>Black / Plastic</x:v>
      </x:c>
      <x:c r="N38" s="82" t="str">
        <x:v>Smoke tint</x:v>
      </x:c>
      <x:c r="O38" s="82" t="str">
        <x:v>Silk Grey</x:v>
      </x:c>
      <x:c r="P38" s="82" t="str">
        <x:v>Malaysia</x:v>
      </x:c>
      <x:c r="Q38" s="82" t="str"/>
      <x:c r="R38" s="82" t="str">
        <x:v>Outra linha</x:v>
      </x:c>
      <x:c r="S38" s="82" t="str">
        <x:v>Comum / atual</x:v>
      </x:c>
      <x:c r="T38" s="82" t="str">
        <x:v>Lançado</x:v>
      </x:c>
      <x:c r="U38" s="82" t="str">
        <x:v>Base code(s): U19N, U20N, U21N, U23N</x:v>
      </x:c>
      <x:c r="V38" s="80" t="str">
        <x:v>Coleção principal (~1:64)</x:v>
      </x:c>
      <x:c r="W38" s="82" t="str">
        <x:v>https://hotwheels.fandom.com/wiki/BMW_i8_Roadster</x:v>
      </x:c>
      <x:c r="X38" s="82" t="str">
        <x:v>https://hotwheels.fandom.com/wiki/BMW_i8_Roadster</x:v>
      </x:c>
    </x:row>
    <x:row r="39">
      <x:c r="A39" s="80" t="str">
        <x:v>Não</x:v>
      </x:c>
      <x:c r="B39" s="80" t="str">
        <x:v>1 — Comprar agora</x:v>
      </x:c>
      <x:c r="C39" s="81" t="n">
        <x:v>2025</x:v>
      </x:c>
      <x:c r="D39" s="80" t="str">
        <x:v>BMW M1</x:v>
      </x:c>
      <x:c r="E39" s="80" t="str">
        <x:v>BMW M1</x:v>
      </x:c>
      <x:c r="F39" s="82" t="str">
        <x:v>BMW 1/5</x:v>
      </x:c>
      <x:c r="G39" s="80" t="str"/>
      <x:c r="H39" s="80" t="str"/>
      <x:c r="I39" s="83" t="str">
        <x:v>JBY59</x:v>
      </x:c>
      <x:c r="J39" s="80" t="str">
        <x:v>Inka Orange</x:v>
      </x:c>
      <x:c r="K39" s="82" t="str">
        <x:v>Detailed headlights, taillights and trim</x:v>
      </x:c>
      <x:c r="L39" s="82" t="str">
        <x:v>S5</x:v>
      </x:c>
      <x:c r="M39" s="82" t="str">
        <x:v>Gray / Plastic</x:v>
      </x:c>
      <x:c r="N39" s="82" t="str">
        <x:v>Clear</x:v>
      </x:c>
      <x:c r="O39" s="82" t="str">
        <x:v>Black</x:v>
      </x:c>
      <x:c r="P39" s="82" t="str">
        <x:v>Indonesia</x:v>
      </x:c>
      <x:c r="Q39" s="82" t="str"/>
      <x:c r="R39" s="82" t="str">
        <x:v>Outra linha</x:v>
      </x:c>
      <x:c r="S39" s="82" t="str">
        <x:v>Comum / atual</x:v>
      </x:c>
      <x:c r="T39" s="82" t="str">
        <x:v>Lançado</x:v>
      </x:c>
      <x:c r="U39" s="82" t="str">
        <x:v>Base code(s): U07I, U13I, U25I</x:v>
      </x:c>
      <x:c r="V39" s="80" t="str">
        <x:v>Coleção principal (~1:64)</x:v>
      </x:c>
      <x:c r="W39" s="82" t="str">
        <x:v>https://hotwheels.fandom.com/wiki/BMW_M1</x:v>
      </x:c>
      <x:c r="X39" s="82" t="str">
        <x:v>https://hotwheels.fandom.com/wiki/BMW_M1</x:v>
      </x:c>
    </x:row>
    <x:row r="40">
      <x:c r="A40" s="80" t="str">
        <x:v>Não</x:v>
      </x:c>
      <x:c r="B40" s="80" t="str">
        <x:v>1 — Comprar agora</x:v>
      </x:c>
      <x:c r="C40" s="81" t="n">
        <x:v>2025</x:v>
      </x:c>
      <x:c r="D40" s="80" t="str">
        <x:v>BMW M1 Procar</x:v>
      </x:c>
      <x:c r="E40" s="80" t="str">
        <x:v>BMW M1 Procar</x:v>
      </x:c>
      <x:c r="F40" s="82" t="str">
        <x:v>The Hot Ones 8/8</x:v>
      </x:c>
      <x:c r="G40" s="80" t="str"/>
      <x:c r="H40" s="80" t="str"/>
      <x:c r="I40" s="83" t="str">
        <x:v>JBY76</x:v>
      </x:c>
      <x:c r="J40" s="80" t="str">
        <x:v>Spectraflame blue</x:v>
      </x:c>
      <x:c r="K40" s="82" t="str">
        <x:v>White striping, black accents, red highlights, "1" on sides and hood, Hot Wheels logo &amp; various sponsor logos on sides, detailed taillights</x:v>
      </x:c>
      <x:c r="L40" s="82" t="str">
        <x:v>HO</x:v>
      </x:c>
      <x:c r="M40" s="82" t="str">
        <x:v>Black / Metal</x:v>
      </x:c>
      <x:c r="N40" s="82" t="str">
        <x:v>Smoke tint</x:v>
      </x:c>
      <x:c r="O40" s="82" t="str">
        <x:v>Black</x:v>
      </x:c>
      <x:c r="P40" s="82" t="str">
        <x:v>Malaysia</x:v>
      </x:c>
      <x:c r="Q40" s="82" t="str"/>
      <x:c r="R40" s="82" t="str">
        <x:v>Outra linha</x:v>
      </x:c>
      <x:c r="S40" s="82" t="str">
        <x:v>Comum / atual</x:v>
      </x:c>
      <x:c r="T40" s="82" t="str">
        <x:v>Lançado</x:v>
      </x:c>
      <x:c r="U40" s="82" t="str">
        <x:v>Base code(s): T50N, T51N, U06N, U07N, U18N, U22N</x:v>
      </x:c>
      <x:c r="V40" s="80" t="str">
        <x:v>Coleção principal (~1:64)</x:v>
      </x:c>
      <x:c r="W40" s="82" t="str">
        <x:v>https://hotwheels.fandom.com/wiki/BMW_M1_Procar</x:v>
      </x:c>
      <x:c r="X40" s="82" t="str">
        <x:v>https://hotwheels.fandom.com/wiki/BMW_M1_Procar</x:v>
      </x:c>
    </x:row>
    <x:row r="41">
      <x:c r="A41" s="80" t="str">
        <x:v>Não</x:v>
      </x:c>
      <x:c r="B41" s="80" t="str">
        <x:v>1 — Comprar agora</x:v>
      </x:c>
      <x:c r="C41" s="81" t="n">
        <x:v>2025</x:v>
      </x:c>
      <x:c r="D41" s="80" t="str">
        <x:v>BMW M3 Touring</x:v>
      </x:c>
      <x:c r="E41" s="80" t="str">
        <x:v>BMW M3 Touring</x:v>
      </x:c>
      <x:c r="F41" s="82" t="str">
        <x:v>Elite 64</x:v>
      </x:c>
      <x:c r="G41" s="80" t="str"/>
      <x:c r="H41" s="80" t="str"/>
      <x:c r="I41" s="83" t="str">
        <x:v>HWR93</x:v>
      </x:c>
      <x:c r="J41" s="80" t="str"/>
      <x:c r="K41" s="82" t="str"/>
      <x:c r="L41" s="82" t="str"/>
      <x:c r="M41" s="82" t="str"/>
      <x:c r="N41" s="82" t="str"/>
      <x:c r="O41" s="82" t="str"/>
      <x:c r="P41" s="82" t="str"/>
      <x:c r="Q41" s="82" t="str"/>
      <x:c r="R41" s="82" t="str">
        <x:v>Elite 64</x:v>
      </x:c>
      <x:c r="S41" s="82" t="str">
        <x:v>Incomum</x:v>
      </x:c>
      <x:c r="T41" s="82" t="str">
        <x:v>Lançado</x:v>
      </x:c>
      <x:c r="U41" s="82" t="str"/>
      <x:c r="V41" s="80" t="str">
        <x:v>Coleção principal (~1:64)</x:v>
      </x:c>
      <x:c r="W41" s="82" t="str">
        <x:v>https://hotwheels.fandom.com/wiki/BMW</x:v>
      </x:c>
      <x:c r="X41" s="82" t="str">
        <x:v>https://hotwheels.fandom.com/wiki/BMW_M3_Touring</x:v>
      </x:c>
    </x:row>
    <x:row r="42">
      <x:c r="A42" s="80" t="str">
        <x:v>Não</x:v>
      </x:c>
      <x:c r="B42" s="80" t="str">
        <x:v>1 — Comprar agora</x:v>
      </x:c>
      <x:c r="C42" s="81" t="n">
        <x:v>2025</x:v>
      </x:c>
      <x:c r="D42" s="80" t="str">
        <x:v>BMW M3 Touring</x:v>
      </x:c>
      <x:c r="E42" s="80" t="str">
        <x:v>BMW M3 Touring</x:v>
      </x:c>
      <x:c r="F42" s="82" t="str">
        <x:v>Elite 64 #15</x:v>
      </x:c>
      <x:c r="G42" s="80" t="str"/>
      <x:c r="H42" s="80" t="str"/>
      <x:c r="I42" s="83" t="str">
        <x:v>China</x:v>
      </x:c>
      <x:c r="J42" s="80" t="str">
        <x:v>Frozen Portimao Blue</x:v>
      </x:c>
      <x:c r="K42" s="82" t="str">
        <x:v>Detailed trim, "HW ELITE64" European license plate</x:v>
      </x:c>
      <x:c r="L42" s="82" t="str">
        <x:v>Custom RR</x:v>
      </x:c>
      <x:c r="M42" s="82" t="str">
        <x:v>Black / Metal</x:v>
      </x:c>
      <x:c r="N42" s="82" t="str">
        <x:v>Light smoke tint</x:v>
      </x:c>
      <x:c r="O42" s="82" t="str">
        <x:v>Cool gray with black details</x:v>
      </x:c>
      <x:c r="P42" s="82" t="str">
        <x:v>HWR93</x:v>
      </x:c>
      <x:c r="Q42" s="82" t="str"/>
      <x:c r="R42" s="82" t="str">
        <x:v>Elite 64</x:v>
      </x:c>
      <x:c r="S42" s="82" t="str">
        <x:v>Incomum</x:v>
      </x:c>
      <x:c r="T42" s="82" t="str">
        <x:v>Lançado</x:v>
      </x:c>
      <x:c r="U42" s="82" t="str">
        <x:v>Production code(s): 0555YY, 0585YY, 0745YY, 0875YY</x:v>
      </x:c>
      <x:c r="V42" s="80" t="str">
        <x:v>Coleção principal (~1:64)</x:v>
      </x:c>
      <x:c r="W42" s="82" t="str">
        <x:v>https://hotwheels.fandom.com/wiki/BMW_M3_Touring</x:v>
      </x:c>
      <x:c r="X42" s="82" t="str">
        <x:v>https://hotwheels.fandom.com/wiki/BMW_M3_Touring</x:v>
      </x:c>
    </x:row>
    <x:row r="43">
      <x:c r="A43" s="80" t="str">
        <x:v>Não</x:v>
      </x:c>
      <x:c r="B43" s="80" t="str">
        <x:v>1 — Comprar agora</x:v>
      </x:c>
      <x:c r="C43" s="81" t="n">
        <x:v>2025</x:v>
      </x:c>
      <x:c r="D43" s="80" t="str">
        <x:v>BMW M3 Wagon</x:v>
      </x:c>
      <x:c r="E43" s="80" t="str">
        <x:v>BMW M3 Wagon</x:v>
      </x:c>
      <x:c r="F43" s="82" t="str">
        <x:v>HW Wagons / 5/5</x:v>
      </x:c>
      <x:c r="G43" s="80" t="str"/>
      <x:c r="H43" s="80" t="str">
        <x:v>245/250</x:v>
      </x:c>
      <x:c r="I43" s="83" t="str">
        <x:v>JBB48</x:v>
      </x:c>
      <x:c r="J43" s="80" t="str">
        <x:v>Green</x:v>
      </x:c>
      <x:c r="K43" s="82" t="str">
        <x:v>Gold accents, white hexagons, "TEAM HW", "91", Castrol logo, "FC", "ANDRIEU", "STANLEY" on sides, Hot Wheels logo on rear fender</x:v>
      </x:c>
      <x:c r="L43" s="82" t="str">
        <x:v>White AeroDisc</x:v>
      </x:c>
      <x:c r="M43" s="82" t="str">
        <x:v>White / / / Plastic</x:v>
      </x:c>
      <x:c r="N43" s="82" t="str">
        <x:v>Smoke tint</x:v>
      </x:c>
      <x:c r="O43" s="82" t="str">
        <x:v>Black</x:v>
      </x:c>
      <x:c r="P43" s="82" t="str">
        <x:v>Malaysia</x:v>
      </x:c>
      <x:c r="Q43" s="82" t="str"/>
      <x:c r="R43" s="82" t="str">
        <x:v>Mainline</x:v>
      </x:c>
      <x:c r="S43" s="82" t="str">
        <x:v>Comum / atual</x:v>
      </x:c>
      <x:c r="T43" s="82" t="str">
        <x:v>Lançado</x:v>
      </x:c>
      <x:c r="U43" s="82" t="str">
        <x:v>Base code(s): U28N, U31N</x:v>
      </x:c>
      <x:c r="V43" s="80" t="str">
        <x:v>Coleção principal (~1:64)</x:v>
      </x:c>
      <x:c r="W43" s="82" t="str">
        <x:v>https://hotwheels.fandom.com/wiki/BMW_M3_Wagon</x:v>
      </x:c>
      <x:c r="X43" s="82" t="str">
        <x:v>https://hotwheels.fandom.com/wiki/BMW_M3_Wagon</x:v>
      </x:c>
    </x:row>
    <x:row r="44">
      <x:c r="A44" s="80" t="str">
        <x:v>Não</x:v>
      </x:c>
      <x:c r="B44" s="80" t="str">
        <x:v>1 — Comprar agora</x:v>
      </x:c>
      <x:c r="C44" s="81" t="n">
        <x:v>2025</x:v>
      </x:c>
      <x:c r="D44" s="80" t="str">
        <x:v>BMW M3 Wagon</x:v>
      </x:c>
      <x:c r="E44" s="80" t="str">
        <x:v>BMW M3 Wagon</x:v>
      </x:c>
      <x:c r="F44" s="82" t="str">
        <x:v>HW Wagons 5/5</x:v>
      </x:c>
      <x:c r="G44" s="80" t="str"/>
      <x:c r="H44" s="80" t="str">
        <x:v>245/250</x:v>
      </x:c>
      <x:c r="I44" s="83" t="str">
        <x:v>JBB48</x:v>
      </x:c>
      <x:c r="J44" s="80" t="str">
        <x:v>Green</x:v>
      </x:c>
      <x:c r="K44" s="82" t="str">
        <x:v>Gold accents, white hexagons, "TEAM HW", "91", Castrol logo, "FC", "ANDRIEU", "STANLEY" on sides, Hot Wheels logo on rear fender</x:v>
      </x:c>
      <x:c r="L44" s="82" t="str">
        <x:v>White AeroDisc</x:v>
      </x:c>
      <x:c r="M44" s="82" t="str">
        <x:v>White / Plastic</x:v>
      </x:c>
      <x:c r="N44" s="82" t="str">
        <x:v>Smoke tint</x:v>
      </x:c>
      <x:c r="O44" s="82" t="str">
        <x:v>White</x:v>
      </x:c>
      <x:c r="P44" s="82" t="str">
        <x:v>Malaysia</x:v>
      </x:c>
      <x:c r="Q44" s="82" t="str"/>
      <x:c r="R44" s="82" t="str">
        <x:v>Mainline</x:v>
      </x:c>
      <x:c r="S44" s="82" t="str">
        <x:v>Comum / atual</x:v>
      </x:c>
      <x:c r="T44" s="82" t="str">
        <x:v>Lançado</x:v>
      </x:c>
      <x:c r="U44" s="82" t="str">
        <x:v>Base code(s): U28N, U31N</x:v>
      </x:c>
      <x:c r="V44" s="80" t="str">
        <x:v>Coleção principal (~1:64)</x:v>
      </x:c>
      <x:c r="W44" s="82" t="str">
        <x:v>https://hotwheels.fandom.com/wiki/BMW_M3_Wagon</x:v>
      </x:c>
      <x:c r="X44" s="82" t="str">
        <x:v>https://hotwheels.fandom.com/wiki/BMW_M3_Wagon</x:v>
      </x:c>
    </x:row>
    <x:row r="45">
      <x:c r="A45" s="80" t="str">
        <x:v>Não</x:v>
      </x:c>
      <x:c r="B45" s="80" t="str">
        <x:v>1 — Comprar agora</x:v>
      </x:c>
      <x:c r="C45" s="81" t="n">
        <x:v>2025</x:v>
      </x:c>
      <x:c r="D45" s="80" t="str">
        <x:v>BMW M4</x:v>
      </x:c>
      <x:c r="E45" s="80" t="str">
        <x:v>BMW M4</x:v>
      </x:c>
      <x:c r="F45" s="82" t="str">
        <x:v>BMW 4/5</x:v>
      </x:c>
      <x:c r="G45" s="80" t="str"/>
      <x:c r="H45" s="80" t="str"/>
      <x:c r="I45" s="83" t="str">
        <x:v>JBY57</x:v>
      </x:c>
      <x:c r="J45" s="80" t="str">
        <x:v>San Marino Blue</x:v>
      </x:c>
      <x:c r="K45" s="82" t="str">
        <x:v>Detailed headlights, taillights and trim, BMW M racing stripes on sides, white accent striping</x:v>
      </x:c>
      <x:c r="L45" s="82" t="str">
        <x:v>P4</x:v>
      </x:c>
      <x:c r="M45" s="82" t="str">
        <x:v>Black / Plastic</x:v>
      </x:c>
      <x:c r="N45" s="82" t="str">
        <x:v>Smoke tint</x:v>
      </x:c>
      <x:c r="O45" s="82" t="str">
        <x:v>Black</x:v>
      </x:c>
      <x:c r="P45" s="82" t="str">
        <x:v>Indonesia</x:v>
      </x:c>
      <x:c r="Q45" s="82" t="str"/>
      <x:c r="R45" s="82" t="str">
        <x:v>Outra linha</x:v>
      </x:c>
      <x:c r="S45" s="82" t="str">
        <x:v>Comum / atual</x:v>
      </x:c>
      <x:c r="T45" s="82" t="str">
        <x:v>Lançado</x:v>
      </x:c>
      <x:c r="U45" s="82" t="str">
        <x:v>Base code(s): U07I, U13I, U15I, U18I, U24I, U25I</x:v>
      </x:c>
      <x:c r="V45" s="80" t="str">
        <x:v>Coleção principal (~1:64)</x:v>
      </x:c>
      <x:c r="W45" s="82" t="str">
        <x:v>https://hotwheels.fandom.com/wiki/BMW_M4</x:v>
      </x:c>
      <x:c r="X45" s="82" t="str">
        <x:v>https://hotwheels.fandom.com/wiki/BMW_M4</x:v>
      </x:c>
    </x:row>
    <x:row r="46">
      <x:c r="A46" s="80" t="str">
        <x:v>Não</x:v>
      </x:c>
      <x:c r="B46" s="80" t="str">
        <x:v>1 — Comprar agora</x:v>
      </x:c>
      <x:c r="C46" s="81" t="n">
        <x:v>2024</x:v>
      </x:c>
      <x:c r="D46" s="80" t="str">
        <x:v>'73 BMW 3.0 CSL Race Car</x:v>
      </x:c>
      <x:c r="E46" s="80" t="str">
        <x:v>'73 BMW 3.0 CSL Race Car</x:v>
      </x:c>
      <x:c r="F46" s="82" t="str">
        <x:v>Gran Turismo 1/5</x:v>
      </x:c>
      <x:c r="G46" s="80" t="str"/>
      <x:c r="H46" s="80" t="str"/>
      <x:c r="I46" s="83" t="str">
        <x:v>HRV63</x:v>
      </x:c>
      <x:c r="J46" s="80" t="str">
        <x:v>Orange</x:v>
      </x:c>
      <x:c r="K46" s="82" t="str">
        <x:v>Detailed headlights and taillights, black stripe, Gran Turismo logo on sides</x:v>
      </x:c>
      <x:c r="L46" s="82" t="str">
        <x:v>C5</x:v>
      </x:c>
      <x:c r="M46" s="82" t="str">
        <x:v>Black / Plastic</x:v>
      </x:c>
      <x:c r="N46" s="82" t="str">
        <x:v>Solid Black</x:v>
      </x:c>
      <x:c r="O46" s="82" t="str">
        <x:v>N/A</x:v>
      </x:c>
      <x:c r="P46" s="82" t="str">
        <x:v>Thailand</x:v>
      </x:c>
      <x:c r="Q46" s="82" t="str"/>
      <x:c r="R46" s="82" t="str">
        <x:v>Outra linha</x:v>
      </x:c>
      <x:c r="S46" s="82" t="str">
        <x:v>Comum / atual</x:v>
      </x:c>
      <x:c r="T46" s="82" t="str">
        <x:v>Lançado</x:v>
      </x:c>
      <x:c r="U46" s="82" t="str">
        <x:v>Base code(s): S47, S49, S50, T01, T05</x:v>
      </x:c>
      <x:c r="V46" s="80" t="str">
        <x:v>Coleção principal (~1:64)</x:v>
      </x:c>
      <x:c r="W46" s="82" t="str">
        <x:v>https://hotwheels.fandom.com/wiki/%2773_BMW_3.0_CSL_Race_Car</x:v>
      </x:c>
      <x:c r="X46" s="82" t="str">
        <x:v>https://hotwheels.fandom.com/wiki/%2773_BMW_3.0_CSL_Race_Car</x:v>
      </x:c>
    </x:row>
    <x:row r="47">
      <x:c r="A47" s="80" t="str">
        <x:v>Não</x:v>
      </x:c>
      <x:c r="B47" s="80" t="str">
        <x:v>1 — Comprar agora</x:v>
      </x:c>
      <x:c r="C47" s="81" t="n">
        <x:v>2024</x:v>
      </x:c>
      <x:c r="D47" s="80" t="str">
        <x:v>'73 BMW 3.0 CSL Race Car</x:v>
      </x:c>
      <x:c r="E47" s="80" t="str">
        <x:v>'73 BMW 3.0 CSL Race Car</x:v>
      </x:c>
      <x:c r="F47" s="82" t="str">
        <x:v>Ultra Hots 4/8</x:v>
      </x:c>
      <x:c r="G47" s="80" t="str"/>
      <x:c r="H47" s="80" t="str"/>
      <x:c r="I47" s="83" t="str">
        <x:v>HRX03</x:v>
      </x:c>
      <x:c r="J47" s="80" t="str">
        <x:v>Spectraflame black</x:v>
      </x:c>
      <x:c r="K47" s="82" t="str">
        <x:v>Detailed headlights and taillights, afterburner flame tampos on sides &amp; hood, "3.0" with Hot Wheels logo on sides, BMW logo on hood</x:v>
      </x:c>
      <x:c r="L47" s="82" t="str">
        <x:v>GUH</x:v>
      </x:c>
      <x:c r="M47" s="82" t="str">
        <x:v>Blue Satin / Plastic</x:v>
      </x:c>
      <x:c r="N47" s="82" t="str">
        <x:v>Smoke tint</x:v>
      </x:c>
      <x:c r="O47" s="82" t="str">
        <x:v>Blue</x:v>
      </x:c>
      <x:c r="P47" s="82" t="str">
        <x:v>Malaysia</x:v>
      </x:c>
      <x:c r="Q47" s="82" t="str"/>
      <x:c r="R47" s="82" t="str">
        <x:v>Outra linha</x:v>
      </x:c>
      <x:c r="S47" s="82" t="str">
        <x:v>Comum / atual</x:v>
      </x:c>
      <x:c r="T47" s="82" t="str">
        <x:v>Lançado</x:v>
      </x:c>
      <x:c r="U47" s="82" t="str">
        <x:v>Base code(s): S30, S44, S48, S49, S50</x:v>
      </x:c>
      <x:c r="V47" s="80" t="str">
        <x:v>Coleção principal (~1:64)</x:v>
      </x:c>
      <x:c r="W47" s="82" t="str">
        <x:v>https://hotwheels.fandom.com/wiki/%2773_BMW_3.0_CSL_Race_Car</x:v>
      </x:c>
      <x:c r="X47" s="82" t="str">
        <x:v>https://hotwheels.fandom.com/wiki/%2773_BMW_3.0_CSL_Race_Car</x:v>
      </x:c>
    </x:row>
    <x:row r="48">
      <x:c r="A48" s="80" t="str">
        <x:v>Não</x:v>
      </x:c>
      <x:c r="B48" s="80" t="str">
        <x:v>1 — Comprar agora</x:v>
      </x:c>
      <x:c r="C48" s="81" t="n">
        <x:v>2024</x:v>
      </x:c>
      <x:c r="D48" s="80" t="str">
        <x:v>'92 BMW M3</x:v>
      </x:c>
      <x:c r="E48" s="80" t="str">
        <x:v>'92 BMW M3</x:v>
      </x:c>
      <x:c r="F48" s="82" t="str">
        <x:v>HW: The '90s 4/10</x:v>
      </x:c>
      <x:c r="G48" s="80" t="str"/>
      <x:c r="H48" s="80" t="str">
        <x:v>195/250</x:v>
      </x:c>
      <x:c r="I48" s="83" t="str">
        <x:v>HTB06</x:v>
      </x:c>
      <x:c r="J48" s="80" t="str">
        <x:v>Metalflake creamy yellow</x:v>
      </x:c>
      <x:c r="K48" s="82" t="str">
        <x:v>Black striping, badging, M racing stripes on sides</x:v>
      </x:c>
      <x:c r="L48" s="82" t="str">
        <x:v>GPR5</x:v>
      </x:c>
      <x:c r="M48" s="82" t="str">
        <x:v>Black / Plastic</x:v>
      </x:c>
      <x:c r="N48" s="82" t="str">
        <x:v>Blue tint</x:v>
      </x:c>
      <x:c r="O48" s="82" t="str">
        <x:v>Black</x:v>
      </x:c>
      <x:c r="P48" s="82" t="str">
        <x:v>Malaysia</x:v>
      </x:c>
      <x:c r="Q48" s="82" t="str"/>
      <x:c r="R48" s="82" t="str">
        <x:v>Mainline</x:v>
      </x:c>
      <x:c r="S48" s="82" t="str">
        <x:v>Comum / atual</x:v>
      </x:c>
      <x:c r="T48" s="82" t="str">
        <x:v>Lançado</x:v>
      </x:c>
      <x:c r="U48" s="82" t="str">
        <x:v>Base code(s): T08, T16, T17, T19, T21</x:v>
      </x:c>
      <x:c r="V48" s="80" t="str">
        <x:v>Coleção principal (~1:64)</x:v>
      </x:c>
      <x:c r="W48" s="82" t="str">
        <x:v>https://hotwheels.fandom.com/wiki/%2792_BMW_M3</x:v>
      </x:c>
      <x:c r="X48" s="82" t="str">
        <x:v>https://hotwheels.fandom.com/wiki/%2792_BMW_M3</x:v>
      </x:c>
    </x:row>
    <x:row r="49">
      <x:c r="A49" s="80" t="str">
        <x:v>Não</x:v>
      </x:c>
      <x:c r="B49" s="80" t="str">
        <x:v>1 — Comprar agora</x:v>
      </x:c>
      <x:c r="C49" s="81" t="n">
        <x:v>2024</x:v>
      </x:c>
      <x:c r="D49" s="80" t="str">
        <x:v>1990 BMW 318i Touring</x:v>
      </x:c>
      <x:c r="E49" s="80" t="str">
        <x:v>1990 BMW 318i Touring</x:v>
      </x:c>
      <x:c r="F49" s="82" t="str">
        <x:v>Elite 64 #8</x:v>
      </x:c>
      <x:c r="G49" s="80" t="str"/>
      <x:c r="H49" s="80" t="str"/>
      <x:c r="I49" s="83" t="str">
        <x:v>HNJ60</x:v>
      </x:c>
      <x:c r="J49" s="80" t="str">
        <x:v>White</x:v>
      </x:c>
      <x:c r="K49" s="82" t="str">
        <x:v>Detailed trim, BMW M striping on sides, "ON TOUR" license plate</x:v>
      </x:c>
      <x:c r="L49" s="82" t="str">
        <x:v>Bespoke RR</x:v>
      </x:c>
      <x:c r="M49" s="82" t="str">
        <x:v>Black / Metal</x:v>
      </x:c>
      <x:c r="N49" s="82" t="str">
        <x:v>Smoke tint</x:v>
      </x:c>
      <x:c r="O49" s="82" t="str">
        <x:v>Black</x:v>
      </x:c>
      <x:c r="P49" s="82" t="str">
        <x:v>China</x:v>
      </x:c>
      <x:c r="Q49" s="82" t="str"/>
      <x:c r="R49" s="82" t="str">
        <x:v>Elite 64</x:v>
      </x:c>
      <x:c r="S49" s="82" t="str">
        <x:v>Incomum</x:v>
      </x:c>
      <x:c r="T49" s="82" t="str">
        <x:v>Lançado</x:v>
      </x:c>
      <x:c r="U49" s="82" t="str">
        <x:v>Production code(s): 0924EAA, 0994EAA</x:v>
      </x:c>
      <x:c r="V49" s="80" t="str">
        <x:v>Coleção principal (~1:64)</x:v>
      </x:c>
      <x:c r="W49" s="82" t="str">
        <x:v>https://hotwheels.fandom.com/wiki/1990_BMW_318i_Touring</x:v>
      </x:c>
      <x:c r="X49" s="82" t="str">
        <x:v>https://hotwheels.fandom.com/wiki/1990_BMW_318i_Touring</x:v>
      </x:c>
    </x:row>
    <x:row r="50">
      <x:c r="A50" s="80" t="str">
        <x:v>Não</x:v>
      </x:c>
      <x:c r="B50" s="80" t="str">
        <x:v>1 — Comprar agora</x:v>
      </x:c>
      <x:c r="C50" s="81" t="n">
        <x:v>2024</x:v>
      </x:c>
      <x:c r="D50" s="80" t="str">
        <x:v>BMW 2002</x:v>
      </x:c>
      <x:c r="E50" s="80" t="str">
        <x:v>BMW 2002</x:v>
      </x:c>
      <x:c r="F50" s="82" t="str">
        <x:v>Vintage Racing Club 3/6</x:v>
      </x:c>
      <x:c r="G50" s="80" t="str"/>
      <x:c r="H50" s="80" t="str"/>
      <x:c r="I50" s="83" t="str">
        <x:v>HRV02</x:v>
      </x:c>
      <x:c r="J50" s="80" t="str">
        <x:v>White</x:v>
      </x:c>
      <x:c r="K50" s="82" t="str">
        <x:v>Detailed headlights and taillights, Bilstein logo, "2", "BS" on sides</x:v>
      </x:c>
      <x:c r="L50" s="82" t="str">
        <x:v>C5</x:v>
      </x:c>
      <x:c r="M50" s="82" t="str">
        <x:v>Gray / Plastic</x:v>
      </x:c>
      <x:c r="N50" s="82" t="str">
        <x:v>Smoke tint</x:v>
      </x:c>
      <x:c r="O50" s="82" t="str">
        <x:v>Black</x:v>
      </x:c>
      <x:c r="P50" s="82" t="str">
        <x:v>Thailand</x:v>
      </x:c>
      <x:c r="Q50" s="82" t="str"/>
      <x:c r="R50" s="82" t="str">
        <x:v>Outra linha</x:v>
      </x:c>
      <x:c r="S50" s="82" t="str">
        <x:v>Comum / atual</x:v>
      </x:c>
      <x:c r="T50" s="82" t="str">
        <x:v>Lançado</x:v>
      </x:c>
      <x:c r="U50" s="82" t="str">
        <x:v>Base code(s): S41, S42, S43, S44, S45, S47</x:v>
      </x:c>
      <x:c r="V50" s="80" t="str">
        <x:v>Coleção principal (~1:64)</x:v>
      </x:c>
      <x:c r="W50" s="82" t="str">
        <x:v>https://hotwheels.fandom.com/wiki/BMW_2002</x:v>
      </x:c>
      <x:c r="X50" s="82" t="str">
        <x:v>https://hotwheels.fandom.com/wiki/BMW_2002</x:v>
      </x:c>
    </x:row>
    <x:row r="51">
      <x:c r="A51" s="80" t="str">
        <x:v>Não</x:v>
      </x:c>
      <x:c r="B51" s="80" t="str">
        <x:v>1 — Comprar agora</x:v>
      </x:c>
      <x:c r="C51" s="81" t="n">
        <x:v>2024</x:v>
      </x:c>
      <x:c r="D51" s="80" t="str">
        <x:v>BMW 507</x:v>
      </x:c>
      <x:c r="E51" s="80" t="str">
        <x:v>BMW 507</x:v>
      </x:c>
      <x:c r="F51" s="82" t="str">
        <x:v>HW Roadsters 4/5</x:v>
      </x:c>
      <x:c r="G51" s="80" t="str"/>
      <x:c r="H51" s="80" t="str">
        <x:v>067/250</x:v>
      </x:c>
      <x:c r="I51" s="83" t="str">
        <x:v>HTC15</x:v>
      </x:c>
      <x:c r="J51" s="80" t="str">
        <x:v>Gelb</x:v>
      </x:c>
      <x:c r="K51" s="82" t="str">
        <x:v>Detailed front and side trim, "822" &amp; BMW badging on sides &amp; hood</x:v>
      </x:c>
      <x:c r="L51" s="82" t="str">
        <x:v>DD8</x:v>
      </x:c>
      <x:c r="M51" s="82" t="str">
        <x:v>Chrome / Plastic</x:v>
      </x:c>
      <x:c r="N51" s="82" t="str">
        <x:v>Clear</x:v>
      </x:c>
      <x:c r="O51" s="82" t="str">
        <x:v>Black</x:v>
      </x:c>
      <x:c r="P51" s="82" t="str">
        <x:v>Malaysia</x:v>
      </x:c>
      <x:c r="Q51" s="82" t="str"/>
      <x:c r="R51" s="82" t="str">
        <x:v>Mainline</x:v>
      </x:c>
      <x:c r="S51" s="82" t="str">
        <x:v>Comum / atual</x:v>
      </x:c>
      <x:c r="T51" s="82" t="str">
        <x:v>Lançado</x:v>
      </x:c>
      <x:c r="U51" s="82" t="str">
        <x:v>Base code(s): S41, S42</x:v>
      </x:c>
      <x:c r="V51" s="80" t="str">
        <x:v>Coleção principal (~1:64)</x:v>
      </x:c>
      <x:c r="W51" s="82" t="str">
        <x:v>https://hotwheels.fandom.com/wiki/BMW_507</x:v>
      </x:c>
      <x:c r="X51" s="82" t="str">
        <x:v>https://hotwheels.fandom.com/wiki/BMW_507</x:v>
      </x:c>
    </x:row>
    <x:row r="52">
      <x:c r="A52" s="80" t="str">
        <x:v>Não</x:v>
      </x:c>
      <x:c r="B52" s="80" t="str">
        <x:v>1 — Comprar agora</x:v>
      </x:c>
      <x:c r="C52" s="81" t="n">
        <x:v>2024</x:v>
      </x:c>
      <x:c r="D52" s="80" t="str">
        <x:v>BMW M1 Procar</x:v>
      </x:c>
      <x:c r="E52" s="80" t="str">
        <x:v>BMW M1 Procar</x:v>
      </x:c>
      <x:c r="F52" s="82" t="str">
        <x:v>Car Culture: Exotic Envy 3/5</x:v>
      </x:c>
      <x:c r="G52" s="80" t="str"/>
      <x:c r="H52" s="80" t="str"/>
      <x:c r="I52" s="83" t="str">
        <x:v>HKC79</x:v>
      </x:c>
      <x:c r="J52" s="80" t="str">
        <x:v>Red</x:v>
      </x:c>
      <x:c r="K52" s="82" t="str">
        <x:v>Detailed fog lights, taillights and trim, BASF racing livery, "79" on sides</x:v>
      </x:c>
      <x:c r="L52" s="82" t="str">
        <x:v>Gray D7RR</x:v>
      </x:c>
      <x:c r="M52" s="82" t="str">
        <x:v>Black / Metal</x:v>
      </x:c>
      <x:c r="N52" s="82" t="str">
        <x:v>Smoke tint</x:v>
      </x:c>
      <x:c r="O52" s="82" t="str">
        <x:v>Black</x:v>
      </x:c>
      <x:c r="P52" s="82" t="str">
        <x:v>Thailand</x:v>
      </x:c>
      <x:c r="Q52" s="82" t="str"/>
      <x:c r="R52" s="82" t="str">
        <x:v>Premium</x:v>
      </x:c>
      <x:c r="S52" s="82" t="str">
        <x:v>Incomum</x:v>
      </x:c>
      <x:c r="T52" s="82" t="str">
        <x:v>Lançado</x:v>
      </x:c>
      <x:c r="U52" s="82" t="str">
        <x:v>Base code(s): T02, T03, T05</x:v>
      </x:c>
      <x:c r="V52" s="80" t="str">
        <x:v>Coleção principal (~1:64)</x:v>
      </x:c>
      <x:c r="W52" s="82" t="str">
        <x:v>https://hotwheels.fandom.com/wiki/BMW_M1_Procar</x:v>
      </x:c>
      <x:c r="X52" s="82" t="str">
        <x:v>https://hotwheels.fandom.com/wiki/BMW_M1_Procar</x:v>
      </x:c>
    </x:row>
    <x:row r="53">
      <x:c r="A53" s="80" t="str">
        <x:v>Não</x:v>
      </x:c>
      <x:c r="B53" s="80" t="str">
        <x:v>1 — Comprar agora</x:v>
      </x:c>
      <x:c r="C53" s="81" t="n">
        <x:v>2024</x:v>
      </x:c>
      <x:c r="D53" s="80" t="str">
        <x:v>BMW M3 E46</x:v>
      </x:c>
      <x:c r="E53" s="80" t="str">
        <x:v>BMW M3 E46</x:v>
      </x:c>
      <x:c r="F53" s="82" t="str">
        <x:v>Fast &amp; Furious 5/5</x:v>
      </x:c>
      <x:c r="G53" s="80" t="str"/>
      <x:c r="H53" s="80" t="str"/>
      <x:c r="I53" s="83" t="str">
        <x:v>HYP70</x:v>
      </x:c>
      <x:c r="J53" s="80" t="str">
        <x:v>Alpine White</x:v>
      </x:c>
      <x:c r="K53" s="82" t="str">
        <x:v>Detailed headlights, front grille &amp; taillights, BMW emblem on hood &amp; rear</x:v>
      </x:c>
      <x:c r="L53" s="82" t="str">
        <x:v>Turquoise RR10SPM</x:v>
      </x:c>
      <x:c r="M53" s="82" t="str">
        <x:v>Black / Metal</x:v>
      </x:c>
      <x:c r="N53" s="82" t="str">
        <x:v>Smoke tint</x:v>
      </x:c>
      <x:c r="O53" s="82" t="str">
        <x:v>Black</x:v>
      </x:c>
      <x:c r="P53" s="82" t="str">
        <x:v>Thailand</x:v>
      </x:c>
      <x:c r="Q53" s="82" t="str"/>
      <x:c r="R53" s="82" t="str">
        <x:v>Outra linha</x:v>
      </x:c>
      <x:c r="S53" s="82" t="str">
        <x:v>Comum / atual</x:v>
      </x:c>
      <x:c r="T53" s="82" t="str">
        <x:v>Lançado</x:v>
      </x:c>
      <x:c r="U53" s="82" t="str">
        <x:v>Identical to GPK52 Base code(s): T01, T03</x:v>
      </x:c>
      <x:c r="V53" s="80" t="str">
        <x:v>Coleção principal (~1:64)</x:v>
      </x:c>
      <x:c r="W53" s="82" t="str">
        <x:v>https://hotwheels.fandom.com/wiki/BMW_M3_E46</x:v>
      </x:c>
      <x:c r="X53" s="82" t="str">
        <x:v>https://hotwheels.fandom.com/wiki/BMW_M3_E46</x:v>
      </x:c>
    </x:row>
    <x:row r="54">
      <x:c r="A54" s="80" t="str">
        <x:v>Não</x:v>
      </x:c>
      <x:c r="B54" s="80" t="str">
        <x:v>1 — Comprar agora</x:v>
      </x:c>
      <x:c r="C54" s="81" t="n">
        <x:v>2024</x:v>
      </x:c>
      <x:c r="D54" s="80" t="str">
        <x:v>BMW M3 E46</x:v>
      </x:c>
      <x:c r="E54" s="80" t="str">
        <x:v>BMW M3 E46</x:v>
      </x:c>
      <x:c r="F54" s="82" t="str">
        <x:v>Hot Wheels Boulevard #115</x:v>
      </x:c>
      <x:c r="G54" s="80" t="str"/>
      <x:c r="H54" s="80" t="str"/>
      <x:c r="I54" s="83" t="str">
        <x:v>HRT80</x:v>
      </x:c>
      <x:c r="J54" s="80" t="str">
        <x:v>Phoenix Yellow</x:v>
      </x:c>
      <x:c r="K54" s="82" t="str">
        <x:v>Detailed headlights, front grille &amp; taillights, BMW emblem on hood &amp; rear, "BMW PHNIX" license plate</x:v>
      </x:c>
      <x:c r="L54" s="82" t="str">
        <x:v>CBRR5SPM</x:v>
      </x:c>
      <x:c r="M54" s="82" t="str">
        <x:v>Black / Metal</x:v>
      </x:c>
      <x:c r="N54" s="82" t="str">
        <x:v>Smoke tint</x:v>
      </x:c>
      <x:c r="O54" s="82" t="str">
        <x:v>Black</x:v>
      </x:c>
      <x:c r="P54" s="82" t="str">
        <x:v>Thailand</x:v>
      </x:c>
      <x:c r="Q54" s="82" t="str"/>
      <x:c r="R54" s="82" t="str">
        <x:v>Premium</x:v>
      </x:c>
      <x:c r="S54" s="82" t="str">
        <x:v>Incomum</x:v>
      </x:c>
      <x:c r="T54" s="82" t="str">
        <x:v>Lançado</x:v>
      </x:c>
      <x:c r="U54" s="82" t="str">
        <x:v>Base code(s): T35, T37</x:v>
      </x:c>
      <x:c r="V54" s="80" t="str">
        <x:v>Coleção principal (~1:64)</x:v>
      </x:c>
      <x:c r="W54" s="82" t="str">
        <x:v>https://hotwheels.fandom.com/wiki/BMW_M3_E46</x:v>
      </x:c>
      <x:c r="X54" s="82" t="str">
        <x:v>https://hotwheels.fandom.com/wiki/BMW_M3_E46</x:v>
      </x:c>
    </x:row>
    <x:row r="55">
      <x:c r="A55" s="80" t="str">
        <x:v>Não</x:v>
      </x:c>
      <x:c r="B55" s="80" t="str">
        <x:v>1 — Comprar agora</x:v>
      </x:c>
      <x:c r="C55" s="81" t="n">
        <x:v>2024</x:v>
      </x:c>
      <x:c r="D55" s="80" t="str">
        <x:v>BMW M3 GT2</x:v>
      </x:c>
      <x:c r="E55" s="80" t="str">
        <x:v>BMW M3 GT2</x:v>
      </x:c>
      <x:c r="F55" s="82" t="str">
        <x:v>Neon Speeders 4/8</x:v>
      </x:c>
      <x:c r="G55" s="80" t="str"/>
      <x:c r="H55" s="80" t="str"/>
      <x:c r="I55" s="83" t="str">
        <x:v>HRW78</x:v>
      </x:c>
      <x:c r="J55" s="80" t="str">
        <x:v>Neon orange</x:v>
      </x:c>
      <x:c r="K55" s="82" t="str">
        <x:v>"4 M3 GT2" &amp; Michelin logo on sides; black, green, &amp; white accents on sides &amp; along top; black on spoiler, detailed headlights &amp; taillights</x:v>
      </x:c>
      <x:c r="L55" s="82" t="str">
        <x:v>BKNS6</x:v>
      </x:c>
      <x:c r="M55" s="82" t="str">
        <x:v>Black / Plastic</x:v>
      </x:c>
      <x:c r="N55" s="82" t="str">
        <x:v>Smoke tint</x:v>
      </x:c>
      <x:c r="O55" s="82" t="str">
        <x:v>Black</x:v>
      </x:c>
      <x:c r="P55" s="82" t="str">
        <x:v>Thailand</x:v>
      </x:c>
      <x:c r="Q55" s="82" t="str"/>
      <x:c r="R55" s="82" t="str">
        <x:v>Outra linha</x:v>
      </x:c>
      <x:c r="S55" s="82" t="str">
        <x:v>Comum / atual</x:v>
      </x:c>
      <x:c r="T55" s="82" t="str">
        <x:v>Lançado</x:v>
      </x:c>
      <x:c r="U55" s="82" t="str"/>
      <x:c r="V55" s="80" t="str">
        <x:v>Coleção principal (~1:64)</x:v>
      </x:c>
      <x:c r="W55" s="82" t="str">
        <x:v>https://hotwheels.fandom.com/wiki/BMW_M3_GT2</x:v>
      </x:c>
      <x:c r="X55" s="82" t="str">
        <x:v>https://hotwheels.fandom.com/wiki/BMW_M3_GT2</x:v>
      </x:c>
    </x:row>
    <x:row r="56">
      <x:c r="A56" s="80" t="str">
        <x:v>Não</x:v>
      </x:c>
      <x:c r="B56" s="80" t="str">
        <x:v>1 — Comprar agora</x:v>
      </x:c>
      <x:c r="C56" s="81" t="n">
        <x:v>2024</x:v>
      </x:c>
      <x:c r="D56" s="80" t="str">
        <x:v>BMW M3 Wagon</x:v>
      </x:c>
      <x:c r="E56" s="80" t="str">
        <x:v>BMW M3 Wagon</x:v>
      </x:c>
      <x:c r="F56" s="82" t="str">
        <x:v>HW Modified 10/10</x:v>
      </x:c>
      <x:c r="G56" s="80" t="str"/>
      <x:c r="H56" s="80" t="str">
        <x:v>138/250</x:v>
      </x:c>
      <x:c r="I56" s="83" t="str">
        <x:v>HRY67</x:v>
      </x:c>
      <x:c r="J56" s="80" t="str">
        <x:v>Metalflake Blue</x:v>
      </x:c>
      <x:c r="K56" s="82" t="str">
        <x:v>Artistic depiction of BMW M logos, "90" on hood and sides, Goodyear, Bilstein, Motul, "AA" logos on sides</x:v>
      </x:c>
      <x:c r="L56" s="82" t="str">
        <x:v>WE10SP</x:v>
      </x:c>
      <x:c r="M56" s="82" t="str">
        <x:v>Ice blue / Plastic</x:v>
      </x:c>
      <x:c r="N56" s="82" t="str">
        <x:v>Smoke tint</x:v>
      </x:c>
      <x:c r="O56" s="82" t="str">
        <x:v>White</x:v>
      </x:c>
      <x:c r="P56" s="82" t="str">
        <x:v>Malaysia</x:v>
      </x:c>
      <x:c r="Q56" s="82" t="str"/>
      <x:c r="R56" s="82" t="str">
        <x:v>Mainline</x:v>
      </x:c>
      <x:c r="S56" s="82" t="str">
        <x:v>Comum / atual</x:v>
      </x:c>
      <x:c r="T56" s="82" t="str">
        <x:v>Lançado</x:v>
      </x:c>
      <x:c r="U56" s="82" t="str">
        <x:v>New Model Base code(s): T02, T03, T04, T07</x:v>
      </x:c>
      <x:c r="V56" s="80" t="str">
        <x:v>Coleção principal (~1:64)</x:v>
      </x:c>
      <x:c r="W56" s="82" t="str">
        <x:v>https://hotwheels.fandom.com/wiki/BMW_M3_Wagon</x:v>
      </x:c>
      <x:c r="X56" s="82" t="str">
        <x:v>https://hotwheels.fandom.com/wiki/BMW_M3_Wagon</x:v>
      </x:c>
    </x:row>
    <x:row r="57">
      <x:c r="A57" s="80" t="str">
        <x:v>Não</x:v>
      </x:c>
      <x:c r="B57" s="80" t="str">
        <x:v>1 — Comprar agora</x:v>
      </x:c>
      <x:c r="C57" s="81" t="n">
        <x:v>2024</x:v>
      </x:c>
      <x:c r="D57" s="80" t="str">
        <x:v>BMW M3 Wagon</x:v>
      </x:c>
      <x:c r="E57" s="80" t="str">
        <x:v>BMW M3 Wagon</x:v>
      </x:c>
      <x:c r="F57" s="82" t="str">
        <x:v>HW Modified 10/10</x:v>
      </x:c>
      <x:c r="G57" s="80" t="str"/>
      <x:c r="H57" s="80" t="str">
        <x:v>138/250</x:v>
      </x:c>
      <x:c r="I57" s="83" t="str">
        <x:v>HTD89</x:v>
      </x:c>
      <x:c r="J57" s="80" t="str">
        <x:v>Red</x:v>
      </x:c>
      <x:c r="K57" s="82" t="str">
        <x:v>Artistic depiction of BMW M logos, white and red stripes over black hood, black and white stripes on sides, "90", Goodyear, Bilstein, Motul, "AA" logos on hood and sides</x:v>
      </x:c>
      <x:c r="L57" s="82" t="str">
        <x:v>Gold E10SP</x:v>
      </x:c>
      <x:c r="M57" s="82" t="str">
        <x:v>Red / Plastic</x:v>
      </x:c>
      <x:c r="N57" s="82" t="str">
        <x:v>Smoke tint</x:v>
      </x:c>
      <x:c r="O57" s="82" t="str">
        <x:v>Black</x:v>
      </x:c>
      <x:c r="P57" s="82" t="str">
        <x:v>Malaysia</x:v>
      </x:c>
      <x:c r="Q57" s="82" t="str"/>
      <x:c r="R57" s="82" t="str">
        <x:v>Mainline</x:v>
      </x:c>
      <x:c r="S57" s="82" t="str">
        <x:v>Comum / atual</x:v>
      </x:c>
      <x:c r="T57" s="82" t="str">
        <x:v>Lançado</x:v>
      </x:c>
      <x:c r="U57" s="82" t="str">
        <x:v>New Model Base code(s): T22, T23, T24, T26</x:v>
      </x:c>
      <x:c r="V57" s="80" t="str">
        <x:v>Coleção principal (~1:64)</x:v>
      </x:c>
      <x:c r="W57" s="82" t="str">
        <x:v>https://hotwheels.fandom.com/wiki/BMW_M3_Wagon</x:v>
      </x:c>
      <x:c r="X57" s="82" t="str">
        <x:v>https://hotwheels.fandom.com/wiki/BMW_M3_Wagon</x:v>
      </x:c>
    </x:row>
    <x:row r="58">
      <x:c r="A58" s="80" t="str">
        <x:v>Não</x:v>
      </x:c>
      <x:c r="B58" s="80" t="str">
        <x:v>1 — Comprar agora</x:v>
      </x:c>
      <x:c r="C58" s="81" t="n">
        <x:v>2024</x:v>
      </x:c>
      <x:c r="D58" s="80" t="str">
        <x:v>BMW M4</x:v>
      </x:c>
      <x:c r="E58" s="80" t="str">
        <x:v>BMW M4</x:v>
      </x:c>
      <x:c r="F58" s="82" t="str">
        <x:v>Multipack Exclusive</x:v>
      </x:c>
      <x:c r="G58" s="80" t="str"/>
      <x:c r="H58" s="80" t="str"/>
      <x:c r="I58" s="83" t="str">
        <x:v>X6999</x:v>
      </x:c>
      <x:c r="J58" s="80" t="str">
        <x:v>Black</x:v>
      </x:c>
      <x:c r="K58" s="82" t="str">
        <x:v>Detailed headlights and taillights</x:v>
      </x:c>
      <x:c r="L58" s="82" t="str">
        <x:v>Gray E10SP</x:v>
      </x:c>
      <x:c r="M58" s="82" t="str">
        <x:v>Black / Plastic</x:v>
      </x:c>
      <x:c r="N58" s="82" t="str">
        <x:v>Smoke tint</x:v>
      </x:c>
      <x:c r="O58" s="82" t="str">
        <x:v>Black</x:v>
      </x:c>
      <x:c r="P58" s="82" t="str">
        <x:v>Malaysia</x:v>
      </x:c>
      <x:c r="Q58" s="82" t="str"/>
      <x:c r="R58" s="82" t="str">
        <x:v>Temática / multipack</x:v>
      </x:c>
      <x:c r="S58" s="82" t="str">
        <x:v>Comum / atual</x:v>
      </x:c>
      <x:c r="T58" s="82" t="str">
        <x:v>Lançado</x:v>
      </x:c>
      <x:c r="U58" s="82" t="str">
        <x:v>20-pack Exclusive Base code(s): S42</x:v>
      </x:c>
      <x:c r="V58" s="80" t="str">
        <x:v>Coleção principal (~1:64)</x:v>
      </x:c>
      <x:c r="W58" s="82" t="str">
        <x:v>https://hotwheels.fandom.com/wiki/BMW_M4</x:v>
      </x:c>
      <x:c r="X58" s="82" t="str">
        <x:v>https://hotwheels.fandom.com/wiki/BMW_M4</x:v>
      </x:c>
    </x:row>
    <x:row r="59">
      <x:c r="A59" s="80" t="str">
        <x:v>Não</x:v>
      </x:c>
      <x:c r="B59" s="80" t="str">
        <x:v>1 — Comprar agora</x:v>
      </x:c>
      <x:c r="C59" s="81" t="n">
        <x:v>2024</x:v>
      </x:c>
      <x:c r="D59" s="80" t="str">
        <x:v>BMW M4</x:v>
      </x:c>
      <x:c r="E59" s="80" t="str">
        <x:v>BMW M4</x:v>
      </x:c>
      <x:c r="F59" s="82" t="str">
        <x:v>Multipack Exclusive</x:v>
      </x:c>
      <x:c r="G59" s="80" t="str"/>
      <x:c r="H59" s="80" t="str"/>
      <x:c r="I59" s="83" t="str">
        <x:v>X6999</x:v>
      </x:c>
      <x:c r="J59" s="80" t="str">
        <x:v>Green</x:v>
      </x:c>
      <x:c r="K59" s="82" t="str">
        <x:v>Detailed headlights and taillights with BMW badges, M4 on rear</x:v>
      </x:c>
      <x:c r="L59" s="82" t="str">
        <x:v>Gray E10SP</x:v>
      </x:c>
      <x:c r="M59" s="82" t="str">
        <x:v>Black / Plastic</x:v>
      </x:c>
      <x:c r="N59" s="82" t="str">
        <x:v>Smoke tint</x:v>
      </x:c>
      <x:c r="O59" s="82" t="str">
        <x:v>Black</x:v>
      </x:c>
      <x:c r="P59" s="82" t="str">
        <x:v>Malaysia</x:v>
      </x:c>
      <x:c r="Q59" s="82" t="str"/>
      <x:c r="R59" s="82" t="str">
        <x:v>Temática / multipack</x:v>
      </x:c>
      <x:c r="S59" s="82" t="str">
        <x:v>Comum / atual</x:v>
      </x:c>
      <x:c r="T59" s="82" t="str">
        <x:v>Lançado</x:v>
      </x:c>
      <x:c r="U59" s="82" t="str">
        <x:v>8-pack Exclusive Base code(s): T10</x:v>
      </x:c>
      <x:c r="V59" s="80" t="str">
        <x:v>Coleção principal (~1:64)</x:v>
      </x:c>
      <x:c r="W59" s="82" t="str">
        <x:v>https://hotwheels.fandom.com/wiki/BMW_M4</x:v>
      </x:c>
      <x:c r="X59" s="82" t="str">
        <x:v>https://hotwheels.fandom.com/wiki/BMW_M4</x:v>
      </x:c>
    </x:row>
    <x:row r="60">
      <x:c r="A60" s="80" t="str">
        <x:v>Não</x:v>
      </x:c>
      <x:c r="B60" s="80" t="str">
        <x:v>1 — Comprar agora</x:v>
      </x:c>
      <x:c r="C60" s="81" t="n">
        <x:v>2024</x:v>
      </x:c>
      <x:c r="D60" s="80" t="str">
        <x:v>BMW M4</x:v>
      </x:c>
      <x:c r="E60" s="80" t="str">
        <x:v>BMW M4</x:v>
      </x:c>
      <x:c r="F60" s="82" t="str">
        <x:v>Multipack Exclusive</x:v>
      </x:c>
      <x:c r="G60" s="80" t="str"/>
      <x:c r="H60" s="80" t="str"/>
      <x:c r="I60" s="83" t="str">
        <x:v>X6999</x:v>
      </x:c>
      <x:c r="J60" s="80" t="str">
        <x:v>Matte burnt orange</x:v>
      </x:c>
      <x:c r="K60" s="82" t="str">
        <x:v>Detailed headlights and taillights</x:v>
      </x:c>
      <x:c r="L60" s="82" t="str">
        <x:v>Gray E10SP</x:v>
      </x:c>
      <x:c r="M60" s="82" t="str">
        <x:v>Black / Plastic</x:v>
      </x:c>
      <x:c r="N60" s="82" t="str">
        <x:v>Smoke tint</x:v>
      </x:c>
      <x:c r="O60" s="82" t="str">
        <x:v>Gray</x:v>
      </x:c>
      <x:c r="P60" s="82" t="str">
        <x:v>Malaysia</x:v>
      </x:c>
      <x:c r="Q60" s="82" t="str"/>
      <x:c r="R60" s="82" t="str">
        <x:v>Temática / multipack</x:v>
      </x:c>
      <x:c r="S60" s="82" t="str">
        <x:v>Comum / atual</x:v>
      </x:c>
      <x:c r="T60" s="82" t="str">
        <x:v>Lançado</x:v>
      </x:c>
      <x:c r="U60" s="82" t="str">
        <x:v>Base code(s): T23, T31</x:v>
      </x:c>
      <x:c r="V60" s="80" t="str">
        <x:v>Coleção principal (~1:64)</x:v>
      </x:c>
      <x:c r="W60" s="82" t="str">
        <x:v>https://hotwheels.fandom.com/wiki/BMW_M4</x:v>
      </x:c>
      <x:c r="X60" s="82" t="str">
        <x:v>https://hotwheels.fandom.com/wiki/BMW_M4</x:v>
      </x:c>
    </x:row>
    <x:row r="61">
      <x:c r="A61" s="80" t="str">
        <x:v>Não</x:v>
      </x:c>
      <x:c r="B61" s="80" t="str">
        <x:v>1 — Comprar agora</x:v>
      </x:c>
      <x:c r="C61" s="81" t="n">
        <x:v>2024</x:v>
      </x:c>
      <x:c r="D61" s="80" t="str">
        <x:v>BMW Z4 M Motorsport</x:v>
      </x:c>
      <x:c r="E61" s="80" t="str">
        <x:v>BMW Z4 M Motorsport</x:v>
      </x:c>
      <x:c r="F61" s="82" t="str">
        <x:v>Mystery Models (Series 1) 2/10</x:v>
      </x:c>
      <x:c r="G61" s="80" t="str"/>
      <x:c r="H61" s="80" t="str"/>
      <x:c r="I61" s="83" t="str">
        <x:v>HVW71</x:v>
      </x:c>
      <x:c r="J61" s="80" t="str">
        <x:v>Black</x:v>
      </x:c>
      <x:c r="K61" s="82" t="str">
        <x:v>BMW M racing deco on sides and hood. "2".</x:v>
      </x:c>
      <x:c r="L61" s="82" t="str">
        <x:v>Red-rimmed PR5</x:v>
      </x:c>
      <x:c r="M61" s="82" t="str">
        <x:v>Chrome / Plastic</x:v>
      </x:c>
      <x:c r="N61" s="82" t="str">
        <x:v>Smoke tint</x:v>
      </x:c>
      <x:c r="O61" s="82" t="str">
        <x:v>Black</x:v>
      </x:c>
      <x:c r="P61" s="82" t="str">
        <x:v>Malaysia</x:v>
      </x:c>
      <x:c r="Q61" s="82" t="str"/>
      <x:c r="R61" s="82" t="str">
        <x:v>Outra linha</x:v>
      </x:c>
      <x:c r="S61" s="82" t="str">
        <x:v>Comum / atual</x:v>
      </x:c>
      <x:c r="T61" s="82" t="str">
        <x:v>Lançado</x:v>
      </x:c>
      <x:c r="U61" s="82" t="str">
        <x:v>Base code(s): S41</x:v>
      </x:c>
      <x:c r="V61" s="80" t="str">
        <x:v>Coleção principal (~1:64)</x:v>
      </x:c>
      <x:c r="W61" s="82" t="str">
        <x:v>https://hotwheels.fandom.com/wiki/BMW_Z4_M_Motorsport</x:v>
      </x:c>
      <x:c r="X61" s="82" t="str">
        <x:v>https://hotwheels.fandom.com/wiki/BMW_Z4_M_Motorsport</x:v>
      </x:c>
    </x:row>
    <x:row r="62">
      <x:c r="A62" s="80" t="str">
        <x:v>Não</x:v>
      </x:c>
      <x:c r="B62" s="80" t="str">
        <x:v>2 — Completar aos poucos</x:v>
      </x:c>
      <x:c r="C62" s="81" t="n">
        <x:v>2026</x:v>
      </x:c>
      <x:c r="D62" s="80" t="str">
        <x:v>'73 BMW 3.0 CSL Race Car</x:v>
      </x:c>
      <x:c r="E62" s="80" t="str">
        <x:v>'73 BMW 3.0 CSL Race Car</x:v>
      </x:c>
      <x:c r="F62" s="82" t="str">
        <x:v>The Hot Ones / 4/8</x:v>
      </x:c>
      <x:c r="G62" s="80" t="str"/>
      <x:c r="H62" s="80" t="str"/>
      <x:c r="I62" s="83" t="str">
        <x:v>JKX51</x:v>
      </x:c>
      <x:c r="J62" s="80" t="str">
        <x:v>ZAMAC</x:v>
      </x:c>
      <x:c r="K62" s="82" t="str"/>
      <x:c r="L62" s="82" t="str">
        <x:v>HO</x:v>
      </x:c>
      <x:c r="M62" s="82" t="str"/>
      <x:c r="N62" s="82" t="str"/>
      <x:c r="O62" s="82" t="str"/>
      <x:c r="P62" s="82" t="str"/>
      <x:c r="Q62" s="82" t="str">
        <x:v>ZAMAC</x:v>
      </x:c>
      <x:c r="R62" s="82" t="str">
        <x:v>Outra linha</x:v>
      </x:c>
      <x:c r="S62" s="82" t="str">
        <x:v>Rara</x:v>
      </x:c>
      <x:c r="T62" s="82" t="str">
        <x:v>2026 — listado; confirmar disponibilidade</x:v>
      </x:c>
      <x:c r="U62" s="82" t="str">
        <x:v>Base code(s):</x:v>
      </x:c>
      <x:c r="V62" s="80" t="str">
        <x:v>Coleção principal (~1:64)</x:v>
      </x:c>
      <x:c r="W62" s="82" t="str">
        <x:v>https://hotwheels.fandom.com/wiki/%2773_BMW_3.0_CSL_Race_Car</x:v>
      </x:c>
      <x:c r="X62" s="82" t="str">
        <x:v>https://hotwheels.fandom.com/wiki/%2773_BMW_3.0_CSL_Race_Car</x:v>
      </x:c>
    </x:row>
    <x:row r="63">
      <x:c r="A63" s="80" t="str">
        <x:v>Não</x:v>
      </x:c>
      <x:c r="B63" s="80" t="str">
        <x:v>2 — Completar aos poucos</x:v>
      </x:c>
      <x:c r="C63" s="81" t="n">
        <x:v>2026</x:v>
      </x:c>
      <x:c r="D63" s="80" t="str">
        <x:v>'73 BMW 3.0 CSL Race Car</x:v>
      </x:c>
      <x:c r="E63" s="80" t="str">
        <x:v>'73 BMW 3.0 CSL Race Car</x:v>
      </x:c>
      <x:c r="F63" s="82" t="str">
        <x:v>The Hot Ones 4/8</x:v>
      </x:c>
      <x:c r="G63" s="80" t="str"/>
      <x:c r="H63" s="80" t="str"/>
      <x:c r="I63" s="83" t="str">
        <x:v>JKX51</x:v>
      </x:c>
      <x:c r="J63" s="80" t="str">
        <x:v>ZAMAC</x:v>
      </x:c>
      <x:c r="K63" s="82" t="str">
        <x:v>Detailed headlights, taillights, and trim, "3" on sides and hood, Hot Wheels and "Bilstein" logos on sides, black, blue, and red striping on sides and hood</x:v>
      </x:c>
      <x:c r="L63" s="82" t="str">
        <x:v>HO</x:v>
      </x:c>
      <x:c r="M63" s="82" t="str">
        <x:v>Black / Plastic</x:v>
      </x:c>
      <x:c r="N63" s="82" t="str">
        <x:v>Blue tint</x:v>
      </x:c>
      <x:c r="O63" s="82" t="str">
        <x:v>Black</x:v>
      </x:c>
      <x:c r="P63" s="82" t="str"/>
      <x:c r="Q63" s="82" t="str">
        <x:v>ZAMAC</x:v>
      </x:c>
      <x:c r="R63" s="82" t="str">
        <x:v>Outra linha</x:v>
      </x:c>
      <x:c r="S63" s="82" t="str">
        <x:v>Rara</x:v>
      </x:c>
      <x:c r="T63" s="82" t="str">
        <x:v>2026 — listado; confirmar disponibilidade</x:v>
      </x:c>
      <x:c r="U63" s="82" t="str">
        <x:v>Base code(s): U47N</x:v>
      </x:c>
      <x:c r="V63" s="80" t="str">
        <x:v>Coleção principal (~1:64)</x:v>
      </x:c>
      <x:c r="W63" s="82" t="str">
        <x:v>https://hotwheels.fandom.com/wiki/%2773_BMW_3.0_CSL_Race_Car</x:v>
      </x:c>
      <x:c r="X63" s="82" t="str">
        <x:v>https://hotwheels.fandom.com/wiki/%2773_BMW_3.0_CSL_Race_Car</x:v>
      </x:c>
    </x:row>
    <x:row r="64">
      <x:c r="A64" s="80" t="str">
        <x:v>Não</x:v>
      </x:c>
      <x:c r="B64" s="80" t="str">
        <x:v>2 — Completar aos poucos</x:v>
      </x:c>
      <x:c r="C64" s="81" t="n">
        <x:v>2026</x:v>
      </x:c>
      <x:c r="D64" s="80" t="str">
        <x:v>BMW 2002</x:v>
      </x:c>
      <x:c r="E64" s="80" t="str">
        <x:v>BMW 2002</x:v>
      </x:c>
      <x:c r="F64" s="82" t="str">
        <x:v>Collector Editions</x:v>
      </x:c>
      <x:c r="G64" s="80" t="str"/>
      <x:c r="H64" s="80" t="str">
        <x:v>6</x:v>
      </x:c>
      <x:c r="I64" s="83" t="str"/>
      <x:c r="J64" s="80" t="str">
        <x:v>KROGER</x:v>
      </x:c>
      <x:c r="K64" s="82" t="str"/>
      <x:c r="L64" s="82" t="str"/>
      <x:c r="M64" s="82" t="str"/>
      <x:c r="N64" s="82" t="str"/>
      <x:c r="O64" s="82" t="str"/>
      <x:c r="P64" s="82" t="str"/>
      <x:c r="Q64" s="82" t="str">
        <x:v>Kroger, Mail-in / Collector Edition</x:v>
      </x:c>
      <x:c r="R64" s="82" t="str">
        <x:v>Mainline</x:v>
      </x:c>
      <x:c r="S64" s="82" t="str">
        <x:v>Rara</x:v>
      </x:c>
      <x:c r="T64" s="82" t="str">
        <x:v>2026 — listado; confirmar disponibilidade</x:v>
      </x:c>
      <x:c r="U64" s="82" t="str"/>
      <x:c r="V64" s="80" t="str">
        <x:v>Coleção principal (~1:64)</x:v>
      </x:c>
      <x:c r="W64" s="82" t="str">
        <x:v>https://orangetrackdiecast.com/2026-hot-wheels-master-list-of-all-lines/</x:v>
      </x:c>
      <x:c r="X64" s="82" t="str">
        <x:v>https://hotwheels.fandom.com/wiki/BMW_2002</x:v>
      </x:c>
    </x:row>
    <x:row r="65">
      <x:c r="A65" s="80" t="str">
        <x:v>Não</x:v>
      </x:c>
      <x:c r="B65" s="80" t="str">
        <x:v>2 — Completar aos poucos</x:v>
      </x:c>
      <x:c r="C65" s="81" t="n">
        <x:v>2026</x:v>
      </x:c>
      <x:c r="D65" s="80" t="str">
        <x:v>BMW 320 Group 5</x:v>
      </x:c>
      <x:c r="E65" s="80" t="str">
        <x:v>BMW 320 Group 5</x:v>
      </x:c>
      <x:c r="F65" s="82" t="str">
        <x:v>Themed Multi-Packs / ZAMAC 6-Pack</x:v>
      </x:c>
      <x:c r="G65" s="80" t="str"/>
      <x:c r="H65" s="80" t="str"/>
      <x:c r="I65" s="83" t="str"/>
      <x:c r="J65" s="80" t="str"/>
      <x:c r="K65" s="82" t="str"/>
      <x:c r="L65" s="82" t="str"/>
      <x:c r="M65" s="82" t="str"/>
      <x:c r="N65" s="82" t="str"/>
      <x:c r="O65" s="82" t="str"/>
      <x:c r="P65" s="82" t="str"/>
      <x:c r="Q65" s="82" t="str">
        <x:v>ZAMAC</x:v>
      </x:c>
      <x:c r="R65" s="82" t="str">
        <x:v>Temática / multipack</x:v>
      </x:c>
      <x:c r="S65" s="82" t="str">
        <x:v>Rara</x:v>
      </x:c>
      <x:c r="T65" s="82" t="str">
        <x:v>2026 — listado; confirmar disponibilidade</x:v>
      </x:c>
      <x:c r="U65" s="82" t="str"/>
      <x:c r="V65" s="80" t="str">
        <x:v>Coleção principal (~1:64)</x:v>
      </x:c>
      <x:c r="W65" s="82" t="str">
        <x:v>https://orangetrackdiecast.com/2026-hot-wheels-master-list-of-all-lines/</x:v>
      </x:c>
      <x:c r="X65" s="82" t="str"/>
    </x:row>
    <x:row r="66">
      <x:c r="A66" s="80" t="str">
        <x:v>Não</x:v>
      </x:c>
      <x:c r="B66" s="80" t="str">
        <x:v>2 — Completar aos poucos</x:v>
      </x:c>
      <x:c r="C66" s="81" t="n">
        <x:v>2025</x:v>
      </x:c>
      <x:c r="D66" s="80" t="str">
        <x:v>BMW 2002</x:v>
      </x:c>
      <x:c r="E66" s="80" t="str">
        <x:v>BMW 2002</x:v>
      </x:c>
      <x:c r="F66" s="82" t="str">
        <x:v>HW: '70s vs. '90s 5/10</x:v>
      </x:c>
      <x:c r="G66" s="80" t="str"/>
      <x:c r="H66" s="80" t="str">
        <x:v>077/250</x:v>
      </x:c>
      <x:c r="I66" s="83" t="str">
        <x:v>HYY14</x:v>
      </x:c>
      <x:c r="J66" s="80" t="str">
        <x:v>ZAMAC</x:v>
      </x:c>
      <x:c r="K66" s="82" t="str">
        <x:v>BMW badging, detailed gas cap, BMW M graphics on sides, "ZAMAC 005" logos on rear quarterpanel</x:v>
      </x:c>
      <x:c r="L66" s="82" t="str">
        <x:v>Chrome Lip L4</x:v>
      </x:c>
      <x:c r="M66" s="82" t="str">
        <x:v>Black / Plastic</x:v>
      </x:c>
      <x:c r="N66" s="82" t="str">
        <x:v>Clear</x:v>
      </x:c>
      <x:c r="O66" s="82" t="str">
        <x:v>Black</x:v>
      </x:c>
      <x:c r="P66" s="82" t="str">
        <x:v>Malaysia</x:v>
      </x:c>
      <x:c r="Q66" s="82" t="str">
        <x:v>ZAMAC, Walmart</x:v>
      </x:c>
      <x:c r="R66" s="82" t="str">
        <x:v>Mainline</x:v>
      </x:c>
      <x:c r="S66" s="82" t="str">
        <x:v>Rara</x:v>
      </x:c>
      <x:c r="T66" s="82" t="str">
        <x:v>Lançado</x:v>
      </x:c>
      <x:c r="U66" s="82" t="str">
        <x:v>Walmart Exclusive Base code(s): U06N</x:v>
      </x:c>
      <x:c r="V66" s="80" t="str">
        <x:v>Coleção principal (~1:64)</x:v>
      </x:c>
      <x:c r="W66" s="82" t="str">
        <x:v>https://hotwheels.fandom.com/wiki/BMW_2002</x:v>
      </x:c>
      <x:c r="X66" s="82" t="str">
        <x:v>https://hotwheels.fandom.com/wiki/BMW_2002</x:v>
      </x:c>
    </x:row>
    <x:row r="67">
      <x:c r="A67" s="80" t="str">
        <x:v>Não</x:v>
      </x:c>
      <x:c r="B67" s="80" t="str">
        <x:v>2 — Completar aos poucos</x:v>
      </x:c>
      <x:c r="C67" s="81" t="n">
        <x:v>2025</x:v>
      </x:c>
      <x:c r="D67" s="80" t="str">
        <x:v>BMW M3 E46</x:v>
      </x:c>
      <x:c r="E67" s="80" t="str">
        <x:v>BMW M3 E46</x:v>
      </x:c>
      <x:c r="F67" s="82" t="str">
        <x:v>Car Culture: Team Transport (Legends Tour)</x:v>
      </x:c>
      <x:c r="G67" s="80" t="str"/>
      <x:c r="H67" s="80" t="str"/>
      <x:c r="I67" s="83" t="str">
        <x:v>JFM93</x:v>
      </x:c>
      <x:c r="J67" s="80" t="str">
        <x:v>Dakar Yellow</x:v>
      </x:c>
      <x:c r="K67" s="82" t="str">
        <x:v>Hot Wheels Legends Tour logo, "25", and white accents on sides, BMW emblems on front and rear, detailed headlights and taillights</x:v>
      </x:c>
      <x:c r="L67" s="82" t="str">
        <x:v>White RR10SPM</x:v>
      </x:c>
      <x:c r="M67" s="82" t="str">
        <x:v>Black / Metal</x:v>
      </x:c>
      <x:c r="N67" s="82" t="str">
        <x:v>Smoke tint</x:v>
      </x:c>
      <x:c r="O67" s="82" t="str">
        <x:v>Black</x:v>
      </x:c>
      <x:c r="P67" s="82" t="str">
        <x:v>Thailand</x:v>
      </x:c>
      <x:c r="Q67" s="82" t="str">
        <x:v>Walmart</x:v>
      </x:c>
      <x:c r="R67" s="82" t="str">
        <x:v>Premium</x:v>
      </x:c>
      <x:c r="S67" s="82" t="str">
        <x:v>Rara</x:v>
      </x:c>
      <x:c r="T67" s="82" t="str">
        <x:v>Lançado</x:v>
      </x:c>
      <x:c r="U67" s="82" t="str">
        <x:v>Walmart Exclusive Packaged with HW Rally Hauler and HW Rally Trailer Base code(s): U08A, U10A</x:v>
      </x:c>
      <x:c r="V67" s="80" t="str">
        <x:v>Coleção principal (~1:64)</x:v>
      </x:c>
      <x:c r="W67" s="82" t="str">
        <x:v>https://hotwheels.fandom.com/wiki/BMW_M3_E46</x:v>
      </x:c>
      <x:c r="X67" s="82" t="str">
        <x:v>https://hotwheels.fandom.com/wiki/BMW_M3_E46</x:v>
      </x:c>
    </x:row>
    <x:row r="68">
      <x:c r="A68" s="80" t="str">
        <x:v>Não</x:v>
      </x:c>
      <x:c r="B68" s="80" t="str">
        <x:v>2 — Completar aos poucos</x:v>
      </x:c>
      <x:c r="C68" s="81" t="n">
        <x:v>2025</x:v>
      </x:c>
      <x:c r="D68" s="80" t="str">
        <x:v>BMW Z4 M Motorsport</x:v>
      </x:c>
      <x:c r="E68" s="80" t="str">
        <x:v>BMW Z4 M Motorsport</x:v>
      </x:c>
      <x:c r="F68" s="82" t="str">
        <x:v>ZAMAC Themed Multipack</x:v>
      </x:c>
      <x:c r="G68" s="80" t="str"/>
      <x:c r="H68" s="80" t="str"/>
      <x:c r="I68" s="83" t="str">
        <x:v>JBY80</x:v>
      </x:c>
      <x:c r="J68" s="80" t="str">
        <x:v>ZAMAC</x:v>
      </x:c>
      <x:c r="K68" s="82" t="str"/>
      <x:c r="L68" s="82" t="str"/>
      <x:c r="M68" s="82" t="str"/>
      <x:c r="N68" s="82" t="str"/>
      <x:c r="O68" s="82" t="str"/>
      <x:c r="P68" s="82" t="str">
        <x:v>Thailand</x:v>
      </x:c>
      <x:c r="Q68" s="82" t="str">
        <x:v>ZAMAC</x:v>
      </x:c>
      <x:c r="R68" s="82" t="str">
        <x:v>Temática / multipack</x:v>
      </x:c>
      <x:c r="S68" s="82" t="str">
        <x:v>Rara</x:v>
      </x:c>
      <x:c r="T68" s="82" t="str">
        <x:v>Lançado</x:v>
      </x:c>
      <x:c r="U68" s="82" t="str">
        <x:v>Base code(s):</x:v>
      </x:c>
      <x:c r="V68" s="80" t="str">
        <x:v>Coleção principal (~1:64)</x:v>
      </x:c>
      <x:c r="W68" s="82" t="str">
        <x:v>https://hotwheels.fandom.com/wiki/BMW_Z4_M_Motorsport</x:v>
      </x:c>
      <x:c r="X68" s="82" t="str">
        <x:v>https://hotwheels.fandom.com/wiki/BMW_Z4_M_Motorsport</x:v>
      </x:c>
    </x:row>
    <x:row r="69">
      <x:c r="A69" s="80" t="str">
        <x:v>Não</x:v>
      </x:c>
      <x:c r="B69" s="80" t="str">
        <x:v>2 — Completar aos poucos</x:v>
      </x:c>
      <x:c r="C69" s="81" t="n">
        <x:v>2024</x:v>
      </x:c>
      <x:c r="D69" s="80" t="str">
        <x:v>'92 BMW M3</x:v>
      </x:c>
      <x:c r="E69" s="80" t="str">
        <x:v>'92 BMW M3</x:v>
      </x:c>
      <x:c r="F69" s="82" t="str">
        <x:v>Red Edition 10/12</x:v>
      </x:c>
      <x:c r="G69" s="80" t="str"/>
      <x:c r="H69" s="80" t="str">
        <x:v>195/250</x:v>
      </x:c>
      <x:c r="I69" s="83" t="str">
        <x:v>HTF82</x:v>
      </x:c>
      <x:c r="J69" s="80" t="str">
        <x:v>Red</x:v>
      </x:c>
      <x:c r="K69" s="82" t="str">
        <x:v>Black striping, badging, M racing stripes on sides</x:v>
      </x:c>
      <x:c r="L69" s="82" t="str">
        <x:v>Dark Gray LW</x:v>
      </x:c>
      <x:c r="M69" s="82" t="str">
        <x:v>Black / Plastic</x:v>
      </x:c>
      <x:c r="N69" s="82" t="str">
        <x:v>Smoke tint</x:v>
      </x:c>
      <x:c r="O69" s="82" t="str">
        <x:v>Silver</x:v>
      </x:c>
      <x:c r="P69" s="82" t="str">
        <x:v>Malaysia</x:v>
      </x:c>
      <x:c r="Q69" s="82" t="str">
        <x:v>Target / Red Edition</x:v>
      </x:c>
      <x:c r="R69" s="82" t="str">
        <x:v>Mainline</x:v>
      </x:c>
      <x:c r="S69" s="82" t="str">
        <x:v>Rara</x:v>
      </x:c>
      <x:c r="T69" s="82" t="str">
        <x:v>Lançado</x:v>
      </x:c>
      <x:c r="U69" s="82" t="str">
        <x:v>Target Exclusive Base code(s): T29</x:v>
      </x:c>
      <x:c r="V69" s="80" t="str">
        <x:v>Coleção principal (~1:64)</x:v>
      </x:c>
      <x:c r="W69" s="82" t="str">
        <x:v>https://hotwheels.fandom.com/wiki/%2792_BMW_M3</x:v>
      </x:c>
      <x:c r="X69" s="82" t="str">
        <x:v>https://hotwheels.fandom.com/wiki/%2792_BMW_M3</x:v>
      </x:c>
    </x:row>
    <x:row r="70">
      <x:c r="A70" s="80" t="str">
        <x:v>Não</x:v>
      </x:c>
      <x:c r="B70" s="80" t="str">
        <x:v>2 — Completar aos poucos</x:v>
      </x:c>
      <x:c r="C70" s="81" t="n">
        <x:v>2023</x:v>
      </x:c>
      <x:c r="D70" s="80" t="str">
        <x:v>'73 BMW 3.0 CSL Race Car</x:v>
      </x:c>
      <x:c r="E70" s="80" t="str">
        <x:v>'73 BMW 3.0 CSL Race Car</x:v>
      </x:c>
      <x:c r="F70" s="82" t="str">
        <x:v>BMW Car Culture 2-Pack</x:v>
      </x:c>
      <x:c r="G70" s="80" t="str"/>
      <x:c r="H70" s="80" t="str"/>
      <x:c r="I70" s="83" t="str">
        <x:v>HKF55</x:v>
      </x:c>
      <x:c r="J70" s="80" t="str">
        <x:v>White</x:v>
      </x:c>
      <x:c r="K70" s="82" t="str"/>
      <x:c r="L70" s="82" t="str">
        <x:v>Eagle Goodyear Gray RREURO</x:v>
      </x:c>
      <x:c r="M70" s="82" t="str">
        <x:v>White / Metal</x:v>
      </x:c>
      <x:c r="N70" s="82" t="str">
        <x:v>Smoke tint</x:v>
      </x:c>
      <x:c r="O70" s="82" t="str"/>
      <x:c r="P70" s="82" t="str">
        <x:v>Thailand</x:v>
      </x:c>
      <x:c r="Q70" s="82" t="str"/>
      <x:c r="R70" s="82" t="str">
        <x:v>Premium</x:v>
      </x:c>
      <x:c r="S70" s="82" t="str">
        <x:v>Incomum</x:v>
      </x:c>
      <x:c r="T70" s="82" t="str">
        <x:v>Lançado</x:v>
      </x:c>
      <x:c r="U70" s="82" t="str">
        <x:v>Base code(s): S39, S40</x:v>
      </x:c>
      <x:c r="V70" s="80" t="str">
        <x:v>Coleção principal (~1:64)</x:v>
      </x:c>
      <x:c r="W70" s="82" t="str">
        <x:v>https://hotwheels.fandom.com/wiki/%2773_BMW_3.0_CSL_Race_Car</x:v>
      </x:c>
      <x:c r="X70" s="82" t="str">
        <x:v>https://hotwheels.fandom.com/wiki/%2773_BMW_3.0_CSL_Race_Car</x:v>
      </x:c>
    </x:row>
    <x:row r="71">
      <x:c r="A71" s="80" t="str">
        <x:v>Não</x:v>
      </x:c>
      <x:c r="B71" s="80" t="str">
        <x:v>2 — Completar aos poucos</x:v>
      </x:c>
      <x:c r="C71" s="81" t="n">
        <x:v>2023</x:v>
      </x:c>
      <x:c r="D71" s="80" t="str">
        <x:v>'92 BMW M3</x:v>
      </x:c>
      <x:c r="E71" s="80" t="str">
        <x:v>'92 BMW M3</x:v>
      </x:c>
      <x:c r="F71" s="82" t="str">
        <x:v>55th Anniversary Black and Yellow 2/6</x:v>
      </x:c>
      <x:c r="G71" s="80" t="str"/>
      <x:c r="H71" s="80" t="str"/>
      <x:c r="I71" s="83" t="str">
        <x:v>HLJ97</x:v>
      </x:c>
      <x:c r="J71" s="80" t="str">
        <x:v>Matte Black</x:v>
      </x:c>
      <x:c r="K71" s="82" t="str">
        <x:v>Red Hot Wheels logo, white "55th and Bilstein", BMW badge</x:v>
      </x:c>
      <x:c r="L71" s="82" t="str">
        <x:v>Chrome Gold Y5</x:v>
      </x:c>
      <x:c r="M71" s="82" t="str">
        <x:v>Gold Chrome / Plastic</x:v>
      </x:c>
      <x:c r="N71" s="82" t="str">
        <x:v>Light smoke tint</x:v>
      </x:c>
      <x:c r="O71" s="82" t="str">
        <x:v>Red</x:v>
      </x:c>
      <x:c r="P71" s="82" t="str">
        <x:v>Malaysia</x:v>
      </x:c>
      <x:c r="Q71" s="82" t="str"/>
      <x:c r="R71" s="82" t="str">
        <x:v>Outra linha</x:v>
      </x:c>
      <x:c r="S71" s="82" t="str">
        <x:v>Comum / atual</x:v>
      </x:c>
      <x:c r="T71" s="82" t="str">
        <x:v>Lançado</x:v>
      </x:c>
      <x:c r="U71" s="82" t="str">
        <x:v>Base code(s): R36, R46, R48</x:v>
      </x:c>
      <x:c r="V71" s="80" t="str">
        <x:v>Coleção principal (~1:64)</x:v>
      </x:c>
      <x:c r="W71" s="82" t="str">
        <x:v>https://hotwheels.fandom.com/wiki/%2792_BMW_M3</x:v>
      </x:c>
      <x:c r="X71" s="82" t="str">
        <x:v>https://hotwheels.fandom.com/wiki/%2792_BMW_M3</x:v>
      </x:c>
    </x:row>
    <x:row r="72">
      <x:c r="A72" s="80" t="str">
        <x:v>Não</x:v>
      </x:c>
      <x:c r="B72" s="80" t="str">
        <x:v>2 — Completar aos poucos</x:v>
      </x:c>
      <x:c r="C72" s="81" t="n">
        <x:v>2023</x:v>
      </x:c>
      <x:c r="D72" s="80" t="str">
        <x:v>1991 BMW M5</x:v>
      </x:c>
      <x:c r="E72" s="80" t="str">
        <x:v>1991 BMW M5</x:v>
      </x:c>
      <x:c r="F72" s="82" t="str">
        <x:v>Fast &amp; Furious 4/5</x:v>
      </x:c>
      <x:c r="G72" s="80" t="str"/>
      <x:c r="H72" s="80" t="str"/>
      <x:c r="I72" s="83" t="str">
        <x:v>HKD28</x:v>
      </x:c>
      <x:c r="J72" s="80" t="str">
        <x:v>Black</x:v>
      </x:c>
      <x:c r="K72" s="82" t="str">
        <x:v>Detailed headlights and taillights</x:v>
      </x:c>
      <x:c r="L72" s="82" t="str">
        <x:v>Gray RR10SPM</x:v>
      </x:c>
      <x:c r="M72" s="82" t="str">
        <x:v>Black / Metal</x:v>
      </x:c>
      <x:c r="N72" s="82" t="str">
        <x:v>Smoke tint</x:v>
      </x:c>
      <x:c r="O72" s="82" t="str">
        <x:v>Black</x:v>
      </x:c>
      <x:c r="P72" s="82" t="str">
        <x:v>Thailand</x:v>
      </x:c>
      <x:c r="Q72" s="82" t="str"/>
      <x:c r="R72" s="82" t="str">
        <x:v>Outra linha</x:v>
      </x:c>
      <x:c r="S72" s="82" t="str">
        <x:v>Comum / atual</x:v>
      </x:c>
      <x:c r="T72" s="82" t="str">
        <x:v>Lançado</x:v>
      </x:c>
      <x:c r="U72" s="82" t="str">
        <x:v>Base code(s): S34, S35, S36, S37, S40</x:v>
      </x:c>
      <x:c r="V72" s="80" t="str">
        <x:v>Coleção principal (~1:64)</x:v>
      </x:c>
      <x:c r="W72" s="82" t="str">
        <x:v>https://hotwheels.fandom.com/wiki/1991_BMW_M5</x:v>
      </x:c>
      <x:c r="X72" s="82" t="str">
        <x:v>https://hotwheels.fandom.com/wiki/1991_BMW_M5</x:v>
      </x:c>
    </x:row>
    <x:row r="73">
      <x:c r="A73" s="80" t="str">
        <x:v>Não</x:v>
      </x:c>
      <x:c r="B73" s="80" t="str">
        <x:v>2 — Completar aos poucos</x:v>
      </x:c>
      <x:c r="C73" s="81" t="n">
        <x:v>2023</x:v>
      </x:c>
      <x:c r="D73" s="80" t="str">
        <x:v>2001 BMW M5</x:v>
      </x:c>
      <x:c r="E73" s="80" t="str">
        <x:v>2001 BMW M5</x:v>
      </x:c>
      <x:c r="F73" s="82" t="str">
        <x:v>Car Culture: Canyon Warriors / 1/5</x:v>
      </x:c>
      <x:c r="G73" s="80" t="str"/>
      <x:c r="H73" s="80" t="str"/>
      <x:c r="I73" s="83" t="str">
        <x:v>HKC52</x:v>
      </x:c>
      <x:c r="J73" s="80" t="str">
        <x:v>Red</x:v>
      </x:c>
      <x:c r="K73" s="82" t="str">
        <x:v>Detailed headlights, taillights, fog lights and trim, "EEE39" license plate</x:v>
      </x:c>
      <x:c r="L73" s="82" t="str">
        <x:v>RR5SPM</x:v>
      </x:c>
      <x:c r="M73" s="82" t="str">
        <x:v>Black / / / Metal</x:v>
      </x:c>
      <x:c r="N73" s="82" t="str">
        <x:v>Smoke tint</x:v>
      </x:c>
      <x:c r="O73" s="82" t="str">
        <x:v>Black</x:v>
      </x:c>
      <x:c r="P73" s="82" t="str">
        <x:v>Thailand</x:v>
      </x:c>
      <x:c r="Q73" s="82" t="str"/>
      <x:c r="R73" s="82" t="str">
        <x:v>Premium</x:v>
      </x:c>
      <x:c r="S73" s="82" t="str">
        <x:v>Incomum</x:v>
      </x:c>
      <x:c r="T73" s="82" t="str">
        <x:v>Lançado</x:v>
      </x:c>
      <x:c r="U73" s="82" t="str">
        <x:v>Named '01 BMW M5 / Base code(s): S23, S25</x:v>
      </x:c>
      <x:c r="V73" s="80" t="str">
        <x:v>Coleção principal (~1:64)</x:v>
      </x:c>
      <x:c r="W73" s="82" t="str">
        <x:v>https://hotwheels.fandom.com/wiki/2001_BMW_M5</x:v>
      </x:c>
      <x:c r="X73" s="82" t="str">
        <x:v>https://hotwheels.fandom.com/wiki/2001_BMW_M5</x:v>
      </x:c>
    </x:row>
    <x:row r="74">
      <x:c r="A74" s="80" t="str">
        <x:v>Não</x:v>
      </x:c>
      <x:c r="B74" s="80" t="str">
        <x:v>2 — Completar aos poucos</x:v>
      </x:c>
      <x:c r="C74" s="81" t="n">
        <x:v>2023</x:v>
      </x:c>
      <x:c r="D74" s="80" t="str">
        <x:v>2001 BMW M5</x:v>
      </x:c>
      <x:c r="E74" s="80" t="str">
        <x:v>2001 BMW M5</x:v>
      </x:c>
      <x:c r="F74" s="82" t="str">
        <x:v>Car Culture: Canyon Warriors 1/5</x:v>
      </x:c>
      <x:c r="G74" s="80" t="str"/>
      <x:c r="H74" s="80" t="str"/>
      <x:c r="I74" s="83" t="str">
        <x:v>HKC52</x:v>
      </x:c>
      <x:c r="J74" s="80" t="str">
        <x:v>Red</x:v>
      </x:c>
      <x:c r="K74" s="82" t="str">
        <x:v>Detailed headlights, taillights, fog lights and trim, "EEE39" license plate</x:v>
      </x:c>
      <x:c r="L74" s="82" t="str">
        <x:v>Gray RR5SPM</x:v>
      </x:c>
      <x:c r="M74" s="82" t="str">
        <x:v>Black / Metal</x:v>
      </x:c>
      <x:c r="N74" s="82" t="str">
        <x:v>Smoke tint</x:v>
      </x:c>
      <x:c r="O74" s="82" t="str">
        <x:v>Black</x:v>
      </x:c>
      <x:c r="P74" s="82" t="str">
        <x:v>Thailand</x:v>
      </x:c>
      <x:c r="Q74" s="82" t="str"/>
      <x:c r="R74" s="82" t="str">
        <x:v>Premium</x:v>
      </x:c>
      <x:c r="S74" s="82" t="str">
        <x:v>Incomum</x:v>
      </x:c>
      <x:c r="T74" s="82" t="str">
        <x:v>Lançado</x:v>
      </x:c>
      <x:c r="U74" s="82" t="str">
        <x:v>Named '01 BMW M5 Base code(s): S23, S25</x:v>
      </x:c>
      <x:c r="V74" s="80" t="str">
        <x:v>Coleção principal (~1:64)</x:v>
      </x:c>
      <x:c r="W74" s="82" t="str">
        <x:v>https://hotwheels.fandom.com/wiki/2001_BMW_M5</x:v>
      </x:c>
      <x:c r="X74" s="82" t="str">
        <x:v>https://hotwheels.fandom.com/wiki/2001_BMW_M5</x:v>
      </x:c>
    </x:row>
    <x:row r="75">
      <x:c r="A75" s="80" t="str">
        <x:v>Não</x:v>
      </x:c>
      <x:c r="B75" s="80" t="str">
        <x:v>2 — Completar aos poucos</x:v>
      </x:c>
      <x:c r="C75" s="81" t="n">
        <x:v>2023</x:v>
      </x:c>
      <x:c r="D75" s="80" t="str">
        <x:v>2016 BMW M2</x:v>
      </x:c>
      <x:c r="E75" s="80" t="str">
        <x:v>2016 BMW M2</x:v>
      </x:c>
      <x:c r="F75" s="82" t="str">
        <x:v>Neon Speeders 8/8</x:v>
      </x:c>
      <x:c r="G75" s="80" t="str"/>
      <x:c r="H75" s="80" t="str"/>
      <x:c r="I75" s="83" t="str">
        <x:v>HLH80</x:v>
      </x:c>
      <x:c r="J75" s="80" t="str">
        <x:v>Black</x:v>
      </x:c>
      <x:c r="K75" s="82" t="str">
        <x:v>Detailed headlights and taillights, neon orange paint splatter, "16" on sides</x:v>
      </x:c>
      <x:c r="L75" s="82" t="str">
        <x:v>HGNS6 &amp; HONS6</x:v>
      </x:c>
      <x:c r="M75" s="82" t="str">
        <x:v>Black / Plastic</x:v>
      </x:c>
      <x:c r="N75" s="82" t="str">
        <x:v>Smoke tint</x:v>
      </x:c>
      <x:c r="O75" s="82" t="str">
        <x:v>Black</x:v>
      </x:c>
      <x:c r="P75" s="82" t="str">
        <x:v>Malaysia</x:v>
      </x:c>
      <x:c r="Q75" s="82" t="str">
        <x:v>Walmart</x:v>
      </x:c>
      <x:c r="R75" s="82" t="str">
        <x:v>Outra linha</x:v>
      </x:c>
      <x:c r="S75" s="82" t="str">
        <x:v>Rara</x:v>
      </x:c>
      <x:c r="T75" s="82" t="str">
        <x:v>Lançado</x:v>
      </x:c>
      <x:c r="U75" s="82" t="str">
        <x:v>Walmart Exclusive Base code(s): S08, S09, S23</x:v>
      </x:c>
      <x:c r="V75" s="80" t="str">
        <x:v>Coleção principal (~1:64)</x:v>
      </x:c>
      <x:c r="W75" s="82" t="str">
        <x:v>https://hotwheels.fandom.com/wiki/2016_BMW_M2</x:v>
      </x:c>
      <x:c r="X75" s="82" t="str">
        <x:v>https://hotwheels.fandom.com/wiki/2016_BMW_M2</x:v>
      </x:c>
    </x:row>
    <x:row r="76">
      <x:c r="A76" s="80" t="str">
        <x:v>Não</x:v>
      </x:c>
      <x:c r="B76" s="80" t="str">
        <x:v>2 — Completar aos poucos</x:v>
      </x:c>
      <x:c r="C76" s="81" t="n">
        <x:v>2023</x:v>
      </x:c>
      <x:c r="D76" s="80" t="str">
        <x:v>BMW 2002</x:v>
      </x:c>
      <x:c r="E76" s="80" t="str">
        <x:v>BMW 2002</x:v>
      </x:c>
      <x:c r="F76" s="82" t="str">
        <x:v>European Car Culture Themed Multipack</x:v>
      </x:c>
      <x:c r="G76" s="80" t="str"/>
      <x:c r="H76" s="80" t="str"/>
      <x:c r="I76" s="83" t="str">
        <x:v>HLK51</x:v>
      </x:c>
      <x:c r="J76" s="80" t="str">
        <x:v>Metalflake black</x:v>
      </x:c>
      <x:c r="K76" s="82" t="str">
        <x:v>BMW M stripes, 02, HW logo</x:v>
      </x:c>
      <x:c r="L76" s="82" t="str">
        <x:v>Chrome Blue Rim J5</x:v>
      </x:c>
      <x:c r="M76" s="82" t="str">
        <x:v>Black / Plastic</x:v>
      </x:c>
      <x:c r="N76" s="82" t="str">
        <x:v>Light blue tint</x:v>
      </x:c>
      <x:c r="O76" s="82" t="str">
        <x:v>Tan</x:v>
      </x:c>
      <x:c r="P76" s="82" t="str">
        <x:v>Malaysia</x:v>
      </x:c>
      <x:c r="Q76" s="82" t="str"/>
      <x:c r="R76" s="82" t="str">
        <x:v>Premium</x:v>
      </x:c>
      <x:c r="S76" s="82" t="str">
        <x:v>Incomum</x:v>
      </x:c>
      <x:c r="T76" s="82" t="str">
        <x:v>Lançado</x:v>
      </x:c>
      <x:c r="U76" s="82" t="str">
        <x:v>Similar to GHP52 Base code(s): S02</x:v>
      </x:c>
      <x:c r="V76" s="80" t="str">
        <x:v>Coleção principal (~1:64)</x:v>
      </x:c>
      <x:c r="W76" s="82" t="str">
        <x:v>https://hotwheels.fandom.com/wiki/BMW_2002</x:v>
      </x:c>
      <x:c r="X76" s="82" t="str">
        <x:v>https://hotwheels.fandom.com/wiki/BMW_2002</x:v>
      </x:c>
    </x:row>
    <x:row r="77">
      <x:c r="A77" s="80" t="str">
        <x:v>Não</x:v>
      </x:c>
      <x:c r="B77" s="80" t="str">
        <x:v>2 — Completar aos poucos</x:v>
      </x:c>
      <x:c r="C77" s="81" t="n">
        <x:v>2023</x:v>
      </x:c>
      <x:c r="D77" s="80" t="str">
        <x:v>BMW 507</x:v>
      </x:c>
      <x:c r="E77" s="80" t="str">
        <x:v>BMW 507</x:v>
      </x:c>
      <x:c r="F77" s="82" t="str">
        <x:v>Factory Fresh 2/5</x:v>
      </x:c>
      <x:c r="G77" s="80" t="str"/>
      <x:c r="H77" s="80" t="str">
        <x:v>120/250</x:v>
      </x:c>
      <x:c r="I77" s="83" t="str">
        <x:v>HKG30</x:v>
      </x:c>
      <x:c r="J77" s="80" t="str">
        <x:v>Federweiß</x:v>
      </x:c>
      <x:c r="K77" s="82" t="str">
        <x:v>Detailed front and side trim, BMW badging on sides</x:v>
      </x:c>
      <x:c r="L77" s="82" t="str">
        <x:v>White DD8</x:v>
      </x:c>
      <x:c r="M77" s="82" t="str">
        <x:v>Chrome / Plastic</x:v>
      </x:c>
      <x:c r="N77" s="82" t="str">
        <x:v>Clear</x:v>
      </x:c>
      <x:c r="O77" s="82" t="str">
        <x:v>Red</x:v>
      </x:c>
      <x:c r="P77" s="82" t="str">
        <x:v>Malaysia</x:v>
      </x:c>
      <x:c r="Q77" s="82" t="str"/>
      <x:c r="R77" s="82" t="str">
        <x:v>Mainline</x:v>
      </x:c>
      <x:c r="S77" s="82" t="str">
        <x:v>Comum / atual</x:v>
      </x:c>
      <x:c r="T77" s="82" t="str">
        <x:v>Lançado</x:v>
      </x:c>
      <x:c r="U77" s="82" t="str">
        <x:v>New Model Base code(s): R42, R44, R45, R46</x:v>
      </x:c>
      <x:c r="V77" s="80" t="str">
        <x:v>Coleção principal (~1:64)</x:v>
      </x:c>
      <x:c r="W77" s="82" t="str">
        <x:v>https://hotwheels.fandom.com/wiki/BMW_507</x:v>
      </x:c>
      <x:c r="X77" s="82" t="str">
        <x:v>https://hotwheels.fandom.com/wiki/BMW_507</x:v>
      </x:c>
    </x:row>
    <x:row r="78">
      <x:c r="A78" s="80" t="str">
        <x:v>Não</x:v>
      </x:c>
      <x:c r="B78" s="80" t="str">
        <x:v>2 — Completar aos poucos</x:v>
      </x:c>
      <x:c r="C78" s="81" t="n">
        <x:v>2023</x:v>
      </x:c>
      <x:c r="D78" s="80" t="str">
        <x:v>BMW 507</x:v>
      </x:c>
      <x:c r="E78" s="80" t="str">
        <x:v>BMW 507</x:v>
      </x:c>
      <x:c r="F78" s="82" t="str">
        <x:v>Factory Fresh 2/5</x:v>
      </x:c>
      <x:c r="G78" s="80" t="str"/>
      <x:c r="H78" s="80" t="str">
        <x:v>120/250</x:v>
      </x:c>
      <x:c r="I78" s="83" t="str">
        <x:v>HKK77</x:v>
      </x:c>
      <x:c r="J78" s="80" t="str">
        <x:v>Kirschrot</x:v>
      </x:c>
      <x:c r="K78" s="82" t="str">
        <x:v>Detailed front and side trim, BMW badging on sides</x:v>
      </x:c>
      <x:c r="L78" s="82" t="str">
        <x:v>DD8</x:v>
      </x:c>
      <x:c r="M78" s="82" t="str">
        <x:v>Chrome / Plastic</x:v>
      </x:c>
      <x:c r="N78" s="82" t="str">
        <x:v>Clear</x:v>
      </x:c>
      <x:c r="O78" s="82" t="str">
        <x:v>Dark Gray</x:v>
      </x:c>
      <x:c r="P78" s="82" t="str">
        <x:v>Malaysia</x:v>
      </x:c>
      <x:c r="Q78" s="82" t="str"/>
      <x:c r="R78" s="82" t="str">
        <x:v>Mainline</x:v>
      </x:c>
      <x:c r="S78" s="82" t="str">
        <x:v>Comum / atual</x:v>
      </x:c>
      <x:c r="T78" s="82" t="str">
        <x:v>Lançado</x:v>
      </x:c>
      <x:c r="U78" s="82" t="str">
        <x:v>New Model Base code(s): S12, S14, S15, S23</x:v>
      </x:c>
      <x:c r="V78" s="80" t="str">
        <x:v>Coleção principal (~1:64)</x:v>
      </x:c>
      <x:c r="W78" s="82" t="str">
        <x:v>https://hotwheels.fandom.com/wiki/BMW_507</x:v>
      </x:c>
      <x:c r="X78" s="82" t="str">
        <x:v>https://hotwheels.fandom.com/wiki/BMW_507</x:v>
      </x:c>
    </x:row>
    <x:row r="79">
      <x:c r="A79" s="80" t="str">
        <x:v>Não</x:v>
      </x:c>
      <x:c r="B79" s="80" t="str">
        <x:v>2 — Completar aos poucos</x:v>
      </x:c>
      <x:c r="C79" s="81" t="n">
        <x:v>2023</x:v>
      </x:c>
      <x:c r="D79" s="80" t="str">
        <x:v>BMW i8 Roadster</x:v>
      </x:c>
      <x:c r="E79" s="80" t="str">
        <x:v>BMW i8 Roadster</x:v>
      </x:c>
      <x:c r="F79" s="82" t="str">
        <x:v>HW Roadsters 10/10</x:v>
      </x:c>
      <x:c r="G79" s="80" t="str"/>
      <x:c r="H79" s="80" t="str">
        <x:v>156/250</x:v>
      </x:c>
      <x:c r="I79" s="83" t="str">
        <x:v>HKH44</x:v>
      </x:c>
      <x:c r="J79" s="80" t="str">
        <x:v>Ionic Silver</x:v>
      </x:c>
      <x:c r="K79" s="82" t="str">
        <x:v>Detailed taillights, "i8", "eDrive" on rear</x:v>
      </x:c>
      <x:c r="L79" s="82" t="str">
        <x:v>Black 10SP</x:v>
      </x:c>
      <x:c r="M79" s="82" t="str">
        <x:v>Black / Plastic</x:v>
      </x:c>
      <x:c r="N79" s="82" t="str">
        <x:v>Smoke tint</x:v>
      </x:c>
      <x:c r="O79" s="82" t="str">
        <x:v>Brown</x:v>
      </x:c>
      <x:c r="P79" s="82" t="str">
        <x:v>Malaysia</x:v>
      </x:c>
      <x:c r="Q79" s="82" t="str"/>
      <x:c r="R79" s="82" t="str">
        <x:v>Mainline</x:v>
      </x:c>
      <x:c r="S79" s="82" t="str">
        <x:v>Comum / atual</x:v>
      </x:c>
      <x:c r="T79" s="82" t="str">
        <x:v>Lançado</x:v>
      </x:c>
      <x:c r="U79" s="82" t="str">
        <x:v>New in Mainline Base code(s): S08, S09, S10, S11, S14</x:v>
      </x:c>
      <x:c r="V79" s="80" t="str">
        <x:v>Coleção principal (~1:64)</x:v>
      </x:c>
      <x:c r="W79" s="82" t="str">
        <x:v>https://hotwheels.fandom.com/wiki/BMW_i8_Roadster</x:v>
      </x:c>
      <x:c r="X79" s="82" t="str">
        <x:v>https://hotwheels.fandom.com/wiki/BMW_i8_Roadster</x:v>
      </x:c>
    </x:row>
    <x:row r="80">
      <x:c r="A80" s="80" t="str">
        <x:v>Não</x:v>
      </x:c>
      <x:c r="B80" s="80" t="str">
        <x:v>2 — Completar aos poucos</x:v>
      </x:c>
      <x:c r="C80" s="81" t="n">
        <x:v>2023</x:v>
      </x:c>
      <x:c r="D80" s="80" t="str">
        <x:v>BMW i8 Roadster</x:v>
      </x:c>
      <x:c r="E80" s="80" t="str">
        <x:v>BMW i8 Roadster</x:v>
      </x:c>
      <x:c r="F80" s="82" t="str">
        <x:v>HW Roadsters 10/10</x:v>
      </x:c>
      <x:c r="G80" s="80" t="str"/>
      <x:c r="H80" s="80" t="str">
        <x:v>156/250</x:v>
      </x:c>
      <x:c r="I80" s="83" t="str">
        <x:v>HKK13</x:v>
      </x:c>
      <x:c r="J80" s="80" t="str">
        <x:v>Protonic Frozen Black</x:v>
      </x:c>
      <x:c r="K80" s="82" t="str">
        <x:v>Detailed taillights, "i8", "eDrive" on rear</x:v>
      </x:c>
      <x:c r="L80" s="82" t="str">
        <x:v>10SP</x:v>
      </x:c>
      <x:c r="M80" s="82" t="str">
        <x:v>Dark Grey / Plastic</x:v>
      </x:c>
      <x:c r="N80" s="82" t="str">
        <x:v>Smoke tint</x:v>
      </x:c>
      <x:c r="O80" s="82" t="str">
        <x:v>Dark Grey</x:v>
      </x:c>
      <x:c r="P80" s="82" t="str">
        <x:v>Malaysia</x:v>
      </x:c>
      <x:c r="Q80" s="82" t="str"/>
      <x:c r="R80" s="82" t="str">
        <x:v>Mainline</x:v>
      </x:c>
      <x:c r="S80" s="82" t="str">
        <x:v>Comum / atual</x:v>
      </x:c>
      <x:c r="T80" s="82" t="str">
        <x:v>Lançado</x:v>
      </x:c>
      <x:c r="U80" s="82" t="str">
        <x:v>New in Mainline Base code(s): S19, S20, S22, S24</x:v>
      </x:c>
      <x:c r="V80" s="80" t="str">
        <x:v>Coleção principal (~1:64)</x:v>
      </x:c>
      <x:c r="W80" s="82" t="str">
        <x:v>https://hotwheels.fandom.com/wiki/BMW_i8_Roadster</x:v>
      </x:c>
      <x:c r="X80" s="82" t="str">
        <x:v>https://hotwheels.fandom.com/wiki/BMW_i8_Roadster</x:v>
      </x:c>
    </x:row>
    <x:row r="81">
      <x:c r="A81" s="80" t="str">
        <x:v>Não</x:v>
      </x:c>
      <x:c r="B81" s="80" t="str">
        <x:v>2 — Completar aos poucos</x:v>
      </x:c>
      <x:c r="C81" s="81" t="n">
        <x:v>2023</x:v>
      </x:c>
      <x:c r="D81" s="80" t="str">
        <x:v>BMW M3 E46</x:v>
      </x:c>
      <x:c r="E81" s="80" t="str">
        <x:v>BMW M3 E46</x:v>
      </x:c>
      <x:c r="F81" s="82" t="str">
        <x:v>Fast &amp; Furious 3/5</x:v>
      </x:c>
      <x:c r="G81" s="80" t="str"/>
      <x:c r="H81" s="80" t="str"/>
      <x:c r="I81" s="83" t="str">
        <x:v>HNW52</x:v>
      </x:c>
      <x:c r="J81" s="80" t="str">
        <x:v>Alpine White</x:v>
      </x:c>
      <x:c r="K81" s="82" t="str">
        <x:v>Detailed headlights, front grille &amp; taillights, BMW emblem on hood &amp; rear</x:v>
      </x:c>
      <x:c r="L81" s="82" t="str">
        <x:v>Turquoise RR10SPM</x:v>
      </x:c>
      <x:c r="M81" s="82" t="str">
        <x:v>Black / Metal</x:v>
      </x:c>
      <x:c r="N81" s="82" t="str">
        <x:v>Smoke tint</x:v>
      </x:c>
      <x:c r="O81" s="82" t="str">
        <x:v>Black</x:v>
      </x:c>
      <x:c r="P81" s="82" t="str">
        <x:v>Thailand</x:v>
      </x:c>
      <x:c r="Q81" s="82" t="str"/>
      <x:c r="R81" s="82" t="str">
        <x:v>Outra linha</x:v>
      </x:c>
      <x:c r="S81" s="82" t="str">
        <x:v>Comum / atual</x:v>
      </x:c>
      <x:c r="T81" s="82" t="str">
        <x:v>Lançado</x:v>
      </x:c>
      <x:c r="U81" s="82" t="str">
        <x:v>Identical to GPK52 Base code(s): S24, S25, S26</x:v>
      </x:c>
      <x:c r="V81" s="80" t="str">
        <x:v>Coleção principal (~1:64)</x:v>
      </x:c>
      <x:c r="W81" s="82" t="str">
        <x:v>https://hotwheels.fandom.com/wiki/BMW_M3_E46</x:v>
      </x:c>
      <x:c r="X81" s="82" t="str">
        <x:v>https://hotwheels.fandom.com/wiki/BMW_M3_E46</x:v>
      </x:c>
    </x:row>
    <x:row r="82">
      <x:c r="A82" s="80" t="str">
        <x:v>Não</x:v>
      </x:c>
      <x:c r="B82" s="80" t="str">
        <x:v>2 — Completar aos poucos</x:v>
      </x:c>
      <x:c r="C82" s="81" t="n">
        <x:v>2023</x:v>
      </x:c>
      <x:c r="D82" s="80" t="str">
        <x:v>BMW Z4 M Motorsport</x:v>
      </x:c>
      <x:c r="E82" s="80" t="str">
        <x:v>BMW Z4 M Motorsport</x:v>
      </x:c>
      <x:c r="F82" s="82" t="str">
        <x:v>Forza 2/5</x:v>
      </x:c>
      <x:c r="G82" s="80" t="str"/>
      <x:c r="H82" s="80" t="str"/>
      <x:c r="I82" s="83" t="str">
        <x:v>HLK25</x:v>
      </x:c>
      <x:c r="J82" s="80" t="str">
        <x:v>Dark Blue</x:v>
      </x:c>
      <x:c r="K82" s="82" t="str">
        <x:v>BMW M racing livery, Forza Motorsport logo on side</x:v>
      </x:c>
      <x:c r="L82" s="82" t="str">
        <x:v>PR5</x:v>
      </x:c>
      <x:c r="M82" s="82" t="str">
        <x:v>Black / Plastic</x:v>
      </x:c>
      <x:c r="N82" s="82" t="str">
        <x:v>Clear</x:v>
      </x:c>
      <x:c r="O82" s="82" t="str">
        <x:v>Black</x:v>
      </x:c>
      <x:c r="P82" s="82" t="str">
        <x:v>Malaysia</x:v>
      </x:c>
      <x:c r="Q82" s="82" t="str"/>
      <x:c r="R82" s="82" t="str">
        <x:v>Outra linha</x:v>
      </x:c>
      <x:c r="S82" s="82" t="str">
        <x:v>Comum / atual</x:v>
      </x:c>
      <x:c r="T82" s="82" t="str">
        <x:v>Lançado</x:v>
      </x:c>
      <x:c r="U82" s="82" t="str">
        <x:v>Base code(s): S21, S27</x:v>
      </x:c>
      <x:c r="V82" s="80" t="str">
        <x:v>Coleção principal (~1:64)</x:v>
      </x:c>
      <x:c r="W82" s="82" t="str">
        <x:v>https://hotwheels.fandom.com/wiki/BMW_Z4_M_Motorsport</x:v>
      </x:c>
      <x:c r="X82" s="82" t="str">
        <x:v>https://hotwheels.fandom.com/wiki/BMW_Z4_M_Motorsport</x:v>
      </x:c>
    </x:row>
    <x:row r="83">
      <x:c r="A83" s="80" t="str">
        <x:v>Não</x:v>
      </x:c>
      <x:c r="B83" s="80" t="str">
        <x:v>2 — Completar aos poucos</x:v>
      </x:c>
      <x:c r="C83" s="81" t="n">
        <x:v>2022</x:v>
      </x:c>
      <x:c r="D83" s="80" t="str">
        <x:v>'73 BMW 3.0 CSL Race Car</x:v>
      </x:c>
      <x:c r="E83" s="80" t="str">
        <x:v>'73 BMW 3.0 CSL Race Car</x:v>
      </x:c>
      <x:c r="F83" s="82" t="str">
        <x:v>Red Edition 1/12</x:v>
      </x:c>
      <x:c r="G83" s="80" t="str"/>
      <x:c r="H83" s="80" t="str">
        <x:v>034/250</x:v>
      </x:c>
      <x:c r="I83" s="83" t="str">
        <x:v>HCY58</x:v>
      </x:c>
      <x:c r="J83" s="80" t="str">
        <x:v>Red</x:v>
      </x:c>
      <x:c r="K83" s="82" t="str">
        <x:v>Gray &amp; black detailing, "73", Bilstein &amp; Castrol logos on side</x:v>
      </x:c>
      <x:c r="L83" s="82" t="str">
        <x:v>Chrome Rim MC5</x:v>
      </x:c>
      <x:c r="M83" s="82" t="str">
        <x:v>White / Plastic</x:v>
      </x:c>
      <x:c r="N83" s="82" t="str">
        <x:v>Smoke tint</x:v>
      </x:c>
      <x:c r="O83" s="82" t="str">
        <x:v>Black</x:v>
      </x:c>
      <x:c r="P83" s="82" t="str">
        <x:v>Malaysia</x:v>
      </x:c>
      <x:c r="Q83" s="82" t="str">
        <x:v>Target / Red Edition</x:v>
      </x:c>
      <x:c r="R83" s="82" t="str">
        <x:v>Mainline</x:v>
      </x:c>
      <x:c r="S83" s="82" t="str">
        <x:v>Rara</x:v>
      </x:c>
      <x:c r="T83" s="82" t="str">
        <x:v>Lançado</x:v>
      </x:c>
      <x:c r="U83" s="82" t="str">
        <x:v>Target Exclusive Base code(s): P46</x:v>
      </x:c>
      <x:c r="V83" s="80" t="str">
        <x:v>Coleção principal (~1:64)</x:v>
      </x:c>
      <x:c r="W83" s="82" t="str">
        <x:v>https://hotwheels.fandom.com/wiki/%2773_BMW_3.0_CSL_Race_Car</x:v>
      </x:c>
      <x:c r="X83" s="82" t="str">
        <x:v>https://hotwheels.fandom.com/wiki/%2773_BMW_3.0_CSL_Race_Car</x:v>
      </x:c>
    </x:row>
    <x:row r="84">
      <x:c r="A84" s="80" t="str">
        <x:v>Não</x:v>
      </x:c>
      <x:c r="B84" s="80" t="str">
        <x:v>2 — Completar aos poucos</x:v>
      </x:c>
      <x:c r="C84" s="81" t="n">
        <x:v>2022</x:v>
      </x:c>
      <x:c r="D84" s="80" t="str">
        <x:v>'73 BMW 3.0 CSL Race Car</x:v>
      </x:c>
      <x:c r="E84" s="80" t="str">
        <x:v>'73 BMW 3.0 CSL Race Car</x:v>
      </x:c>
      <x:c r="F84" s="82" t="str">
        <x:v>Retro Racers 2/10</x:v>
      </x:c>
      <x:c r="G84" s="80" t="str"/>
      <x:c r="H84" s="80" t="str">
        <x:v>034/250</x:v>
      </x:c>
      <x:c r="I84" s="83" t="str">
        <x:v>HCW51</x:v>
      </x:c>
      <x:c r="J84" s="80" t="str">
        <x:v>Yellow</x:v>
      </x:c>
      <x:c r="K84" s="82" t="str">
        <x:v>Red &amp; black detailing, "73", Bilstein &amp; Castrol logos on side</x:v>
      </x:c>
      <x:c r="L84" s="82" t="str">
        <x:v>Chrome Rim MC5</x:v>
      </x:c>
      <x:c r="M84" s="82" t="str">
        <x:v>Red / Plastic</x:v>
      </x:c>
      <x:c r="N84" s="82" t="str">
        <x:v>Smoke tint</x:v>
      </x:c>
      <x:c r="O84" s="82" t="str">
        <x:v>Black</x:v>
      </x:c>
      <x:c r="P84" s="82" t="str">
        <x:v>Malaysia</x:v>
      </x:c>
      <x:c r="Q84" s="82" t="str"/>
      <x:c r="R84" s="82" t="str">
        <x:v>Mainline</x:v>
      </x:c>
      <x:c r="S84" s="82" t="str">
        <x:v>Comum / atual</x:v>
      </x:c>
      <x:c r="T84" s="82" t="str">
        <x:v>Lançado</x:v>
      </x:c>
      <x:c r="U84" s="82" t="str">
        <x:v>Base code(s): P38, P40, P41</x:v>
      </x:c>
      <x:c r="V84" s="80" t="str">
        <x:v>Coleção principal (~1:64)</x:v>
      </x:c>
      <x:c r="W84" s="82" t="str">
        <x:v>https://hotwheels.fandom.com/wiki/%2773_BMW_3.0_CSL_Race_Car</x:v>
      </x:c>
      <x:c r="X84" s="82" t="str">
        <x:v>https://hotwheels.fandom.com/wiki/%2773_BMW_3.0_CSL_Race_Car</x:v>
      </x:c>
    </x:row>
    <x:row r="85">
      <x:c r="A85" s="80" t="str">
        <x:v>Não</x:v>
      </x:c>
      <x:c r="B85" s="80" t="str">
        <x:v>2 — Completar aos poucos</x:v>
      </x:c>
      <x:c r="C85" s="81" t="n">
        <x:v>2022</x:v>
      </x:c>
      <x:c r="D85" s="80" t="str">
        <x:v>'92 BMW M3</x:v>
      </x:c>
      <x:c r="E85" s="80" t="str">
        <x:v>'92 BMW M3</x:v>
      </x:c>
      <x:c r="F85" s="82" t="str">
        <x:v>Mystery Models (Series 1) 2/10</x:v>
      </x:c>
      <x:c r="G85" s="80" t="str"/>
      <x:c r="H85" s="80" t="str"/>
      <x:c r="I85" s="83" t="str">
        <x:v>HFK79</x:v>
      </x:c>
      <x:c r="J85" s="80" t="str">
        <x:v>Satin black</x:v>
      </x:c>
      <x:c r="K85" s="82" t="str">
        <x:v>Red, Blue and White Stripes, “02” on hood and sides</x:v>
      </x:c>
      <x:c r="L85" s="82" t="str">
        <x:v>White 10SP</x:v>
      </x:c>
      <x:c r="M85" s="82" t="str">
        <x:v>Black / Plastic</x:v>
      </x:c>
      <x:c r="N85" s="82" t="str">
        <x:v>Clear</x:v>
      </x:c>
      <x:c r="O85" s="82" t="str">
        <x:v>Silver</x:v>
      </x:c>
      <x:c r="P85" s="82" t="str">
        <x:v>Malaysia</x:v>
      </x:c>
      <x:c r="Q85" s="82" t="str"/>
      <x:c r="R85" s="82" t="str">
        <x:v>Outra linha</x:v>
      </x:c>
      <x:c r="S85" s="82" t="str">
        <x:v>Comum / atual</x:v>
      </x:c>
      <x:c r="T85" s="82" t="str">
        <x:v>Lançado</x:v>
      </x:c>
      <x:c r="U85" s="82" t="str">
        <x:v>Base code(s): P44, P46, R04</x:v>
      </x:c>
      <x:c r="V85" s="80" t="str">
        <x:v>Coleção principal (~1:64)</x:v>
      </x:c>
      <x:c r="W85" s="82" t="str">
        <x:v>https://hotwheels.fandom.com/wiki/%2792_BMW_M3</x:v>
      </x:c>
      <x:c r="X85" s="82" t="str">
        <x:v>https://hotwheels.fandom.com/wiki/%2792_BMW_M3</x:v>
      </x:c>
    </x:row>
    <x:row r="86">
      <x:c r="A86" s="80" t="str">
        <x:v>Não</x:v>
      </x:c>
      <x:c r="B86" s="80" t="str">
        <x:v>2 — Completar aos poucos</x:v>
      </x:c>
      <x:c r="C86" s="81" t="n">
        <x:v>2022</x:v>
      </x:c>
      <x:c r="D86" s="80" t="str">
        <x:v>2001 BMW M5</x:v>
      </x:c>
      <x:c r="E86" s="80" t="str">
        <x:v>2001 BMW M5</x:v>
      </x:c>
      <x:c r="F86" s="82" t="str">
        <x:v>BMW M Series Collector Set</x:v>
      </x:c>
      <x:c r="G86" s="80" t="str"/>
      <x:c r="H86" s="80" t="str"/>
      <x:c r="I86" s="83" t="str">
        <x:v>HCR52</x:v>
      </x:c>
      <x:c r="J86" s="80" t="str">
        <x:v>White</x:v>
      </x:c>
      <x:c r="K86" s="82" t="str">
        <x:v>Detailed headlights, taillights, fog lights and trim, "5", stylistic depiction of BMW M logo on sides</x:v>
      </x:c>
      <x:c r="L86" s="82" t="str">
        <x:v>Gray RR5SPM</x:v>
      </x:c>
      <x:c r="M86" s="82" t="str">
        <x:v>Glossy black / Metal</x:v>
      </x:c>
      <x:c r="N86" s="82" t="str">
        <x:v>Smoke tint</x:v>
      </x:c>
      <x:c r="O86" s="82" t="str">
        <x:v>Black</x:v>
      </x:c>
      <x:c r="P86" s="82" t="str">
        <x:v>Thailand</x:v>
      </x:c>
      <x:c r="Q86" s="82" t="str"/>
      <x:c r="R86" s="82" t="str">
        <x:v>Temática / multipack</x:v>
      </x:c>
      <x:c r="S86" s="82" t="str">
        <x:v>Comum / atual</x:v>
      </x:c>
      <x:c r="T86" s="82" t="str">
        <x:v>Lançado</x:v>
      </x:c>
      <x:c r="U86" s="82" t="str">
        <x:v>Named 2001 BMW M5 E39Base code(s): R21</x:v>
      </x:c>
      <x:c r="V86" s="80" t="str">
        <x:v>Coleção principal (~1:64)</x:v>
      </x:c>
      <x:c r="W86" s="82" t="str">
        <x:v>https://hotwheels.fandom.com/wiki/2001_BMW_M5</x:v>
      </x:c>
      <x:c r="X86" s="82" t="str">
        <x:v>https://hotwheels.fandom.com/wiki/2001_BMW_M5</x:v>
      </x:c>
    </x:row>
    <x:row r="87">
      <x:c r="A87" s="80" t="str">
        <x:v>Não</x:v>
      </x:c>
      <x:c r="B87" s="80" t="str">
        <x:v>2 — Completar aos poucos</x:v>
      </x:c>
      <x:c r="C87" s="81" t="n">
        <x:v>2022</x:v>
      </x:c>
      <x:c r="D87" s="80" t="str">
        <x:v>2001 BMW M5</x:v>
      </x:c>
      <x:c r="E87" s="80" t="str">
        <x:v>2001 BMW M5</x:v>
      </x:c>
      <x:c r="F87" s="82" t="str">
        <x:v>BMW M Series Collector Set</x:v>
      </x:c>
      <x:c r="G87" s="80" t="str"/>
      <x:c r="H87" s="80" t="str"/>
      <x:c r="I87" s="83" t="str">
        <x:v>HCR52</x:v>
      </x:c>
      <x:c r="J87" s="80" t="str">
        <x:v>White</x:v>
      </x:c>
      <x:c r="K87" s="82" t="str">
        <x:v>Detailed headlights, taillights, fog lights and trim, "5", stylistic depiction of BMW M logo on sides</x:v>
      </x:c>
      <x:c r="L87" s="82" t="str">
        <x:v>RR5SPM</x:v>
      </x:c>
      <x:c r="M87" s="82" t="str">
        <x:v>Glossy black / / / Metal</x:v>
      </x:c>
      <x:c r="N87" s="82" t="str">
        <x:v>Smoke tint</x:v>
      </x:c>
      <x:c r="O87" s="82" t="str">
        <x:v>Black</x:v>
      </x:c>
      <x:c r="P87" s="82" t="str">
        <x:v>Thailand</x:v>
      </x:c>
      <x:c r="Q87" s="82" t="str"/>
      <x:c r="R87" s="82" t="str">
        <x:v>Temática / multipack</x:v>
      </x:c>
      <x:c r="S87" s="82" t="str">
        <x:v>Comum / atual</x:v>
      </x:c>
      <x:c r="T87" s="82" t="str">
        <x:v>Lançado</x:v>
      </x:c>
      <x:c r="U87" s="82" t="str">
        <x:v>Named 2001 BMW M5 E39 / Base code(s): R21</x:v>
      </x:c>
      <x:c r="V87" s="80" t="str">
        <x:v>Coleção principal (~1:64)</x:v>
      </x:c>
      <x:c r="W87" s="82" t="str">
        <x:v>https://hotwheels.fandom.com/wiki/2001_BMW_M5</x:v>
      </x:c>
      <x:c r="X87" s="82" t="str">
        <x:v>https://hotwheels.fandom.com/wiki/2001_BMW_M5</x:v>
      </x:c>
    </x:row>
    <x:row r="88">
      <x:c r="A88" s="80" t="str">
        <x:v>Não</x:v>
      </x:c>
      <x:c r="B88" s="80" t="str">
        <x:v>2 — Completar aos poucos</x:v>
      </x:c>
      <x:c r="C88" s="81" t="n">
        <x:v>2022</x:v>
      </x:c>
      <x:c r="D88" s="80" t="str">
        <x:v>2016 BMW M2</x:v>
      </x:c>
      <x:c r="E88" s="80" t="str">
        <x:v>2016 BMW M2</x:v>
      </x:c>
      <x:c r="F88" s="82" t="str">
        <x:v>BMW M Series Collector Set</x:v>
      </x:c>
      <x:c r="G88" s="80" t="str"/>
      <x:c r="H88" s="80" t="str"/>
      <x:c r="I88" s="83" t="str">
        <x:v>HCR52</x:v>
      </x:c>
      <x:c r="J88" s="80" t="str">
        <x:v>White</x:v>
      </x:c>
      <x:c r="K88" s="82" t="str">
        <x:v>Detailed headlights, taillights and trim, modern BMW M racing graphics</x:v>
      </x:c>
      <x:c r="L88" s="82" t="str">
        <x:v>Black RR10SPM</x:v>
      </x:c>
      <x:c r="M88" s="82" t="str">
        <x:v>Black / Metal</x:v>
      </x:c>
      <x:c r="N88" s="82" t="str">
        <x:v>Smoke tint</x:v>
      </x:c>
      <x:c r="O88" s="82" t="str">
        <x:v>Black</x:v>
      </x:c>
      <x:c r="P88" s="82" t="str">
        <x:v>Thailand</x:v>
      </x:c>
      <x:c r="Q88" s="82" t="str"/>
      <x:c r="R88" s="82" t="str">
        <x:v>Temática / multipack</x:v>
      </x:c>
      <x:c r="S88" s="82" t="str">
        <x:v>Comum / atual</x:v>
      </x:c>
      <x:c r="T88" s="82" t="str">
        <x:v>Lançado</x:v>
      </x:c>
      <x:c r="U88" s="82" t="str">
        <x:v>New Die-Cast Chassis Base code(s): R21</x:v>
      </x:c>
      <x:c r="V88" s="80" t="str">
        <x:v>Coleção principal (~1:64)</x:v>
      </x:c>
      <x:c r="W88" s="82" t="str">
        <x:v>https://hotwheels.fandom.com/wiki/2016_BMW_M2</x:v>
      </x:c>
      <x:c r="X88" s="82" t="str">
        <x:v>https://hotwheels.fandom.com/wiki/2016_BMW_M2</x:v>
      </x:c>
    </x:row>
    <x:row r="89">
      <x:c r="A89" s="80" t="str">
        <x:v>Não</x:v>
      </x:c>
      <x:c r="B89" s="80" t="str">
        <x:v>2 — Completar aos poucos</x:v>
      </x:c>
      <x:c r="C89" s="81" t="n">
        <x:v>2022</x:v>
      </x:c>
      <x:c r="D89" s="80" t="str">
        <x:v>2016 BMW M2</x:v>
      </x:c>
      <x:c r="E89" s="80" t="str">
        <x:v>2016 BMW M2</x:v>
      </x:c>
      <x:c r="F89" s="82" t="str">
        <x:v>ZAMAC Themed Multipack</x:v>
      </x:c>
      <x:c r="G89" s="80" t="str"/>
      <x:c r="H89" s="80" t="str"/>
      <x:c r="I89" s="83" t="str">
        <x:v>HDH53</x:v>
      </x:c>
      <x:c r="J89" s="80" t="str">
        <x:v>ZAMAC</x:v>
      </x:c>
      <x:c r="K89" s="82" t="str">
        <x:v>BMW badging, BMW M livery</x:v>
      </x:c>
      <x:c r="L89" s="82" t="str">
        <x:v>Black PR5</x:v>
      </x:c>
      <x:c r="M89" s="82" t="str">
        <x:v>Black / Plastic</x:v>
      </x:c>
      <x:c r="N89" s="82" t="str">
        <x:v>Smoke tint</x:v>
      </x:c>
      <x:c r="O89" s="82" t="str">
        <x:v>Black</x:v>
      </x:c>
      <x:c r="P89" s="82" t="str">
        <x:v>Malaysia</x:v>
      </x:c>
      <x:c r="Q89" s="82" t="str">
        <x:v>ZAMAC</x:v>
      </x:c>
      <x:c r="R89" s="82" t="str">
        <x:v>Temática / multipack</x:v>
      </x:c>
      <x:c r="S89" s="82" t="str">
        <x:v>Rara</x:v>
      </x:c>
      <x:c r="T89" s="82" t="str">
        <x:v>Lançado</x:v>
      </x:c>
      <x:c r="U89" s="82" t="str">
        <x:v>Base code(s): R09</x:v>
      </x:c>
      <x:c r="V89" s="80" t="str">
        <x:v>Coleção principal (~1:64)</x:v>
      </x:c>
      <x:c r="W89" s="82" t="str">
        <x:v>https://hotwheels.fandom.com/wiki/2016_BMW_M2</x:v>
      </x:c>
      <x:c r="X89" s="82" t="str">
        <x:v>https://hotwheels.fandom.com/wiki/2016_BMW_M2</x:v>
      </x:c>
    </x:row>
    <x:row r="90">
      <x:c r="A90" s="80" t="str">
        <x:v>Não</x:v>
      </x:c>
      <x:c r="B90" s="80" t="str">
        <x:v>2 — Completar aos poucos</x:v>
      </x:c>
      <x:c r="C90" s="81" t="n">
        <x:v>2022</x:v>
      </x:c>
      <x:c r="D90" s="80" t="str">
        <x:v>BMW M1 Procar</x:v>
      </x:c>
      <x:c r="E90" s="80" t="str">
        <x:v>BMW M1 Procar</x:v>
      </x:c>
      <x:c r="F90" s="82" t="str">
        <x:v>Group 5 Car Culture 2-Pack</x:v>
      </x:c>
      <x:c r="G90" s="80" t="str"/>
      <x:c r="H90" s="80" t="str"/>
      <x:c r="I90" s="83" t="str">
        <x:v>HFF30</x:v>
      </x:c>
      <x:c r="J90" s="80" t="str">
        <x:v>White</x:v>
      </x:c>
      <x:c r="K90" s="82" t="str">
        <x:v>Red Stripes, '8', 'Motul'</x:v>
      </x:c>
      <x:c r="L90" s="82" t="str">
        <x:v>White RRA</x:v>
      </x:c>
      <x:c r="M90" s="82" t="str">
        <x:v>Black Metalflake / Metal</x:v>
      </x:c>
      <x:c r="N90" s="82" t="str">
        <x:v>Tinted (Black)</x:v>
      </x:c>
      <x:c r="O90" s="82" t="str">
        <x:v>Black</x:v>
      </x:c>
      <x:c r="P90" s="82" t="str">
        <x:v>Thailand</x:v>
      </x:c>
      <x:c r="Q90" s="82" t="str"/>
      <x:c r="R90" s="82" t="str">
        <x:v>Premium</x:v>
      </x:c>
      <x:c r="S90" s="82" t="str">
        <x:v>Incomum</x:v>
      </x:c>
      <x:c r="T90" s="82" t="str">
        <x:v>Lançado</x:v>
      </x:c>
      <x:c r="U90" s="82" t="str">
        <x:v>Base code(s): R30, R31</x:v>
      </x:c>
      <x:c r="V90" s="80" t="str">
        <x:v>Coleção principal (~1:64)</x:v>
      </x:c>
      <x:c r="W90" s="82" t="str">
        <x:v>https://hotwheels.fandom.com/wiki/BMW_M1_Procar</x:v>
      </x:c>
      <x:c r="X90" s="82" t="str">
        <x:v>https://hotwheels.fandom.com/wiki/BMW_M1_Procar</x:v>
      </x:c>
    </x:row>
    <x:row r="91">
      <x:c r="A91" s="80" t="str">
        <x:v>Não</x:v>
      </x:c>
      <x:c r="B91" s="80" t="str">
        <x:v>2 — Completar aos poucos</x:v>
      </x:c>
      <x:c r="C91" s="81" t="n">
        <x:v>2022</x:v>
      </x:c>
      <x:c r="D91" s="80" t="str">
        <x:v>BMW M3 E46</x:v>
      </x:c>
      <x:c r="E91" s="80" t="str">
        <x:v>BMW M3 E46</x:v>
      </x:c>
      <x:c r="F91" s="82" t="str">
        <x:v>BMW M Series Collector Set</x:v>
      </x:c>
      <x:c r="G91" s="80" t="str"/>
      <x:c r="H91" s="80" t="str"/>
      <x:c r="I91" s="83" t="str">
        <x:v>HCR52</x:v>
      </x:c>
      <x:c r="J91" s="80" t="str">
        <x:v>Alpine White</x:v>
      </x:c>
      <x:c r="K91" s="82" t="str">
        <x:v>Detailed headlights, taillights and trim, "M3" windshield banner, "3" on sides, BMW M racing graphics on sides</x:v>
      </x:c>
      <x:c r="L91" s="82" t="str">
        <x:v>Brown RR6SPM</x:v>
      </x:c>
      <x:c r="M91" s="82" t="str">
        <x:v>Black / Metal</x:v>
      </x:c>
      <x:c r="N91" s="82" t="str">
        <x:v>Smoke tint</x:v>
      </x:c>
      <x:c r="O91" s="82" t="str">
        <x:v>Black</x:v>
      </x:c>
      <x:c r="P91" s="82" t="str">
        <x:v>Thailand</x:v>
      </x:c>
      <x:c r="Q91" s="82" t="str"/>
      <x:c r="R91" s="82" t="str">
        <x:v>Temática / multipack</x:v>
      </x:c>
      <x:c r="S91" s="82" t="str">
        <x:v>Comum / atual</x:v>
      </x:c>
      <x:c r="T91" s="82" t="str">
        <x:v>Lançado</x:v>
      </x:c>
      <x:c r="U91" s="82" t="str">
        <x:v>Base code(s): R21</x:v>
      </x:c>
      <x:c r="V91" s="80" t="str">
        <x:v>Coleção principal (~1:64)</x:v>
      </x:c>
      <x:c r="W91" s="82" t="str">
        <x:v>https://hotwheels.fandom.com/wiki/BMW_M3_E46</x:v>
      </x:c>
      <x:c r="X91" s="82" t="str">
        <x:v>https://hotwheels.fandom.com/wiki/BMW_M3_E46</x:v>
      </x:c>
    </x:row>
    <x:row r="92">
      <x:c r="A92" s="80" t="str">
        <x:v>Não</x:v>
      </x:c>
      <x:c r="B92" s="80" t="str">
        <x:v>2 — Completar aos poucos</x:v>
      </x:c>
      <x:c r="C92" s="81" t="n">
        <x:v>2022</x:v>
      </x:c>
      <x:c r="D92" s="80" t="str">
        <x:v>BMW M3 E46</x:v>
      </x:c>
      <x:c r="E92" s="80" t="str">
        <x:v>BMW M3 E46</x:v>
      </x:c>
      <x:c r="F92" s="82" t="str">
        <x:v>Car Culture: AutoStrasse 2/5</x:v>
      </x:c>
      <x:c r="G92" s="80" t="str"/>
      <x:c r="H92" s="80" t="str"/>
      <x:c r="I92" s="83" t="str">
        <x:v>HCK19</x:v>
      </x:c>
      <x:c r="J92" s="80" t="str">
        <x:v>Imola Red</x:v>
      </x:c>
      <x:c r="K92" s="82" t="str">
        <x:v>Detailed headlights, taillights and trim, "BMW M3" license plate</x:v>
      </x:c>
      <x:c r="L92" s="82" t="str">
        <x:v>RR10SPM</x:v>
      </x:c>
      <x:c r="M92" s="82" t="str">
        <x:v>Black / Metal</x:v>
      </x:c>
      <x:c r="N92" s="82" t="str">
        <x:v>Smoke tint</x:v>
      </x:c>
      <x:c r="O92" s="82" t="str">
        <x:v>Black</x:v>
      </x:c>
      <x:c r="P92" s="82" t="str">
        <x:v>Thailand</x:v>
      </x:c>
      <x:c r="Q92" s="82" t="str"/>
      <x:c r="R92" s="82" t="str">
        <x:v>Premium</x:v>
      </x:c>
      <x:c r="S92" s="82" t="str">
        <x:v>Incomum</x:v>
      </x:c>
      <x:c r="T92" s="82" t="str">
        <x:v>Lançado</x:v>
      </x:c>
      <x:c r="U92" s="82" t="str">
        <x:v>Named BMW M3 (E46) Base code(s): R39, R41, R45</x:v>
      </x:c>
      <x:c r="V92" s="80" t="str">
        <x:v>Coleção principal (~1:64)</x:v>
      </x:c>
      <x:c r="W92" s="82" t="str">
        <x:v>https://hotwheels.fandom.com/wiki/BMW_M3_E46</x:v>
      </x:c>
      <x:c r="X92" s="82" t="str">
        <x:v>https://hotwheels.fandom.com/wiki/BMW_M3_E46</x:v>
      </x:c>
    </x:row>
    <x:row r="93">
      <x:c r="A93" s="80" t="str">
        <x:v>Não</x:v>
      </x:c>
      <x:c r="B93" s="80" t="str">
        <x:v>2 — Completar aos poucos</x:v>
      </x:c>
      <x:c r="C93" s="81" t="n">
        <x:v>2022</x:v>
      </x:c>
      <x:c r="D93" s="80" t="str">
        <x:v>BMW M4</x:v>
      </x:c>
      <x:c r="E93" s="80" t="str">
        <x:v>BMW M4</x:v>
      </x:c>
      <x:c r="F93" s="82" t="str">
        <x:v>European Car Culture Themed Multipack</x:v>
      </x:c>
      <x:c r="G93" s="80" t="str"/>
      <x:c r="H93" s="80" t="str"/>
      <x:c r="I93" s="83" t="str">
        <x:v>HDH51</x:v>
      </x:c>
      <x:c r="J93" s="80" t="str">
        <x:v>Metalflake Gold</x:v>
      </x:c>
      <x:c r="K93" s="82" t="str">
        <x:v>Detailed headlights &amp; taillights, Black stripes on hood</x:v>
      </x:c>
      <x:c r="L93" s="82" t="str">
        <x:v>Black PR5</x:v>
      </x:c>
      <x:c r="M93" s="82" t="str">
        <x:v>Black / Plastic</x:v>
      </x:c>
      <x:c r="N93" s="82" t="str">
        <x:v>Smoke tint</x:v>
      </x:c>
      <x:c r="O93" s="82" t="str">
        <x:v>Black</x:v>
      </x:c>
      <x:c r="P93" s="82" t="str">
        <x:v>Malaysia</x:v>
      </x:c>
      <x:c r="Q93" s="82" t="str"/>
      <x:c r="R93" s="82" t="str">
        <x:v>Premium</x:v>
      </x:c>
      <x:c r="S93" s="82" t="str">
        <x:v>Incomum</x:v>
      </x:c>
      <x:c r="T93" s="82" t="str">
        <x:v>Lançado</x:v>
      </x:c>
      <x:c r="U93" s="82" t="str">
        <x:v>Base code(s): R08, R11</x:v>
      </x:c>
      <x:c r="V93" s="80" t="str">
        <x:v>Coleção principal (~1:64)</x:v>
      </x:c>
      <x:c r="W93" s="82" t="str">
        <x:v>https://hotwheels.fandom.com/wiki/BMW_M4</x:v>
      </x:c>
      <x:c r="X93" s="82" t="str">
        <x:v>https://hotwheels.fandom.com/wiki/BMW_M4</x:v>
      </x:c>
    </x:row>
    <x:row r="94">
      <x:c r="A94" s="80" t="str">
        <x:v>Não</x:v>
      </x:c>
      <x:c r="B94" s="80" t="str">
        <x:v>2 — Completar aos poucos</x:v>
      </x:c>
      <x:c r="C94" s="81" t="n">
        <x:v>2021</x:v>
      </x:c>
      <x:c r="D94" s="80" t="str">
        <x:v>'92 BMW M3</x:v>
      </x:c>
      <x:c r="E94" s="80" t="str">
        <x:v>'92 BMW M3</x:v>
      </x:c>
      <x:c r="F94" s="82" t="str">
        <x:v>Car Culture: Modern Classics 2/5</x:v>
      </x:c>
      <x:c r="G94" s="80" t="str"/>
      <x:c r="H94" s="80" t="str"/>
      <x:c r="I94" s="83" t="str">
        <x:v>GRJ92</x:v>
      </x:c>
      <x:c r="J94" s="80" t="str">
        <x:v>Black</x:v>
      </x:c>
      <x:c r="K94" s="82" t="str">
        <x:v>Detailed headlights and taillights, "M3" badging, "92BEAMR" license plate</x:v>
      </x:c>
      <x:c r="L94" s="82" t="str">
        <x:v>RRMC</x:v>
      </x:c>
      <x:c r="M94" s="82" t="str">
        <x:v>Metal</x:v>
      </x:c>
      <x:c r="N94" s="82" t="str">
        <x:v>Smoke tint</x:v>
      </x:c>
      <x:c r="O94" s="82" t="str">
        <x:v>Black</x:v>
      </x:c>
      <x:c r="P94" s="82" t="str">
        <x:v>Thailand</x:v>
      </x:c>
      <x:c r="Q94" s="82" t="str"/>
      <x:c r="R94" s="82" t="str">
        <x:v>Premium</x:v>
      </x:c>
      <x:c r="S94" s="82" t="str">
        <x:v>Incomum</x:v>
      </x:c>
      <x:c r="T94" s="82" t="str">
        <x:v>Lançado</x:v>
      </x:c>
      <x:c r="U94" s="82" t="str">
        <x:v>Base code(s): P33, P34</x:v>
      </x:c>
      <x:c r="V94" s="80" t="str">
        <x:v>Coleção principal (~1:64)</x:v>
      </x:c>
      <x:c r="W94" s="82" t="str">
        <x:v>https://hotwheels.fandom.com/wiki/%2792_BMW_M3</x:v>
      </x:c>
      <x:c r="X94" s="82" t="str">
        <x:v>https://hotwheels.fandom.com/wiki/%2792_BMW_M3</x:v>
      </x:c>
    </x:row>
    <x:row r="95">
      <x:c r="A95" s="80" t="str">
        <x:v>Não</x:v>
      </x:c>
      <x:c r="B95" s="80" t="str">
        <x:v>2 — Completar aos poucos</x:v>
      </x:c>
      <x:c r="C95" s="81" t="n">
        <x:v>2021</x:v>
      </x:c>
      <x:c r="D95" s="80" t="str">
        <x:v>2016 BMW M2</x:v>
      </x:c>
      <x:c r="E95" s="80" t="str">
        <x:v>2016 BMW M2</x:v>
      </x:c>
      <x:c r="F95" s="82" t="str">
        <x:v>Spring 1/5</x:v>
      </x:c>
      <x:c r="G95" s="80" t="str"/>
      <x:c r="H95" s="80" t="str"/>
      <x:c r="I95" s="83" t="str">
        <x:v>GRP78</x:v>
      </x:c>
      <x:c r="J95" s="80" t="str">
        <x:v>White</x:v>
      </x:c>
      <x:c r="K95" s="82" t="str">
        <x:v>Checker Flag, Blue and black stripe, "Spring Circuit" 21</x:v>
      </x:c>
      <x:c r="L95" s="82" t="str">
        <x:v>Blue PR5</x:v>
      </x:c>
      <x:c r="M95" s="82" t="str">
        <x:v>Black / Plastic</x:v>
      </x:c>
      <x:c r="N95" s="82" t="str">
        <x:v>Blue tint</x:v>
      </x:c>
      <x:c r="O95" s="82" t="str">
        <x:v>Black</x:v>
      </x:c>
      <x:c r="P95" s="82" t="str">
        <x:v>Malaysia</x:v>
      </x:c>
      <x:c r="Q95" s="82" t="str"/>
      <x:c r="R95" s="82" t="str">
        <x:v>Outra linha</x:v>
      </x:c>
      <x:c r="S95" s="82" t="str">
        <x:v>Comum / atual</x:v>
      </x:c>
      <x:c r="T95" s="82" t="str">
        <x:v>Lançado</x:v>
      </x:c>
      <x:c r="U95" s="82" t="str">
        <x:v>Base code(s): N40, N41, N42, N44, N45</x:v>
      </x:c>
      <x:c r="V95" s="80" t="str">
        <x:v>Coleção principal (~1:64)</x:v>
      </x:c>
      <x:c r="W95" s="82" t="str">
        <x:v>https://hotwheels.fandom.com/wiki/2016_BMW_M2</x:v>
      </x:c>
      <x:c r="X95" s="82" t="str">
        <x:v>https://hotwheels.fandom.com/wiki/2016_BMW_M2</x:v>
      </x:c>
    </x:row>
    <x:row r="96">
      <x:c r="A96" s="80" t="str">
        <x:v>Não</x:v>
      </x:c>
      <x:c r="B96" s="80" t="str">
        <x:v>2 — Completar aos poucos</x:v>
      </x:c>
      <x:c r="C96" s="81" t="n">
        <x:v>2021</x:v>
      </x:c>
      <x:c r="D96" s="80" t="str">
        <x:v>BMW E36 M3 Race</x:v>
      </x:c>
      <x:c r="E96" s="80" t="str">
        <x:v>BMW E36 M3 Race</x:v>
      </x:c>
      <x:c r="F96" s="82" t="str">
        <x:v>Fast &amp; Furious: Euro Fast 4/5</x:v>
      </x:c>
      <x:c r="G96" s="80" t="str"/>
      <x:c r="H96" s="80" t="str"/>
      <x:c r="I96" s="83" t="str">
        <x:v>GPK53</x:v>
      </x:c>
      <x:c r="J96" s="80" t="str">
        <x:v>Black</x:v>
      </x:c>
      <x:c r="K96" s="82" t="str">
        <x:v>Detailed headlights &amp; taillights, BMW emblem on hood &amp; rear</x:v>
      </x:c>
      <x:c r="L96" s="82" t="str">
        <x:v>RRA</x:v>
      </x:c>
      <x:c r="M96" s="82" t="str">
        <x:v>Black / Metal</x:v>
      </x:c>
      <x:c r="N96" s="82" t="str">
        <x:v>Tinted (Smoke)</x:v>
      </x:c>
      <x:c r="O96" s="82" t="str">
        <x:v>Black</x:v>
      </x:c>
      <x:c r="P96" s="82" t="str">
        <x:v>Thailand</x:v>
      </x:c>
      <x:c r="Q96" s="82" t="str"/>
      <x:c r="R96" s="82" t="str">
        <x:v>Mainline</x:v>
      </x:c>
      <x:c r="S96" s="82" t="str">
        <x:v>Comum / atual</x:v>
      </x:c>
      <x:c r="T96" s="82" t="str">
        <x:v>Lançado</x:v>
      </x:c>
      <x:c r="U96" s="82" t="str">
        <x:v>Named BMW M3 E36 Base Code(s): N37, N38, N40, N52</x:v>
      </x:c>
      <x:c r="V96" s="80" t="str">
        <x:v>Coleção principal (~1:64)</x:v>
      </x:c>
      <x:c r="W96" s="82" t="str">
        <x:v>https://hotwheels.fandom.com/wiki/BMW_E36_M3_Race</x:v>
      </x:c>
      <x:c r="X96" s="82" t="str">
        <x:v>https://hotwheels.fandom.com/wiki/BMW_E36_M3_Race</x:v>
      </x:c>
    </x:row>
    <x:row r="97">
      <x:c r="A97" s="80" t="str">
        <x:v>Não</x:v>
      </x:c>
      <x:c r="B97" s="80" t="str">
        <x:v>2 — Completar aos poucos</x:v>
      </x:c>
      <x:c r="C97" s="81" t="n">
        <x:v>2021</x:v>
      </x:c>
      <x:c r="D97" s="80" t="str">
        <x:v>BMW M3 E46</x:v>
      </x:c>
      <x:c r="E97" s="80" t="str">
        <x:v>BMW M3 E46</x:v>
      </x:c>
      <x:c r="F97" s="82" t="str">
        <x:v>Car Culture: Deutschland Design 1/5</x:v>
      </x:c>
      <x:c r="G97" s="80" t="str"/>
      <x:c r="H97" s="80" t="str"/>
      <x:c r="I97" s="83" t="str">
        <x:v>GRJ72</x:v>
      </x:c>
      <x:c r="J97" s="80" t="str">
        <x:v>Laguna Seca Blue</x:v>
      </x:c>
      <x:c r="K97" s="82" t="str">
        <x:v>Detailed headlights and taillights</x:v>
      </x:c>
      <x:c r="L97" s="82" t="str">
        <x:v>Black RR10SPM</x:v>
      </x:c>
      <x:c r="M97" s="82" t="str">
        <x:v>Black / Metal</x:v>
      </x:c>
      <x:c r="N97" s="82" t="str">
        <x:v>Clear</x:v>
      </x:c>
      <x:c r="O97" s="82" t="str">
        <x:v>Black</x:v>
      </x:c>
      <x:c r="P97" s="82" t="str">
        <x:v>Thailand</x:v>
      </x:c>
      <x:c r="Q97" s="82" t="str"/>
      <x:c r="R97" s="82" t="str">
        <x:v>Premium</x:v>
      </x:c>
      <x:c r="S97" s="82" t="str">
        <x:v>Incomum</x:v>
      </x:c>
      <x:c r="T97" s="82" t="str">
        <x:v>Lançado</x:v>
      </x:c>
      <x:c r="U97" s="82" t="str">
        <x:v>Base code(s): P07, P08</x:v>
      </x:c>
      <x:c r="V97" s="80" t="str">
        <x:v>Coleção principal (~1:64)</x:v>
      </x:c>
      <x:c r="W97" s="82" t="str">
        <x:v>https://hotwheels.fandom.com/wiki/BMW_M3_E46</x:v>
      </x:c>
      <x:c r="X97" s="82" t="str">
        <x:v>https://hotwheels.fandom.com/wiki/BMW_M3_E46</x:v>
      </x:c>
    </x:row>
    <x:row r="98">
      <x:c r="A98" s="80" t="str">
        <x:v>Não</x:v>
      </x:c>
      <x:c r="B98" s="80" t="str">
        <x:v>2 — Completar aos poucos</x:v>
      </x:c>
      <x:c r="C98" s="81" t="n">
        <x:v>2021</x:v>
      </x:c>
      <x:c r="D98" s="80" t="str">
        <x:v>BMW M3 E46</x:v>
      </x:c>
      <x:c r="E98" s="80" t="str">
        <x:v>BMW M3 E46</x:v>
      </x:c>
      <x:c r="F98" s="82" t="str">
        <x:v>Car Culture: Team Transport #29</x:v>
      </x:c>
      <x:c r="G98" s="80" t="str"/>
      <x:c r="H98" s="80" t="str"/>
      <x:c r="I98" s="83" t="str">
        <x:v>GRK57</x:v>
      </x:c>
      <x:c r="J98" s="80" t="str">
        <x:v>Imola Red</x:v>
      </x:c>
      <x:c r="K98" s="82" t="str">
        <x:v>"46", Eibach logos on side</x:v>
      </x:c>
      <x:c r="L98" s="82" t="str">
        <x:v>Dark Gray RR10SPM</x:v>
      </x:c>
      <x:c r="M98" s="82" t="str">
        <x:v>Black / Metal</x:v>
      </x:c>
      <x:c r="N98" s="82" t="str">
        <x:v>Clear</x:v>
      </x:c>
      <x:c r="O98" s="82" t="str">
        <x:v>Black</x:v>
      </x:c>
      <x:c r="P98" s="82" t="str">
        <x:v>Thailand</x:v>
      </x:c>
      <x:c r="Q98" s="82" t="str"/>
      <x:c r="R98" s="82" t="str">
        <x:v>Premium</x:v>
      </x:c>
      <x:c r="S98" s="82" t="str">
        <x:v>Incomum</x:v>
      </x:c>
      <x:c r="T98" s="82" t="str">
        <x:v>Lançado</x:v>
      </x:c>
      <x:c r="U98" s="82" t="str">
        <x:v>Base code(s): P04</x:v>
      </x:c>
      <x:c r="V98" s="80" t="str">
        <x:v>Coleção principal (~1:64)</x:v>
      </x:c>
      <x:c r="W98" s="82" t="str">
        <x:v>https://hotwheels.fandom.com/wiki/BMW_M3_E46</x:v>
      </x:c>
      <x:c r="X98" s="82" t="str">
        <x:v>https://hotwheels.fandom.com/wiki/BMW_M3_E46</x:v>
      </x:c>
    </x:row>
    <x:row r="99">
      <x:c r="A99" s="80" t="str">
        <x:v>Não</x:v>
      </x:c>
      <x:c r="B99" s="80" t="str">
        <x:v>2 — Completar aos poucos</x:v>
      </x:c>
      <x:c r="C99" s="81" t="n">
        <x:v>2021</x:v>
      </x:c>
      <x:c r="D99" s="80" t="str">
        <x:v>BMW M3 E46</x:v>
      </x:c>
      <x:c r="E99" s="80" t="str">
        <x:v>BMW M3 E46</x:v>
      </x:c>
      <x:c r="F99" s="82" t="str">
        <x:v>Fast &amp; Furious: Euro Fast 5/5</x:v>
      </x:c>
      <x:c r="G99" s="80" t="str"/>
      <x:c r="H99" s="80" t="str"/>
      <x:c r="I99" s="83" t="str">
        <x:v>GPK52</x:v>
      </x:c>
      <x:c r="J99" s="80" t="str">
        <x:v>Alpine White</x:v>
      </x:c>
      <x:c r="K99" s="82" t="str">
        <x:v>Detailed headlights, front grille &amp; taillights, BMW emblem on hood &amp; rear</x:v>
      </x:c>
      <x:c r="L99" s="82" t="str">
        <x:v>Turquoise RR10SPM</x:v>
      </x:c>
      <x:c r="M99" s="82" t="str">
        <x:v>Black / Metal</x:v>
      </x:c>
      <x:c r="N99" s="82" t="str">
        <x:v>Smoke tint</x:v>
      </x:c>
      <x:c r="O99" s="82" t="str">
        <x:v>Black</x:v>
      </x:c>
      <x:c r="P99" s="82" t="str">
        <x:v>Thailand</x:v>
      </x:c>
      <x:c r="Q99" s="82" t="str"/>
      <x:c r="R99" s="82" t="str">
        <x:v>Mainline</x:v>
      </x:c>
      <x:c r="S99" s="82" t="str">
        <x:v>Comum / atual</x:v>
      </x:c>
      <x:c r="T99" s="82" t="str">
        <x:v>Lançado</x:v>
      </x:c>
      <x:c r="U99" s="82" t="str">
        <x:v>Base code(s): N38, N39, N40, N52</x:v>
      </x:c>
      <x:c r="V99" s="80" t="str">
        <x:v>Coleção principal (~1:64)</x:v>
      </x:c>
      <x:c r="W99" s="82" t="str">
        <x:v>https://hotwheels.fandom.com/wiki/BMW_M3_E46</x:v>
      </x:c>
      <x:c r="X99" s="82" t="str">
        <x:v>https://hotwheels.fandom.com/wiki/BMW_M3_E46</x:v>
      </x:c>
    </x:row>
    <x:row r="100">
      <x:c r="A100" s="80" t="str">
        <x:v>Não</x:v>
      </x:c>
      <x:c r="B100" s="80" t="str">
        <x:v>2 — Completar aos poucos</x:v>
      </x:c>
      <x:c r="C100" s="81" t="n">
        <x:v>2021</x:v>
      </x:c>
      <x:c r="D100" s="80" t="str">
        <x:v>BMW M3 GT2</x:v>
      </x:c>
      <x:c r="E100" s="80" t="str">
        <x:v>BMW M3 GT2</x:v>
      </x:c>
      <x:c r="F100" s="82" t="str">
        <x:v>HW Race Day 4/10</x:v>
      </x:c>
      <x:c r="G100" s="80" t="str"/>
      <x:c r="H100" s="80" t="str">
        <x:v>057/250</x:v>
      </x:c>
      <x:c r="I100" s="83" t="str">
        <x:v>GRX89</x:v>
      </x:c>
      <x:c r="J100" s="80" t="str">
        <x:v>Red</x:v>
      </x:c>
      <x:c r="K100" s="82" t="str">
        <x:v>Stripes, "3" on sides</x:v>
      </x:c>
      <x:c r="L100" s="82" t="str">
        <x:v>Black AeroDisc</x:v>
      </x:c>
      <x:c r="M100" s="82" t="str">
        <x:v>Black / Plastic</x:v>
      </x:c>
      <x:c r="N100" s="82" t="str">
        <x:v>Tinted (Smoke)</x:v>
      </x:c>
      <x:c r="O100" s="82" t="str">
        <x:v>Gray</x:v>
      </x:c>
      <x:c r="P100" s="82" t="str">
        <x:v>Malaysia</x:v>
      </x:c>
      <x:c r="Q100" s="82" t="str"/>
      <x:c r="R100" s="82" t="str">
        <x:v>Mainline</x:v>
      </x:c>
      <x:c r="S100" s="82" t="str">
        <x:v>Comum / atual</x:v>
      </x:c>
      <x:c r="T100" s="82" t="str">
        <x:v>Lançado</x:v>
      </x:c>
      <x:c r="U100" s="82" t="str"/>
      <x:c r="V100" s="80" t="str">
        <x:v>Coleção principal (~1:64)</x:v>
      </x:c>
      <x:c r="W100" s="82" t="str">
        <x:v>https://hotwheels.fandom.com/wiki/BMW_M3_GT2</x:v>
      </x:c>
      <x:c r="X100" s="82" t="str">
        <x:v>https://hotwheels.fandom.com/wiki/BMW_M3_GT2</x:v>
      </x:c>
    </x:row>
    <x:row r="101">
      <x:c r="A101" s="80" t="str">
        <x:v>Não</x:v>
      </x:c>
      <x:c r="B101" s="80" t="str">
        <x:v>2 — Completar aos poucos</x:v>
      </x:c>
      <x:c r="C101" s="81" t="n">
        <x:v>2021</x:v>
      </x:c>
      <x:c r="D101" s="80" t="str">
        <x:v>BMW M3 GT2</x:v>
      </x:c>
      <x:c r="E101" s="80" t="str">
        <x:v>BMW M3 GT2</x:v>
      </x:c>
      <x:c r="F101" s="82" t="str">
        <x:v>HW Race Day 4/10</x:v>
      </x:c>
      <x:c r="G101" s="80" t="str"/>
      <x:c r="H101" s="80" t="str">
        <x:v>057/250</x:v>
      </x:c>
      <x:c r="I101" s="83" t="str">
        <x:v>GTC82</x:v>
      </x:c>
      <x:c r="J101" s="80" t="str">
        <x:v>White Pearl</x:v>
      </x:c>
      <x:c r="K101" s="82" t="str">
        <x:v>Stripes, "3" on sides</x:v>
      </x:c>
      <x:c r="L101" s="82" t="str">
        <x:v>Gray Y5</x:v>
      </x:c>
      <x:c r="M101" s="82" t="str">
        <x:v>Black / Plastic</x:v>
      </x:c>
      <x:c r="N101" s="82" t="str">
        <x:v>Tinted (Smoke)</x:v>
      </x:c>
      <x:c r="O101" s="82" t="str">
        <x:v>Gray</x:v>
      </x:c>
      <x:c r="P101" s="82" t="str">
        <x:v>Malaysia</x:v>
      </x:c>
      <x:c r="Q101" s="82" t="str"/>
      <x:c r="R101" s="82" t="str">
        <x:v>Mainline</x:v>
      </x:c>
      <x:c r="S101" s="82" t="str">
        <x:v>Comum / atual</x:v>
      </x:c>
      <x:c r="T101" s="82" t="str">
        <x:v>Lançado</x:v>
      </x:c>
      <x:c r="U101" s="82" t="str"/>
      <x:c r="V101" s="80" t="str">
        <x:v>Coleção principal (~1:64)</x:v>
      </x:c>
      <x:c r="W101" s="82" t="str">
        <x:v>https://hotwheels.fandom.com/wiki/BMW_M3_GT2</x:v>
      </x:c>
      <x:c r="X101" s="82" t="str">
        <x:v>https://hotwheels.fandom.com/wiki/BMW_M3_GT2</x:v>
      </x:c>
    </x:row>
    <x:row r="102">
      <x:c r="A102" s="80" t="str">
        <x:v>Não</x:v>
      </x:c>
      <x:c r="B102" s="80" t="str">
        <x:v>2 — Completar aos poucos</x:v>
      </x:c>
      <x:c r="C102" s="81" t="n">
        <x:v>2021</x:v>
      </x:c>
      <x:c r="D102" s="80" t="str">
        <x:v>BMW M3 GT2</x:v>
      </x:c>
      <x:c r="E102" s="80" t="str">
        <x:v>BMW M3 GT2</x:v>
      </x:c>
      <x:c r="F102" s="82" t="str">
        <x:v>HW Race Day 4/10</x:v>
      </x:c>
      <x:c r="G102" s="80" t="str"/>
      <x:c r="H102" s="80" t="str">
        <x:v>057/250</x:v>
      </x:c>
      <x:c r="I102" s="83" t="str">
        <x:v>GTD25</x:v>
      </x:c>
      <x:c r="J102" s="80" t="str">
        <x:v>ZAMAC</x:v>
      </x:c>
      <x:c r="K102" s="82" t="str">
        <x:v>Stripes, "3" on sides</x:v>
      </x:c>
      <x:c r="L102" s="82" t="str">
        <x:v>Red Y5</x:v>
      </x:c>
      <x:c r="M102" s="82" t="str">
        <x:v>Black / Plastic</x:v>
      </x:c>
      <x:c r="N102" s="82" t="str">
        <x:v>Tinted (Blue)</x:v>
      </x:c>
      <x:c r="O102" s="82" t="str">
        <x:v>Gray</x:v>
      </x:c>
      <x:c r="P102" s="82" t="str">
        <x:v>Malaysia</x:v>
      </x:c>
      <x:c r="Q102" s="82" t="str">
        <x:v>ZAMAC</x:v>
      </x:c>
      <x:c r="R102" s="82" t="str">
        <x:v>Mainline</x:v>
      </x:c>
      <x:c r="S102" s="82" t="str">
        <x:v>Rara</x:v>
      </x:c>
      <x:c r="T102" s="82" t="str">
        <x:v>Lançado</x:v>
      </x:c>
      <x:c r="U102" s="82" t="str"/>
      <x:c r="V102" s="80" t="str">
        <x:v>Coleção principal (~1:64)</x:v>
      </x:c>
      <x:c r="W102" s="82" t="str">
        <x:v>https://hotwheels.fandom.com/wiki/BMW_M3_GT2</x:v>
      </x:c>
      <x:c r="X102" s="82" t="str">
        <x:v>https://hotwheels.fandom.com/wiki/BMW_M3_GT2</x:v>
      </x:c>
    </x:row>
    <x:row r="103">
      <x:c r="A103" s="80" t="str">
        <x:v>Não</x:v>
      </x:c>
      <x:c r="B103" s="80" t="str">
        <x:v>2 — Completar aos poucos</x:v>
      </x:c>
      <x:c r="C103" s="81" t="n">
        <x:v>2020</x:v>
      </x:c>
      <x:c r="D103" s="80" t="str">
        <x:v>'92 BMW M3</x:v>
      </x:c>
      <x:c r="E103" s="80" t="str">
        <x:v>'92 BMW M3</x:v>
      </x:c>
      <x:c r="F103" s="82" t="str">
        <x:v>HW Rescue 4/10</x:v>
      </x:c>
      <x:c r="G103" s="80" t="str"/>
      <x:c r="H103" s="80" t="str">
        <x:v>207/250</x:v>
      </x:c>
      <x:c r="I103" s="83" t="str">
        <x:v>GHC61</x:v>
      </x:c>
      <x:c r="J103" s="80" t="str">
        <x:v>White</x:v>
      </x:c>
      <x:c r="K103" s="82" t="str">
        <x:v>Green Striping with 'POLIZEI' on sides &amp; hood. Hot Wheels logo on sides. 'W8303' on sides of rear bumper</x:v>
      </x:c>
      <x:c r="L103" s="82" t="str">
        <x:v>WPR5</x:v>
      </x:c>
      <x:c r="M103" s="82" t="str">
        <x:v>Black / Plastic</x:v>
      </x:c>
      <x:c r="N103" s="82" t="str">
        <x:v>Light blue tint</x:v>
      </x:c>
      <x:c r="O103" s="82" t="str">
        <x:v>Black</x:v>
      </x:c>
      <x:c r="P103" s="82" t="str">
        <x:v>Malaysia</x:v>
      </x:c>
      <x:c r="Q103" s="82" t="str"/>
      <x:c r="R103" s="82" t="str">
        <x:v>Mainline</x:v>
      </x:c>
      <x:c r="S103" s="82" t="str">
        <x:v>Comum / atual</x:v>
      </x:c>
      <x:c r="T103" s="82" t="str">
        <x:v>Lançado</x:v>
      </x:c>
      <x:c r="U103" s="82" t="str">
        <x:v>Base code(s): N11, N19, N20, N22</x:v>
      </x:c>
      <x:c r="V103" s="80" t="str">
        <x:v>Coleção principal (~1:64)</x:v>
      </x:c>
      <x:c r="W103" s="82" t="str">
        <x:v>https://hotwheels.fandom.com/wiki/%2792_BMW_M3</x:v>
      </x:c>
      <x:c r="X103" s="82" t="str">
        <x:v>https://hotwheels.fandom.com/wiki/%2792_BMW_M3</x:v>
      </x:c>
    </x:row>
    <x:row r="104">
      <x:c r="A104" s="80" t="str">
        <x:v>Não</x:v>
      </x:c>
      <x:c r="B104" s="80" t="str">
        <x:v>2 — Completar aos poucos</x:v>
      </x:c>
      <x:c r="C104" s="81" t="n">
        <x:v>2020</x:v>
      </x:c>
      <x:c r="D104" s="80" t="str">
        <x:v>'92 BMW M3</x:v>
      </x:c>
      <x:c r="E104" s="80" t="str">
        <x:v>'92 BMW M3</x:v>
      </x:c>
      <x:c r="F104" s="82" t="str">
        <x:v>HW Rescue 4/10</x:v>
      </x:c>
      <x:c r="G104" s="80" t="str"/>
      <x:c r="H104" s="80" t="str">
        <x:v>207/250</x:v>
      </x:c>
      <x:c r="I104" s="83" t="str">
        <x:v>GHG45</x:v>
      </x:c>
      <x:c r="J104" s="80" t="str">
        <x:v>ZAMAC</x:v>
      </x:c>
      <x:c r="K104" s="82" t="str">
        <x:v>Blue Striping with 'POLIZEI' on sides &amp; hood. Hot Wheels logo on sides. 'W8303' on sides of rear bumper</x:v>
      </x:c>
      <x:c r="L104" s="82" t="str">
        <x:v>WPR5</x:v>
      </x:c>
      <x:c r="M104" s="82" t="str">
        <x:v>Black / Plastic</x:v>
      </x:c>
      <x:c r="N104" s="82" t="str">
        <x:v>Light blue tint</x:v>
      </x:c>
      <x:c r="O104" s="82" t="str">
        <x:v>Black</x:v>
      </x:c>
      <x:c r="P104" s="82" t="str">
        <x:v>Malaysia</x:v>
      </x:c>
      <x:c r="Q104" s="82" t="str">
        <x:v>ZAMAC, Walmart</x:v>
      </x:c>
      <x:c r="R104" s="82" t="str">
        <x:v>Mainline</x:v>
      </x:c>
      <x:c r="S104" s="82" t="str">
        <x:v>Rara</x:v>
      </x:c>
      <x:c r="T104" s="82" t="str">
        <x:v>Lançado</x:v>
      </x:c>
      <x:c r="U104" s="82" t="str">
        <x:v>Walmart Exclusive Base code(s): N11, N24</x:v>
      </x:c>
      <x:c r="V104" s="80" t="str">
        <x:v>Coleção principal (~1:64)</x:v>
      </x:c>
      <x:c r="W104" s="82" t="str">
        <x:v>https://hotwheels.fandom.com/wiki/%2792_BMW_M3</x:v>
      </x:c>
      <x:c r="X104" s="82" t="str">
        <x:v>https://hotwheels.fandom.com/wiki/%2792_BMW_M3</x:v>
      </x:c>
    </x:row>
    <x:row r="105">
      <x:c r="A105" s="80" t="str">
        <x:v>Não</x:v>
      </x:c>
      <x:c r="B105" s="80" t="str">
        <x:v>2 — Completar aos poucos</x:v>
      </x:c>
      <x:c r="C105" s="81" t="n">
        <x:v>2020</x:v>
      </x:c>
      <x:c r="D105" s="80" t="str">
        <x:v>'92 BMW M3</x:v>
      </x:c>
      <x:c r="E105" s="80" t="str">
        <x:v>'92 BMW M3</x:v>
      </x:c>
      <x:c r="F105" s="82" t="str">
        <x:v>Jackboys Exclusive</x:v>
      </x:c>
      <x:c r="G105" s="80" t="str"/>
      <x:c r="H105" s="80" t="str"/>
      <x:c r="I105" s="83" t="str">
        <x:v>N/A</x:v>
      </x:c>
      <x:c r="J105" s="80" t="str">
        <x:v>Light blue &amp; white</x:v>
      </x:c>
      <x:c r="K105" s="82" t="str">
        <x:v>Detailed headlights and taillights, "CACTUS JACK" on hood and windshield, brown accents with various sponsor decals, detailed license plate</x:v>
      </x:c>
      <x:c r="L105" s="82" t="str">
        <x:v>CHMCRR</x:v>
      </x:c>
      <x:c r="M105" s="82" t="str">
        <x:v>ZAMAC</x:v>
      </x:c>
      <x:c r="N105" s="82" t="str">
        <x:v>Smoke tint</x:v>
      </x:c>
      <x:c r="O105" s="82" t="str">
        <x:v>Black</x:v>
      </x:c>
      <x:c r="P105" s="82" t="str">
        <x:v>Malaysia</x:v>
      </x:c>
      <x:c r="Q105" s="82" t="str"/>
      <x:c r="R105" s="82" t="str">
        <x:v>Outra linha</x:v>
      </x:c>
      <x:c r="S105" s="82" t="str">
        <x:v>Comum / atual</x:v>
      </x:c>
      <x:c r="T105" s="82" t="str">
        <x:v>Lançado</x:v>
      </x:c>
      <x:c r="U105" s="82" t="str">
        <x:v>3 produced, given away on 6 January 2020 Base code(s):</x:v>
      </x:c>
      <x:c r="V105" s="80" t="str">
        <x:v>Coleção principal (~1:64)</x:v>
      </x:c>
      <x:c r="W105" s="82" t="str">
        <x:v>https://hotwheels.fandom.com/wiki/%2792_BMW_M3</x:v>
      </x:c>
      <x:c r="X105" s="82" t="str">
        <x:v>https://hotwheels.fandom.com/wiki/%2792_BMW_M3</x:v>
      </x:c>
    </x:row>
    <x:row r="106">
      <x:c r="A106" s="80" t="str">
        <x:v>Não</x:v>
      </x:c>
      <x:c r="B106" s="80" t="str">
        <x:v>2 — Completar aos poucos</x:v>
      </x:c>
      <x:c r="C106" s="81" t="n">
        <x:v>2020</x:v>
      </x:c>
      <x:c r="D106" s="80" t="str">
        <x:v>2016 BMW M2</x:v>
      </x:c>
      <x:c r="E106" s="80" t="str">
        <x:v>2016 BMW M2</x:v>
      </x:c>
      <x:c r="F106" s="82" t="str">
        <x:v>HW Police 3/5</x:v>
      </x:c>
      <x:c r="G106" s="80" t="str"/>
      <x:c r="H106" s="80" t="str"/>
      <x:c r="I106" s="83" t="str">
        <x:v>GJV64</x:v>
      </x:c>
      <x:c r="J106" s="80" t="str">
        <x:v>Blue</x:v>
      </x:c>
      <x:c r="K106" s="82" t="str">
        <x:v>Yellow squares, POLICE, HW logo</x:v>
      </x:c>
      <x:c r="L106" s="82" t="str">
        <x:v>Black PR5</x:v>
      </x:c>
      <x:c r="M106" s="82" t="str">
        <x:v>Black / Plastic</x:v>
      </x:c>
      <x:c r="N106" s="82" t="str">
        <x:v>Smoke tint</x:v>
      </x:c>
      <x:c r="O106" s="82" t="str">
        <x:v>Black</x:v>
      </x:c>
      <x:c r="P106" s="82" t="str">
        <x:v>Malaysia</x:v>
      </x:c>
      <x:c r="Q106" s="82" t="str"/>
      <x:c r="R106" s="82" t="str">
        <x:v>Mainline</x:v>
      </x:c>
      <x:c r="S106" s="82" t="str">
        <x:v>Comum / atual</x:v>
      </x:c>
      <x:c r="T106" s="82" t="str">
        <x:v>Lançado</x:v>
      </x:c>
      <x:c r="U106" s="82" t="str">
        <x:v>British Police car Base code(s): N04, N05, N07, N09</x:v>
      </x:c>
      <x:c r="V106" s="80" t="str">
        <x:v>Coleção principal (~1:64)</x:v>
      </x:c>
      <x:c r="W106" s="82" t="str">
        <x:v>https://hotwheels.fandom.com/wiki/2016_BMW_M2</x:v>
      </x:c>
      <x:c r="X106" s="82" t="str">
        <x:v>https://hotwheels.fandom.com/wiki/2016_BMW_M2</x:v>
      </x:c>
    </x:row>
    <x:row r="107">
      <x:c r="A107" s="80" t="str">
        <x:v>Não</x:v>
      </x:c>
      <x:c r="B107" s="80" t="str">
        <x:v>2 — Completar aos poucos</x:v>
      </x:c>
      <x:c r="C107" s="81" t="n">
        <x:v>2020</x:v>
      </x:c>
      <x:c r="D107" s="80" t="str">
        <x:v>BMW 2002</x:v>
      </x:c>
      <x:c r="E107" s="80" t="str">
        <x:v>BMW 2002</x:v>
      </x:c>
      <x:c r="F107" s="82" t="str">
        <x:v>Car Culture: Door Slammers 4/5</x:v>
      </x:c>
      <x:c r="G107" s="80" t="str"/>
      <x:c r="H107" s="80" t="str"/>
      <x:c r="I107" s="83" t="str">
        <x:v>GJP79</x:v>
      </x:c>
      <x:c r="J107" s="80" t="str">
        <x:v>Pearl White</x:v>
      </x:c>
      <x:c r="K107" s="82" t="str">
        <x:v>Light Blue, Dark Blue &amp; Red stripes on sides, Eibach Logo on sides and Hood, BMW "02" on sides, Detailed lights</x:v>
      </x:c>
      <x:c r="L107" s="82" t="str">
        <x:v>Grey RR8SP</x:v>
      </x:c>
      <x:c r="M107" s="82" t="str">
        <x:v>ZAMAC</x:v>
      </x:c>
      <x:c r="N107" s="82" t="str">
        <x:v>Clear</x:v>
      </x:c>
      <x:c r="O107" s="82" t="str">
        <x:v>Grey</x:v>
      </x:c>
      <x:c r="P107" s="82" t="str">
        <x:v>Thailand</x:v>
      </x:c>
      <x:c r="Q107" s="82" t="str"/>
      <x:c r="R107" s="82" t="str">
        <x:v>Premium</x:v>
      </x:c>
      <x:c r="S107" s="82" t="str">
        <x:v>Incomum</x:v>
      </x:c>
      <x:c r="T107" s="82" t="str">
        <x:v>Lançado</x:v>
      </x:c>
      <x:c r="U107" s="82" t="str">
        <x:v>Base code(s): M42, M43</x:v>
      </x:c>
      <x:c r="V107" s="80" t="str">
        <x:v>Coleção principal (~1:64)</x:v>
      </x:c>
      <x:c r="W107" s="82" t="str">
        <x:v>https://hotwheels.fandom.com/wiki/BMW_2002</x:v>
      </x:c>
      <x:c r="X107" s="82" t="str">
        <x:v>https://hotwheels.fandom.com/wiki/BMW_2002</x:v>
      </x:c>
    </x:row>
    <x:row r="108">
      <x:c r="A108" s="80" t="str">
        <x:v>Não</x:v>
      </x:c>
      <x:c r="B108" s="80" t="str">
        <x:v>2 — Completar aos poucos</x:v>
      </x:c>
      <x:c r="C108" s="81" t="n">
        <x:v>2020</x:v>
      </x:c>
      <x:c r="D108" s="80" t="str">
        <x:v>BMW 2002</x:v>
      </x:c>
      <x:c r="E108" s="80" t="str">
        <x:v>BMW 2002</x:v>
      </x:c>
      <x:c r="F108" s="82" t="str">
        <x:v>Car Meet 5-Pack</x:v>
      </x:c>
      <x:c r="G108" s="80" t="str"/>
      <x:c r="H108" s="80" t="str"/>
      <x:c r="I108" s="83" t="str">
        <x:v>GHP52</x:v>
      </x:c>
      <x:c r="J108" s="80" t="str">
        <x:v>Metalflake Black</x:v>
      </x:c>
      <x:c r="K108" s="82" t="str">
        <x:v>Dark Red &amp; Light Blue, Red &amp; Blue stripes, 02, HW logo</x:v>
      </x:c>
      <x:c r="L108" s="82" t="str">
        <x:v>Chrome Blue rim, Black J5</x:v>
      </x:c>
      <x:c r="M108" s="82" t="str">
        <x:v>Metallic Dark Gray / Plastic</x:v>
      </x:c>
      <x:c r="N108" s="82" t="str">
        <x:v>Blue tint</x:v>
      </x:c>
      <x:c r="O108" s="82" t="str">
        <x:v>Cream</x:v>
      </x:c>
      <x:c r="P108" s="82" t="str">
        <x:v>Indonesia</x:v>
      </x:c>
      <x:c r="Q108" s="82" t="str"/>
      <x:c r="R108" s="82" t="str">
        <x:v>Temática / multipack</x:v>
      </x:c>
      <x:c r="S108" s="82" t="str">
        <x:v>Comum / atual</x:v>
      </x:c>
      <x:c r="T108" s="82" t="str">
        <x:v>Lançado</x:v>
      </x:c>
      <x:c r="U108" s="82" t="str">
        <x:v>Base code(s): M40, M41, M42, M44, N08, N13</x:v>
      </x:c>
      <x:c r="V108" s="80" t="str">
        <x:v>Coleção principal (~1:64)</x:v>
      </x:c>
      <x:c r="W108" s="82" t="str">
        <x:v>https://hotwheels.fandom.com/wiki/BMW_2002</x:v>
      </x:c>
      <x:c r="X108" s="82" t="str">
        <x:v>https://hotwheels.fandom.com/wiki/BMW_2002</x:v>
      </x:c>
    </x:row>
    <x:row r="109">
      <x:c r="A109" s="80" t="str">
        <x:v>Não</x:v>
      </x:c>
      <x:c r="B109" s="80" t="str">
        <x:v>2 — Completar aos poucos</x:v>
      </x:c>
      <x:c r="C109" s="81" t="n">
        <x:v>2020</x:v>
      </x:c>
      <x:c r="D109" s="80" t="str">
        <x:v>BMW Z4 M Motorsport</x:v>
      </x:c>
      <x:c r="E109" s="80" t="str">
        <x:v>BMW Z4 M Motorsport</x:v>
      </x:c>
      <x:c r="F109" s="82" t="str">
        <x:v>Nightburnerz 7/10</x:v>
      </x:c>
      <x:c r="G109" s="80" t="str"/>
      <x:c r="H109" s="80" t="str">
        <x:v>172/250</x:v>
      </x:c>
      <x:c r="I109" s="83" t="str">
        <x:v>GHD16</x:v>
      </x:c>
      <x:c r="J109" s="80" t="str">
        <x:v>Pearl White</x:v>
      </x:c>
      <x:c r="K109" s="82" t="str">
        <x:v>Light blue, dark blue, &amp; red stripes on sides &amp; hood, Hot Wheels logo on sides</x:v>
      </x:c>
      <x:c r="L109" s="82" t="str">
        <x:v>GLW</x:v>
      </x:c>
      <x:c r="M109" s="82" t="str">
        <x:v>Black / Plastic</x:v>
      </x:c>
      <x:c r="N109" s="82" t="str">
        <x:v>Light blue tint</x:v>
      </x:c>
      <x:c r="O109" s="82" t="str">
        <x:v>Gray</x:v>
      </x:c>
      <x:c r="P109" s="82" t="str">
        <x:v>Malaysia</x:v>
      </x:c>
      <x:c r="Q109" s="82" t="str"/>
      <x:c r="R109" s="82" t="str">
        <x:v>Mainline</x:v>
      </x:c>
      <x:c r="S109" s="82" t="str">
        <x:v>Comum / atual</x:v>
      </x:c>
      <x:c r="T109" s="82" t="str">
        <x:v>Lançado</x:v>
      </x:c>
      <x:c r="U109" s="82" t="str">
        <x:v>Interior retooled Base code(s): N05, N06, N07, N08, N09, N10</x:v>
      </x:c>
      <x:c r="V109" s="80" t="str">
        <x:v>Coleção principal (~1:64)</x:v>
      </x:c>
      <x:c r="W109" s="82" t="str">
        <x:v>https://hotwheels.fandom.com/wiki/BMW_Z4_M_Motorsport</x:v>
      </x:c>
      <x:c r="X109" s="82" t="str">
        <x:v>https://hotwheels.fandom.com/wiki/BMW_Z4_M_Motorsport</x:v>
      </x:c>
    </x:row>
    <x:row r="110">
      <x:c r="A110" s="80" t="str">
        <x:v>Não</x:v>
      </x:c>
      <x:c r="B110" s="80" t="str">
        <x:v>2 — Completar aos poucos</x:v>
      </x:c>
      <x:c r="C110" s="81" t="n">
        <x:v>2019</x:v>
      </x:c>
      <x:c r="D110" s="80" t="str">
        <x:v>'92 BMW M3</x:v>
      </x:c>
      <x:c r="E110" s="80" t="str">
        <x:v>'92 BMW M3</x:v>
      </x:c>
      <x:c r="F110" s="82" t="str">
        <x:v>Car Culture: Team Transport</x:v>
      </x:c>
      <x:c r="G110" s="80" t="str"/>
      <x:c r="H110" s="80" t="str"/>
      <x:c r="I110" s="83" t="str">
        <x:v>GJY52</x:v>
      </x:c>
      <x:c r="J110" s="80" t="str">
        <x:v>Red</x:v>
      </x:c>
      <x:c r="K110" s="82" t="str">
        <x:v>Supreme Logo on Side</x:v>
      </x:c>
      <x:c r="L110" s="82" t="str">
        <x:v>CRR6SPM</x:v>
      </x:c>
      <x:c r="M110" s="82" t="str">
        <x:v>? / Metal</x:v>
      </x:c>
      <x:c r="N110" s="82" t="str">
        <x:v>Clear</x:v>
      </x:c>
      <x:c r="O110" s="82" t="str">
        <x:v>Black</x:v>
      </x:c>
      <x:c r="P110" s="82" t="str">
        <x:v>Thailand</x:v>
      </x:c>
      <x:c r="Q110" s="82" t="str"/>
      <x:c r="R110" s="82" t="str">
        <x:v>Premium</x:v>
      </x:c>
      <x:c r="S110" s="82" t="str">
        <x:v>Incomum</x:v>
      </x:c>
      <x:c r="T110" s="82" t="str">
        <x:v>Lançado</x:v>
      </x:c>
      <x:c r="U110" s="82" t="str">
        <x:v>Supreme Exclusive Base code(s): H92, M04</x:v>
      </x:c>
      <x:c r="V110" s="80" t="str">
        <x:v>Coleção principal (~1:64)</x:v>
      </x:c>
      <x:c r="W110" s="82" t="str">
        <x:v>https://hotwheels.fandom.com/wiki/%2792_BMW_M3</x:v>
      </x:c>
      <x:c r="X110" s="82" t="str">
        <x:v>https://hotwheels.fandom.com/wiki/%2792_BMW_M3</x:v>
      </x:c>
    </x:row>
    <x:row r="111">
      <x:c r="A111" s="80" t="str">
        <x:v>Não</x:v>
      </x:c>
      <x:c r="B111" s="80" t="str">
        <x:v>2 — Completar aos poucos</x:v>
      </x:c>
      <x:c r="C111" s="81" t="n">
        <x:v>2019</x:v>
      </x:c>
      <x:c r="D111" s="80" t="str">
        <x:v>'92 BMW M3</x:v>
      </x:c>
      <x:c r="E111" s="80" t="str">
        <x:v>'92 BMW M3</x:v>
      </x:c>
      <x:c r="F111" s="82" t="str">
        <x:v>Forza Horizon 4 1/6</x:v>
      </x:c>
      <x:c r="G111" s="80" t="str"/>
      <x:c r="H111" s="80" t="str"/>
      <x:c r="I111" s="83" t="str">
        <x:v>GBB68</x:v>
      </x:c>
      <x:c r="J111" s="80" t="str">
        <x:v>White</x:v>
      </x:c>
      <x:c r="K111" s="82" t="str">
        <x:v>'XBOX', Forza Logo, 'FORZA HORIZON 4' on sides. Gray stripes on rear fenders &amp; hood</x:v>
      </x:c>
      <x:c r="L111" s="82" t="str">
        <x:v>Grey LW</x:v>
      </x:c>
      <x:c r="M111" s="82" t="str">
        <x:v>Black / Plastic</x:v>
      </x:c>
      <x:c r="N111" s="82" t="str">
        <x:v>Clear</x:v>
      </x:c>
      <x:c r="O111" s="82" t="str">
        <x:v>Black</x:v>
      </x:c>
      <x:c r="P111" s="82" t="str">
        <x:v>Thailand</x:v>
      </x:c>
      <x:c r="Q111" s="82" t="str"/>
      <x:c r="R111" s="82" t="str">
        <x:v>Outra linha</x:v>
      </x:c>
      <x:c r="S111" s="82" t="str">
        <x:v>Comum / atual</x:v>
      </x:c>
      <x:c r="T111" s="82" t="str">
        <x:v>Lançado</x:v>
      </x:c>
      <x:c r="U111" s="82" t="str">
        <x:v>Base code(s): M18, M19</x:v>
      </x:c>
      <x:c r="V111" s="80" t="str">
        <x:v>Coleção principal (~1:64)</x:v>
      </x:c>
      <x:c r="W111" s="82" t="str">
        <x:v>https://hotwheels.fandom.com/wiki/%2792_BMW_M3</x:v>
      </x:c>
      <x:c r="X111" s="82" t="str">
        <x:v>https://hotwheels.fandom.com/wiki/%2792_BMW_M3</x:v>
      </x:c>
    </x:row>
    <x:row r="112">
      <x:c r="A112" s="80" t="str">
        <x:v>Não</x:v>
      </x:c>
      <x:c r="B112" s="80" t="str">
        <x:v>2 — Completar aos poucos</x:v>
      </x:c>
      <x:c r="C112" s="81" t="n">
        <x:v>2019</x:v>
      </x:c>
      <x:c r="D112" s="80" t="str">
        <x:v>2016 BMW M2</x:v>
      </x:c>
      <x:c r="E112" s="80" t="str">
        <x:v>2016 BMW M2</x:v>
      </x:c>
      <x:c r="F112" s="82" t="str">
        <x:v>Factory Fresh 1/10</x:v>
      </x:c>
      <x:c r="G112" s="80" t="str"/>
      <x:c r="H112" s="80" t="str">
        <x:v>200/250</x:v>
      </x:c>
      <x:c r="I112" s="83" t="str">
        <x:v>FYC10</x:v>
      </x:c>
      <x:c r="J112" s="80" t="str">
        <x:v>White</x:v>
      </x:c>
      <x:c r="K112" s="82" t="str">
        <x:v>Blue, Light blue &amp; Red stripes on sides, BMW emblem on hood</x:v>
      </x:c>
      <x:c r="L112" s="82" t="str">
        <x:v>PR5</x:v>
      </x:c>
      <x:c r="M112" s="82" t="str">
        <x:v>Grey Metalflake / Plastic</x:v>
      </x:c>
      <x:c r="N112" s="82" t="str">
        <x:v>Smoke tint</x:v>
      </x:c>
      <x:c r="O112" s="82" t="str">
        <x:v>Black</x:v>
      </x:c>
      <x:c r="P112" s="82" t="str">
        <x:v>Malaysia</x:v>
      </x:c>
      <x:c r="Q112" s="82" t="str"/>
      <x:c r="R112" s="82" t="str">
        <x:v>Mainline</x:v>
      </x:c>
      <x:c r="S112" s="82" t="str">
        <x:v>Comum / atual</x:v>
      </x:c>
      <x:c r="T112" s="82" t="str">
        <x:v>Lançado</x:v>
      </x:c>
      <x:c r="U112" s="82" t="str">
        <x:v>Base code(s): M12, M13, M14, M15, M16, M18</x:v>
      </x:c>
      <x:c r="V112" s="80" t="str">
        <x:v>Coleção principal (~1:64)</x:v>
      </x:c>
      <x:c r="W112" s="82" t="str">
        <x:v>https://hotwheels.fandom.com/wiki/2016_BMW_M2</x:v>
      </x:c>
      <x:c r="X112" s="82" t="str">
        <x:v>https://hotwheels.fandom.com/wiki/2016_BMW_M2</x:v>
      </x:c>
    </x:row>
    <x:row r="113">
      <x:c r="A113" s="80" t="str">
        <x:v>Não</x:v>
      </x:c>
      <x:c r="B113" s="80" t="str">
        <x:v>2 — Completar aos poucos</x:v>
      </x:c>
      <x:c r="C113" s="81" t="n">
        <x:v>2019</x:v>
      </x:c>
      <x:c r="D113" s="80" t="str">
        <x:v>BMW E36 M3 Race</x:v>
      </x:c>
      <x:c r="E113" s="80" t="str">
        <x:v>BMW E36 M3 Race</x:v>
      </x:c>
      <x:c r="F113" s="82" t="str">
        <x:v>Throwback 6/8</x:v>
      </x:c>
      <x:c r="G113" s="80" t="str"/>
      <x:c r="H113" s="80" t="str"/>
      <x:c r="I113" s="83" t="str">
        <x:v>GBB91</x:v>
      </x:c>
      <x:c r="J113" s="80" t="str">
        <x:v>White</x:v>
      </x:c>
      <x:c r="K113" s="82" t="str">
        <x:v>Blue &amp; Red Stripes, '36' and BMW Motorsport on both sides</x:v>
      </x:c>
      <x:c r="L113" s="82" t="str">
        <x:v>BW</x:v>
      </x:c>
      <x:c r="M113" s="82" t="str">
        <x:v>Black / Plastic</x:v>
      </x:c>
      <x:c r="N113" s="82" t="str">
        <x:v>Tinted (Grey)</x:v>
      </x:c>
      <x:c r="O113" s="82" t="str">
        <x:v>Black</x:v>
      </x:c>
      <x:c r="P113" s="82" t="str">
        <x:v>Malaysia</x:v>
      </x:c>
      <x:c r="Q113" s="82" t="str"/>
      <x:c r="R113" s="82" t="str">
        <x:v>Outra linha</x:v>
      </x:c>
      <x:c r="S113" s="82" t="str">
        <x:v>Comum / atual</x:v>
      </x:c>
      <x:c r="T113" s="82" t="str">
        <x:v>Lançado</x:v>
      </x:c>
      <x:c r="U113" s="82" t="str">
        <x:v>Base Code(s): L47, L50</x:v>
      </x:c>
      <x:c r="V113" s="80" t="str">
        <x:v>Coleção principal (~1:64)</x:v>
      </x:c>
      <x:c r="W113" s="82" t="str">
        <x:v>https://hotwheels.fandom.com/wiki/BMW_E36_M3_Race</x:v>
      </x:c>
      <x:c r="X113" s="82" t="str">
        <x:v>https://hotwheels.fandom.com/wiki/BMW_E36_M3_Race</x:v>
      </x:c>
    </x:row>
    <x:row r="114">
      <x:c r="A114" s="80" t="str">
        <x:v>Não</x:v>
      </x:c>
      <x:c r="B114" s="80" t="str">
        <x:v>2 — Completar aos poucos</x:v>
      </x:c>
      <x:c r="C114" s="81" t="n">
        <x:v>2019</x:v>
      </x:c>
      <x:c r="D114" s="80" t="str">
        <x:v>BMW i8 Roadster</x:v>
      </x:c>
      <x:c r="E114" s="80" t="str">
        <x:v>BMW i8 Roadster</x:v>
      </x:c>
      <x:c r="F114" s="82" t="str">
        <x:v>Hot Wheels id: Moving Forward 05/05</x:v>
      </x:c>
      <x:c r="G114" s="80" t="str"/>
      <x:c r="H114" s="80" t="str"/>
      <x:c r="I114" s="83" t="str">
        <x:v>FXB49</x:v>
      </x:c>
      <x:c r="J114" s="80" t="str">
        <x:v>Spectraflame E-Copper</x:v>
      </x:c>
      <x:c r="K114" s="82" t="str">
        <x:v>Detailed front &amp; rear lights, detailed grill, "i8", "eDrive" on rear, Black accents</x:v>
      </x:c>
      <x:c r="L114" s="82" t="str">
        <x:v>Chrome Lip ID</x:v>
      </x:c>
      <x:c r="M114" s="82" t="str">
        <x:v>Transparent Black / Plastic</x:v>
      </x:c>
      <x:c r="N114" s="82" t="str">
        <x:v>Smoke tint</x:v>
      </x:c>
      <x:c r="O114" s="82" t="str">
        <x:v>Black</x:v>
      </x:c>
      <x:c r="P114" s="82" t="str">
        <x:v>Malaysia</x:v>
      </x:c>
      <x:c r="Q114" s="82" t="str"/>
      <x:c r="R114" s="82" t="str">
        <x:v>Outra linha</x:v>
      </x:c>
      <x:c r="S114" s="82" t="str">
        <x:v>Comum / atual</x:v>
      </x:c>
      <x:c r="T114" s="82" t="str">
        <x:v>Lançado</x:v>
      </x:c>
      <x:c r="U114" s="82" t="str">
        <x:v>Base code(s): M34</x:v>
      </x:c>
      <x:c r="V114" s="80" t="str">
        <x:v>Coleção principal (~1:64)</x:v>
      </x:c>
      <x:c r="W114" s="82" t="str">
        <x:v>https://hotwheels.fandom.com/wiki/BMW_i8_Roadster</x:v>
      </x:c>
      <x:c r="X114" s="82" t="str">
        <x:v>https://hotwheels.fandom.com/wiki/BMW_i8_Roadster</x:v>
      </x:c>
    </x:row>
    <x:row r="115">
      <x:c r="A115" s="80" t="str">
        <x:v>Não</x:v>
      </x:c>
      <x:c r="B115" s="80" t="str">
        <x:v>2 — Completar aos poucos</x:v>
      </x:c>
      <x:c r="C115" s="81" t="n">
        <x:v>2019</x:v>
      </x:c>
      <x:c r="D115" s="80" t="str">
        <x:v>BMW M1 Procar</x:v>
      </x:c>
      <x:c r="E115" s="80" t="str">
        <x:v>BMW M1 Procar</x:v>
      </x:c>
      <x:c r="F115" s="82" t="str">
        <x:v>Anti Social Social Club</x:v>
      </x:c>
      <x:c r="G115" s="80" t="str"/>
      <x:c r="H115" s="80" t="str"/>
      <x:c r="I115" s="83" t="str">
        <x:v>AA022</x:v>
      </x:c>
      <x:c r="J115" s="80" t="str">
        <x:v>Blue</x:v>
      </x:c>
      <x:c r="K115" s="82" t="str">
        <x:v>White Circles all Over, Korean Flag on Hood, 'ANTISOCIAL CLUB' and 'GET WEIRD'</x:v>
      </x:c>
      <x:c r="L115" s="82" t="str">
        <x:v>Gold MCRR</x:v>
      </x:c>
      <x:c r="M115" s="82" t="str">
        <x:v>Black / Metal</x:v>
      </x:c>
      <x:c r="N115" s="82" t="str">
        <x:v>Tinted (Black)</x:v>
      </x:c>
      <x:c r="O115" s="82" t="str">
        <x:v>Silver</x:v>
      </x:c>
      <x:c r="P115" s="82" t="str">
        <x:v>Malaysia</x:v>
      </x:c>
      <x:c r="Q115" s="82" t="str"/>
      <x:c r="R115" s="82" t="str">
        <x:v>Outra linha</x:v>
      </x:c>
      <x:c r="S115" s="82" t="str">
        <x:v>Comum / atual</x:v>
      </x:c>
      <x:c r="T115" s="82" t="str">
        <x:v>Lançado</x:v>
      </x:c>
      <x:c r="U115" s="82" t="str">
        <x:v>Base code(s):</x:v>
      </x:c>
      <x:c r="V115" s="80" t="str">
        <x:v>Coleção principal (~1:64)</x:v>
      </x:c>
      <x:c r="W115" s="82" t="str">
        <x:v>https://hotwheels.fandom.com/wiki/BMW_M1_Procar</x:v>
      </x:c>
      <x:c r="X115" s="82" t="str">
        <x:v>https://hotwheels.fandom.com/wiki/BMW_M1_Procar</x:v>
      </x:c>
    </x:row>
    <x:row r="116">
      <x:c r="A116" s="80" t="str">
        <x:v>Não</x:v>
      </x:c>
      <x:c r="B116" s="80" t="str">
        <x:v>2 — Completar aos poucos</x:v>
      </x:c>
      <x:c r="C116" s="81" t="n">
        <x:v>2019</x:v>
      </x:c>
      <x:c r="D116" s="80" t="str">
        <x:v>BMW M3 GT2</x:v>
      </x:c>
      <x:c r="E116" s="80" t="str">
        <x:v>BMW M3 GT2</x:v>
      </x:c>
      <x:c r="F116" s="82" t="str">
        <x:v>Mystery Models (Series 2) 6/12</x:v>
      </x:c>
      <x:c r="G116" s="80" t="str"/>
      <x:c r="H116" s="80" t="str"/>
      <x:c r="I116" s="83" t="str">
        <x:v>GBD59</x:v>
      </x:c>
      <x:c r="J116" s="80" t="str">
        <x:v>Satin Gray</x:v>
      </x:c>
      <x:c r="K116" s="82" t="str">
        <x:v>Light Blue, Dark Blue &amp; Red Stripes, '6'</x:v>
      </x:c>
      <x:c r="L116" s="82" t="str">
        <x:v>White MC5</x:v>
      </x:c>
      <x:c r="M116" s="82" t="str">
        <x:v>Black / Plastic</x:v>
      </x:c>
      <x:c r="N116" s="82" t="str">
        <x:v>Tinted (Blue)</x:v>
      </x:c>
      <x:c r="O116" s="82" t="str">
        <x:v>Black</x:v>
      </x:c>
      <x:c r="P116" s="82" t="str">
        <x:v>Malaysia</x:v>
      </x:c>
      <x:c r="Q116" s="82" t="str"/>
      <x:c r="R116" s="82" t="str">
        <x:v>Outra linha</x:v>
      </x:c>
      <x:c r="S116" s="82" t="str">
        <x:v>Comum / atual</x:v>
      </x:c>
      <x:c r="T116" s="82" t="str">
        <x:v>Lançado</x:v>
      </x:c>
      <x:c r="U116" s="82" t="str"/>
      <x:c r="V116" s="80" t="str">
        <x:v>Coleção principal (~1:64)</x:v>
      </x:c>
      <x:c r="W116" s="82" t="str">
        <x:v>https://hotwheels.fandom.com/wiki/BMW_M3_GT2</x:v>
      </x:c>
      <x:c r="X116" s="82" t="str">
        <x:v>https://hotwheels.fandom.com/wiki/BMW_M3_GT2</x:v>
      </x:c>
    </x:row>
    <x:row r="117">
      <x:c r="A117" s="80" t="str">
        <x:v>Não</x:v>
      </x:c>
      <x:c r="B117" s="80" t="str">
        <x:v>2 — Completar aos poucos</x:v>
      </x:c>
      <x:c r="C117" s="81" t="n">
        <x:v>2018</x:v>
      </x:c>
      <x:c r="D117" s="80" t="str">
        <x:v>'10 BMW M3</x:v>
      </x:c>
      <x:c r="E117" s="80" t="str">
        <x:v>'10 BMW M3</x:v>
      </x:c>
      <x:c r="F117" s="82" t="str">
        <x:v>Car Meet 5-Pack</x:v>
      </x:c>
      <x:c r="G117" s="80" t="str"/>
      <x:c r="H117" s="80" t="str"/>
      <x:c r="I117" s="83" t="str">
        <x:v>FKT59</x:v>
      </x:c>
      <x:c r="J117" s="80" t="str">
        <x:v>White</x:v>
      </x:c>
      <x:c r="K117" s="82" t="str">
        <x:v>Red, dark blue &amp; light blue stripes on hood and sides, BMW logo on hood, "M Series" &amp; gray Hot Wheels logo on sides</x:v>
      </x:c>
      <x:c r="L117" s="82" t="str">
        <x:v>White rim, Black PR5</x:v>
      </x:c>
      <x:c r="M117" s="82" t="str">
        <x:v>Gray / Plastic</x:v>
      </x:c>
      <x:c r="N117" s="82" t="str">
        <x:v>Smoke tint</x:v>
      </x:c>
      <x:c r="O117" s="82" t="str">
        <x:v>Dark Blue</x:v>
      </x:c>
      <x:c r="P117" s="82" t="str">
        <x:v>Indonesia</x:v>
      </x:c>
      <x:c r="Q117" s="82" t="str"/>
      <x:c r="R117" s="82" t="str">
        <x:v>Temática / multipack</x:v>
      </x:c>
      <x:c r="S117" s="82" t="str">
        <x:v>Comum / atual</x:v>
      </x:c>
      <x:c r="T117" s="82" t="str">
        <x:v>Lançado</x:v>
      </x:c>
      <x:c r="U117" s="82" t="str">
        <x:v>Base codes: L09, L13, L20, L31, L33</x:v>
      </x:c>
      <x:c r="V117" s="80" t="str">
        <x:v>Coleção principal (~1:64)</x:v>
      </x:c>
      <x:c r="W117" s="82" t="str">
        <x:v>https://hotwheels.fandom.com/wiki/%2710_BMW_M3</x:v>
      </x:c>
      <x:c r="X117" s="82" t="str">
        <x:v>https://hotwheels.fandom.com/wiki/%2710_BMW_M3</x:v>
      </x:c>
    </x:row>
    <x:row r="118">
      <x:c r="A118" s="80" t="str">
        <x:v>Não</x:v>
      </x:c>
      <x:c r="B118" s="80" t="str">
        <x:v>2 — Completar aos poucos</x:v>
      </x:c>
      <x:c r="C118" s="81" t="n">
        <x:v>2018</x:v>
      </x:c>
      <x:c r="D118" s="80" t="str">
        <x:v>2016 BMW M2</x:v>
      </x:c>
      <x:c r="E118" s="80" t="str">
        <x:v>2016 BMW M2</x:v>
      </x:c>
      <x:c r="F118" s="82" t="str">
        <x:v>Factory Fresh 3/10</x:v>
      </x:c>
      <x:c r="G118" s="80" t="str"/>
      <x:c r="H118" s="80" t="str">
        <x:v>121/365</x:v>
      </x:c>
      <x:c r="I118" s="83" t="str">
        <x:v>FJV53</x:v>
      </x:c>
      <x:c r="J118" s="80" t="str">
        <x:v>Metalflake Blue</x:v>
      </x:c>
      <x:c r="K118" s="82" t="str">
        <x:v>Detailed head &amp; taillights</x:v>
      </x:c>
      <x:c r="L118" s="82" t="str">
        <x:v>Grey PR5</x:v>
      </x:c>
      <x:c r="M118" s="82" t="str">
        <x:v>Black / Plastic</x:v>
      </x:c>
      <x:c r="N118" s="82" t="str">
        <x:v>Smoke tint</x:v>
      </x:c>
      <x:c r="O118" s="82" t="str">
        <x:v>Black</x:v>
      </x:c>
      <x:c r="P118" s="82" t="str">
        <x:v>Malaysia</x:v>
      </x:c>
      <x:c r="Q118" s="82" t="str"/>
      <x:c r="R118" s="82" t="str">
        <x:v>Mainline</x:v>
      </x:c>
      <x:c r="S118" s="82" t="str">
        <x:v>Comum / atual</x:v>
      </x:c>
      <x:c r="T118" s="82" t="str">
        <x:v>Lançado</x:v>
      </x:c>
      <x:c r="U118" s="82" t="str">
        <x:v>New Models Base code(s): K48, K52, L01, L02, L04</x:v>
      </x:c>
      <x:c r="V118" s="80" t="str">
        <x:v>Coleção principal (~1:64)</x:v>
      </x:c>
      <x:c r="W118" s="82" t="str">
        <x:v>https://hotwheels.fandom.com/wiki/2016_BMW_M2</x:v>
      </x:c>
      <x:c r="X118" s="82" t="str">
        <x:v>https://hotwheels.fandom.com/wiki/2016_BMW_M2</x:v>
      </x:c>
    </x:row>
    <x:row r="119">
      <x:c r="A119" s="80" t="str">
        <x:v>Não</x:v>
      </x:c>
      <x:c r="B119" s="80" t="str">
        <x:v>2 — Completar aos poucos</x:v>
      </x:c>
      <x:c r="C119" s="81" t="n">
        <x:v>2018</x:v>
      </x:c>
      <x:c r="D119" s="80" t="str">
        <x:v>2016 BMW M2</x:v>
      </x:c>
      <x:c r="E119" s="80" t="str">
        <x:v>2016 BMW M2</x:v>
      </x:c>
      <x:c r="F119" s="82" t="str">
        <x:v>Factory Fresh 3/10</x:v>
      </x:c>
      <x:c r="G119" s="80" t="str"/>
      <x:c r="H119" s="80" t="str">
        <x:v>254/365</x:v>
      </x:c>
      <x:c r="I119" s="83" t="str">
        <x:v>FJY17</x:v>
      </x:c>
      <x:c r="J119" s="80" t="str">
        <x:v>Toronto Red</x:v>
      </x:c>
      <x:c r="K119" s="82" t="str">
        <x:v>Detailed head &amp; taillights</x:v>
      </x:c>
      <x:c r="L119" s="82" t="str">
        <x:v>Grey PR5</x:v>
      </x:c>
      <x:c r="M119" s="82" t="str">
        <x:v>Black / Plastic</x:v>
      </x:c>
      <x:c r="N119" s="82" t="str">
        <x:v>Smoke tint</x:v>
      </x:c>
      <x:c r="O119" s="82" t="str">
        <x:v>Black</x:v>
      </x:c>
      <x:c r="P119" s="82" t="str">
        <x:v>Malaysia</x:v>
      </x:c>
      <x:c r="Q119" s="82" t="str"/>
      <x:c r="R119" s="82" t="str">
        <x:v>Mainline</x:v>
      </x:c>
      <x:c r="S119" s="82" t="str">
        <x:v>Comum / atual</x:v>
      </x:c>
      <x:c r="T119" s="82" t="str">
        <x:v>Lançado</x:v>
      </x:c>
      <x:c r="U119" s="82" t="str">
        <x:v>New Models Base code(s): L12, L14, L15, L16, L18</x:v>
      </x:c>
      <x:c r="V119" s="80" t="str">
        <x:v>Coleção principal (~1:64)</x:v>
      </x:c>
      <x:c r="W119" s="82" t="str">
        <x:v>https://hotwheels.fandom.com/wiki/2016_BMW_M2</x:v>
      </x:c>
      <x:c r="X119" s="82" t="str">
        <x:v>https://hotwheels.fandom.com/wiki/2016_BMW_M2</x:v>
      </x:c>
    </x:row>
    <x:row r="120">
      <x:c r="A120" s="80" t="str">
        <x:v>Não</x:v>
      </x:c>
      <x:c r="B120" s="80" t="str">
        <x:v>2 — Completar aos poucos</x:v>
      </x:c>
      <x:c r="C120" s="81" t="n">
        <x:v>2018</x:v>
      </x:c>
      <x:c r="D120" s="80" t="str">
        <x:v>BMW 2002</x:v>
      </x:c>
      <x:c r="E120" s="80" t="str">
        <x:v>BMW 2002</x:v>
      </x:c>
      <x:c r="F120" s="82" t="str">
        <x:v>Replica Entertainment: Forza Motorsport 3/5</x:v>
      </x:c>
      <x:c r="G120" s="80" t="str"/>
      <x:c r="H120" s="80" t="str"/>
      <x:c r="I120" s="83" t="str">
        <x:v>FLD21</x:v>
      </x:c>
      <x:c r="J120" s="80" t="str">
        <x:v>Pearl White</x:v>
      </x:c>
      <x:c r="K120" s="82" t="str">
        <x:v>Blue &amp; Red stripes, Forza, Xbox, Bilstein, Goodyear on sides, Forza Motorsport on Hood</x:v>
      </x:c>
      <x:c r="L120" s="82" t="str">
        <x:v>Goodyear Grey RR8SP</x:v>
      </x:c>
      <x:c r="M120" s="82" t="str">
        <x:v>ZAMAC</x:v>
      </x:c>
      <x:c r="N120" s="82" t="str">
        <x:v>Clear</x:v>
      </x:c>
      <x:c r="O120" s="82" t="str">
        <x:v>Grey</x:v>
      </x:c>
      <x:c r="P120" s="82" t="str">
        <x:v>Thailand</x:v>
      </x:c>
      <x:c r="Q120" s="82" t="str"/>
      <x:c r="R120" s="82" t="str">
        <x:v>Premium</x:v>
      </x:c>
      <x:c r="S120" s="82" t="str">
        <x:v>Incomum</x:v>
      </x:c>
      <x:c r="T120" s="82" t="str">
        <x:v>Lançado</x:v>
      </x:c>
      <x:c r="U120" s="82" t="str">
        <x:v>Base codes: L29, L31, L32</x:v>
      </x:c>
      <x:c r="V120" s="80" t="str">
        <x:v>Coleção principal (~1:64)</x:v>
      </x:c>
      <x:c r="W120" s="82" t="str">
        <x:v>https://hotwheels.fandom.com/wiki/BMW_2002</x:v>
      </x:c>
      <x:c r="X120" s="82" t="str">
        <x:v>https://hotwheels.fandom.com/wiki/BMW_2002</x:v>
      </x:c>
    </x:row>
    <x:row r="121">
      <x:c r="A121" s="80" t="str">
        <x:v>Não</x:v>
      </x:c>
      <x:c r="B121" s="80" t="str">
        <x:v>2 — Completar aos poucos</x:v>
      </x:c>
      <x:c r="C121" s="81" t="n">
        <x:v>2018</x:v>
      </x:c>
      <x:c r="D121" s="80" t="str">
        <x:v>BMW M1 Procar</x:v>
      </x:c>
      <x:c r="E121" s="80" t="str">
        <x:v>BMW M1 Procar</x:v>
      </x:c>
      <x:c r="F121" s="82" t="str">
        <x:v>Car Culture: Eurospeed 2/5</x:v>
      </x:c>
      <x:c r="G121" s="80" t="str"/>
      <x:c r="H121" s="80" t="str"/>
      <x:c r="I121" s="83" t="str">
        <x:v>FLC16</x:v>
      </x:c>
      <x:c r="J121" s="80" t="str">
        <x:v>Black</x:v>
      </x:c>
      <x:c r="K121" s="82" t="str">
        <x:v>Yellow, Blue 7 Green stripes, 'Project Cars', &amp; '15' on sides &amp; top</x:v>
      </x:c>
      <x:c r="L121" s="82" t="str">
        <x:v>Gold MCRR</x:v>
      </x:c>
      <x:c r="M121" s="82" t="str">
        <x:v>Unpainted / Metal</x:v>
      </x:c>
      <x:c r="N121" s="82" t="str">
        <x:v>Tinted (Black)</x:v>
      </x:c>
      <x:c r="O121" s="82" t="str">
        <x:v>Black</x:v>
      </x:c>
      <x:c r="P121" s="82" t="str">
        <x:v>Thailand</x:v>
      </x:c>
      <x:c r="Q121" s="82" t="str"/>
      <x:c r="R121" s="82" t="str">
        <x:v>Premium</x:v>
      </x:c>
      <x:c r="S121" s="82" t="str">
        <x:v>Incomum</x:v>
      </x:c>
      <x:c r="T121" s="82" t="str">
        <x:v>Lançado</x:v>
      </x:c>
      <x:c r="U121" s="82" t="str">
        <x:v>Base code(s): L11, L12, L13</x:v>
      </x:c>
      <x:c r="V121" s="80" t="str">
        <x:v>Coleção principal (~1:64)</x:v>
      </x:c>
      <x:c r="W121" s="82" t="str">
        <x:v>https://hotwheels.fandom.com/wiki/BMW_M1_Procar</x:v>
      </x:c>
      <x:c r="X121" s="82" t="str">
        <x:v>https://hotwheels.fandom.com/wiki/BMW_M1_Procar</x:v>
      </x:c>
    </x:row>
    <x:row r="122">
      <x:c r="A122" s="80" t="str">
        <x:v>Não</x:v>
      </x:c>
      <x:c r="B122" s="80" t="str">
        <x:v>2 — Completar aos poucos</x:v>
      </x:c>
      <x:c r="C122" s="81" t="n">
        <x:v>2018</x:v>
      </x:c>
      <x:c r="D122" s="80" t="str">
        <x:v>BMW M4</x:v>
      </x:c>
      <x:c r="E122" s="80" t="str">
        <x:v>BMW M4</x:v>
      </x:c>
      <x:c r="F122" s="82" t="str">
        <x:v>Gran Turismo 6/8</x:v>
      </x:c>
      <x:c r="G122" s="80" t="str"/>
      <x:c r="H122" s="80" t="str"/>
      <x:c r="I122" s="83" t="str">
        <x:v>FKF32</x:v>
      </x:c>
      <x:c r="J122" s="80" t="str">
        <x:v>White</x:v>
      </x:c>
      <x:c r="K122" s="82" t="str">
        <x:v>Red, Light Blue &amp; Dark Blue Stripes on hood, 'M Performance Safety Car' on side</x:v>
      </x:c>
      <x:c r="L122" s="82" t="str">
        <x:v>Gray PR5</x:v>
      </x:c>
      <x:c r="M122" s="82" t="str">
        <x:v>Black / Plastic</x:v>
      </x:c>
      <x:c r="N122" s="82" t="str">
        <x:v>Smoke tint</x:v>
      </x:c>
      <x:c r="O122" s="82" t="str">
        <x:v>Black</x:v>
      </x:c>
      <x:c r="P122" s="82" t="str">
        <x:v>Thailand</x:v>
      </x:c>
      <x:c r="Q122" s="82" t="str"/>
      <x:c r="R122" s="82" t="str">
        <x:v>Outra linha</x:v>
      </x:c>
      <x:c r="S122" s="82" t="str">
        <x:v>Comum / atual</x:v>
      </x:c>
      <x:c r="T122" s="82" t="str">
        <x:v>Lançado</x:v>
      </x:c>
      <x:c r="U122" s="82" t="str">
        <x:v>Base code(s): L09, L17, L19</x:v>
      </x:c>
      <x:c r="V122" s="80" t="str">
        <x:v>Coleção principal (~1:64)</x:v>
      </x:c>
      <x:c r="W122" s="82" t="str">
        <x:v>https://hotwheels.fandom.com/wiki/BMW_M4</x:v>
      </x:c>
      <x:c r="X122" s="82" t="str">
        <x:v>https://hotwheels.fandom.com/wiki/BMW_M4</x:v>
      </x:c>
    </x:row>
    <x:row r="123">
      <x:c r="A123" s="80" t="str">
        <x:v>Não</x:v>
      </x:c>
      <x:c r="B123" s="80" t="str">
        <x:v>2 — Completar aos poucos</x:v>
      </x:c>
      <x:c r="C123" s="81" t="n">
        <x:v>2017</x:v>
      </x:c>
      <x:c r="D123" s="80" t="str">
        <x:v>'73 BMW 3.0 CSL Race Car</x:v>
      </x:c>
      <x:c r="E123" s="80" t="str">
        <x:v>'73 BMW 3.0 CSL Race Car</x:v>
      </x:c>
      <x:c r="F123" s="82" t="str">
        <x:v>FRD90</x:v>
      </x:c>
      <x:c r="G123" s="80" t="str"/>
      <x:c r="H123" s="80" t="str">
        <x:v>Replica Entertainment: Forza Motorsport 5-Car Premium Set</x:v>
      </x:c>
      <x:c r="I123" s="83" t="str"/>
      <x:c r="J123" s="80" t="str">
        <x:v>Pearl White</x:v>
      </x:c>
      <x:c r="K123" s="82" t="str">
        <x:v>Front &amp; rear lights. FORZA logos on the sides and Hood.</x:v>
      </x:c>
      <x:c r="L123" s="82" t="str">
        <x:v>Goodyear Gold RREURO</x:v>
      </x:c>
      <x:c r="M123" s="82" t="str">
        <x:v>White Pearl / Metal</x:v>
      </x:c>
      <x:c r="N123" s="82" t="str">
        <x:v>Smoke tint</x:v>
      </x:c>
      <x:c r="O123" s="82" t="str">
        <x:v>Black</x:v>
      </x:c>
      <x:c r="P123" s="82" t="str">
        <x:v>Malaysia</x:v>
      </x:c>
      <x:c r="Q123" s="82" t="str"/>
      <x:c r="R123" s="82" t="str">
        <x:v>Mainline</x:v>
      </x:c>
      <x:c r="S123" s="82" t="str">
        <x:v>Comum / atual</x:v>
      </x:c>
      <x:c r="T123" s="82" t="str">
        <x:v>Lançado</x:v>
      </x:c>
      <x:c r="U123" s="82" t="str">
        <x:v>Base code(s): K37, K39, K44</x:v>
      </x:c>
      <x:c r="V123" s="80" t="str">
        <x:v>Coleção principal (~1:64)</x:v>
      </x:c>
      <x:c r="W123" s="82" t="str">
        <x:v>https://hotwheels.fandom.com/wiki/%2773_BMW_3.0_CSL_Race_Car</x:v>
      </x:c>
      <x:c r="X123" s="82" t="str">
        <x:v>https://hotwheels.fandom.com/wiki/%2773_BMW_3.0_CSL_Race_Car</x:v>
      </x:c>
    </x:row>
    <x:row r="124">
      <x:c r="A124" s="80" t="str">
        <x:v>Não</x:v>
      </x:c>
      <x:c r="B124" s="80" t="str">
        <x:v>2 — Completar aos poucos</x:v>
      </x:c>
      <x:c r="C124" s="81" t="n">
        <x:v>2017</x:v>
      </x:c>
      <x:c r="D124" s="80" t="str">
        <x:v>'73 BMW 3.0 CSL Race Car</x:v>
      </x:c>
      <x:c r="E124" s="80" t="str">
        <x:v>'73 BMW 3.0 CSL Race Car</x:v>
      </x:c>
      <x:c r="F124" s="82" t="str">
        <x:v>HW Speed Graphics 4/10</x:v>
      </x:c>
      <x:c r="G124" s="80" t="str"/>
      <x:c r="H124" s="80" t="str">
        <x:v>057/365</x:v>
      </x:c>
      <x:c r="I124" s="83" t="str">
        <x:v>DTX60</x:v>
      </x:c>
      <x:c r="J124" s="80" t="str">
        <x:v>Black</x:v>
      </x:c>
      <x:c r="K124" s="82" t="str">
        <x:v>Red, Green &amp; White stripes, '7' &amp; 'Castrol' on sides &amp; hood</x:v>
      </x:c>
      <x:c r="L124" s="82" t="str">
        <x:v>LW</x:v>
      </x:c>
      <x:c r="M124" s="82" t="str">
        <x:v>Black / Plastic</x:v>
      </x:c>
      <x:c r="N124" s="82" t="str">
        <x:v>Smoke tint</x:v>
      </x:c>
      <x:c r="O124" s="82" t="str">
        <x:v>Black</x:v>
      </x:c>
      <x:c r="P124" s="82" t="str">
        <x:v>Malaysia</x:v>
      </x:c>
      <x:c r="Q124" s="82" t="str"/>
      <x:c r="R124" s="82" t="str">
        <x:v>Mainline</x:v>
      </x:c>
      <x:c r="S124" s="82" t="str">
        <x:v>Comum / atual</x:v>
      </x:c>
      <x:c r="T124" s="82" t="str">
        <x:v>Lançado</x:v>
      </x:c>
      <x:c r="U124" s="82" t="str">
        <x:v>Base code(s): J39, J41, J42</x:v>
      </x:c>
      <x:c r="V124" s="80" t="str">
        <x:v>Coleção principal (~1:64)</x:v>
      </x:c>
      <x:c r="W124" s="82" t="str">
        <x:v>https://hotwheels.fandom.com/wiki/%2773_BMW_3.0_CSL_Race_Car</x:v>
      </x:c>
      <x:c r="X124" s="82" t="str">
        <x:v>https://hotwheels.fandom.com/wiki/%2773_BMW_3.0_CSL_Race_Car</x:v>
      </x:c>
    </x:row>
    <x:row r="125">
      <x:c r="A125" s="80" t="str">
        <x:v>Não</x:v>
      </x:c>
      <x:c r="B125" s="80" t="str">
        <x:v>2 — Completar aos poucos</x:v>
      </x:c>
      <x:c r="C125" s="81" t="n">
        <x:v>2017</x:v>
      </x:c>
      <x:c r="D125" s="80" t="str">
        <x:v>'73 BMW 3.0 CSL Race Car</x:v>
      </x:c>
      <x:c r="E125" s="80" t="str">
        <x:v>'73 BMW 3.0 CSL Race Car</x:v>
      </x:c>
      <x:c r="F125" s="82" t="str">
        <x:v>HW Speed Graphics 4/10</x:v>
      </x:c>
      <x:c r="G125" s="80" t="str"/>
      <x:c r="H125" s="80" t="str">
        <x:v>057/365</x:v>
      </x:c>
      <x:c r="I125" s="83" t="str">
        <x:v>DTX60</x:v>
      </x:c>
      <x:c r="J125" s="80" t="str">
        <x:v>Black</x:v>
      </x:c>
      <x:c r="K125" s="82" t="str">
        <x:v>Red, Green &amp; White stripes, '7' &amp; 'Castrol' on sides &amp; hood</x:v>
      </x:c>
      <x:c r="L125" s="82" t="str">
        <x:v>J5</x:v>
      </x:c>
      <x:c r="M125" s="82" t="str">
        <x:v>Black / Plastic</x:v>
      </x:c>
      <x:c r="N125" s="82" t="str">
        <x:v>Smoke tint</x:v>
      </x:c>
      <x:c r="O125" s="82" t="str">
        <x:v>Black</x:v>
      </x:c>
      <x:c r="P125" s="82" t="str">
        <x:v>Malaysia</x:v>
      </x:c>
      <x:c r="Q125" s="82" t="str"/>
      <x:c r="R125" s="82" t="str">
        <x:v>Mainline</x:v>
      </x:c>
      <x:c r="S125" s="82" t="str">
        <x:v>Comum / atual</x:v>
      </x:c>
      <x:c r="T125" s="82" t="str">
        <x:v>Lançado</x:v>
      </x:c>
      <x:c r="U125" s="82" t="str">
        <x:v>Rare variation Base code(s): J42</x:v>
      </x:c>
      <x:c r="V125" s="80" t="str">
        <x:v>Coleção principal (~1:64)</x:v>
      </x:c>
      <x:c r="W125" s="82" t="str">
        <x:v>https://hotwheels.fandom.com/wiki/%2773_BMW_3.0_CSL_Race_Car</x:v>
      </x:c>
      <x:c r="X125" s="82" t="str">
        <x:v>https://hotwheels.fandom.com/wiki/%2773_BMW_3.0_CSL_Race_Car</x:v>
      </x:c>
    </x:row>
    <x:row r="126">
      <x:c r="A126" s="80" t="str">
        <x:v>Não</x:v>
      </x:c>
      <x:c r="B126" s="80" t="str">
        <x:v>2 — Completar aos poucos</x:v>
      </x:c>
      <x:c r="C126" s="81" t="n">
        <x:v>2017</x:v>
      </x:c>
      <x:c r="D126" s="80" t="str">
        <x:v>'73 BMW 3.0 CSL Race Car</x:v>
      </x:c>
      <x:c r="E126" s="80" t="str">
        <x:v>'73 BMW 3.0 CSL Race Car</x:v>
      </x:c>
      <x:c r="F126" s="82" t="str">
        <x:v>HW Speed Graphics 4/10</x:v>
      </x:c>
      <x:c r="G126" s="80" t="str"/>
      <x:c r="H126" s="80" t="str">
        <x:v>057/365</x:v>
      </x:c>
      <x:c r="I126" s="83" t="str">
        <x:v>FBJ03</x:v>
      </x:c>
      <x:c r="J126" s="80" t="str">
        <x:v>ZAMAC</x:v>
      </x:c>
      <x:c r="K126" s="82" t="str">
        <x:v>Red, Green &amp; White stripes, '7' &amp; 'Castrol' on sides &amp; hood</x:v>
      </x:c>
      <x:c r="L126" s="82" t="str">
        <x:v>Chrome Rim, Black MC5</x:v>
      </x:c>
      <x:c r="M126" s="82" t="str">
        <x:v>Chrome / Plastic</x:v>
      </x:c>
      <x:c r="N126" s="82" t="str">
        <x:v>Smoke tint</x:v>
      </x:c>
      <x:c r="O126" s="82" t="str">
        <x:v>Grey Satin</x:v>
      </x:c>
      <x:c r="P126" s="82" t="str">
        <x:v>Malaysia</x:v>
      </x:c>
      <x:c r="Q126" s="82" t="str">
        <x:v>ZAMAC, Walmart</x:v>
      </x:c>
      <x:c r="R126" s="82" t="str">
        <x:v>Mainline</x:v>
      </x:c>
      <x:c r="S126" s="82" t="str">
        <x:v>Rara</x:v>
      </x:c>
      <x:c r="T126" s="82" t="str">
        <x:v>Lançado</x:v>
      </x:c>
      <x:c r="U126" s="82" t="str">
        <x:v>Walmart ExclusivePlayable in Unleashed Base code(s): J45, J46</x:v>
      </x:c>
      <x:c r="V126" s="80" t="str">
        <x:v>Coleção principal (~1:64)</x:v>
      </x:c>
      <x:c r="W126" s="82" t="str">
        <x:v>https://hotwheels.fandom.com/wiki/%2773_BMW_3.0_CSL_Race_Car</x:v>
      </x:c>
      <x:c r="X126" s="82" t="str">
        <x:v>https://hotwheels.fandom.com/wiki/%2773_BMW_3.0_CSL_Race_Car</x:v>
      </x:c>
    </x:row>
    <x:row r="127">
      <x:c r="A127" s="80" t="str">
        <x:v>Não</x:v>
      </x:c>
      <x:c r="B127" s="80" t="str">
        <x:v>2 — Completar aos poucos</x:v>
      </x:c>
      <x:c r="C127" s="81" t="n">
        <x:v>2017</x:v>
      </x:c>
      <x:c r="D127" s="80" t="str">
        <x:v>'73 BMW 3.0 CSL Race Car</x:v>
      </x:c>
      <x:c r="E127" s="80" t="str">
        <x:v>'73 BMW 3.0 CSL Race Car</x:v>
      </x:c>
      <x:c r="F127" s="82" t="str">
        <x:v>Replica Entertainment: Forza Motorsport 2/5</x:v>
      </x:c>
      <x:c r="G127" s="80" t="str"/>
      <x:c r="H127" s="80" t="str"/>
      <x:c r="I127" s="83" t="str">
        <x:v>DWJ95</x:v>
      </x:c>
      <x:c r="J127" s="80" t="str">
        <x:v>Pearl White</x:v>
      </x:c>
      <x:c r="K127" s="82" t="str">
        <x:v>Front &amp; rear lights. FORZA logos on the sides and Hood.</x:v>
      </x:c>
      <x:c r="L127" s="82" t="str">
        <x:v>Goodyear Gold RREURO</x:v>
      </x:c>
      <x:c r="M127" s="82" t="str">
        <x:v>White Pearl / Metal</x:v>
      </x:c>
      <x:c r="N127" s="82" t="str">
        <x:v>Smoke tint</x:v>
      </x:c>
      <x:c r="O127" s="82" t="str">
        <x:v>Black</x:v>
      </x:c>
      <x:c r="P127" s="82" t="str">
        <x:v>Malaysia</x:v>
      </x:c>
      <x:c r="Q127" s="82" t="str"/>
      <x:c r="R127" s="82" t="str">
        <x:v>Premium</x:v>
      </x:c>
      <x:c r="S127" s="82" t="str">
        <x:v>Incomum</x:v>
      </x:c>
      <x:c r="T127" s="82" t="str">
        <x:v>Lançado</x:v>
      </x:c>
      <x:c r="U127" s="82" t="str">
        <x:v>Base code(s): K37, K39, K44</x:v>
      </x:c>
      <x:c r="V127" s="80" t="str">
        <x:v>Coleção principal (~1:64)</x:v>
      </x:c>
      <x:c r="W127" s="82" t="str">
        <x:v>https://hotwheels.fandom.com/wiki/%2773_BMW_3.0_CSL_Race_Car</x:v>
      </x:c>
      <x:c r="X127" s="82" t="str">
        <x:v>https://hotwheels.fandom.com/wiki/%2773_BMW_3.0_CSL_Race_Car</x:v>
      </x:c>
    </x:row>
    <x:row r="128">
      <x:c r="A128" s="80" t="str">
        <x:v>Não</x:v>
      </x:c>
      <x:c r="B128" s="80" t="str">
        <x:v>2 — Completar aos poucos</x:v>
      </x:c>
      <x:c r="C128" s="81" t="n">
        <x:v>2017</x:v>
      </x:c>
      <x:c r="D128" s="80" t="str">
        <x:v>'92 BMW M3</x:v>
      </x:c>
      <x:c r="E128" s="80" t="str">
        <x:v>'92 BMW M3</x:v>
      </x:c>
      <x:c r="F128" s="82" t="str">
        <x:v>Car Culture: Modern Classics 1/5</x:v>
      </x:c>
      <x:c r="G128" s="80" t="str"/>
      <x:c r="H128" s="80" t="str"/>
      <x:c r="I128" s="83" t="str">
        <x:v>DWH70</x:v>
      </x:c>
      <x:c r="J128" s="80" t="str">
        <x:v>Dark Blue</x:v>
      </x:c>
      <x:c r="K128" s="82" t="str">
        <x:v>Wide Red &amp; Blue stripes</x:v>
      </x:c>
      <x:c r="L128" s="82" t="str">
        <x:v>Chrome and Black RRA</x:v>
      </x:c>
      <x:c r="M128" s="82" t="str">
        <x:v>Unpainted / Metal</x:v>
      </x:c>
      <x:c r="N128" s="82" t="str">
        <x:v>Clear</x:v>
      </x:c>
      <x:c r="O128" s="82" t="str">
        <x:v>Black</x:v>
      </x:c>
      <x:c r="P128" s="82" t="str">
        <x:v>Thailand</x:v>
      </x:c>
      <x:c r="Q128" s="82" t="str"/>
      <x:c r="R128" s="82" t="str">
        <x:v>Premium</x:v>
      </x:c>
      <x:c r="S128" s="82" t="str">
        <x:v>Incomum</x:v>
      </x:c>
      <x:c r="T128" s="82" t="str">
        <x:v>Lançado</x:v>
      </x:c>
      <x:c r="U128" s="82" t="str">
        <x:v>Base code(s): K24, K29, K30</x:v>
      </x:c>
      <x:c r="V128" s="80" t="str">
        <x:v>Coleção principal (~1:64)</x:v>
      </x:c>
      <x:c r="W128" s="82" t="str">
        <x:v>https://hotwheels.fandom.com/wiki/%2792_BMW_M3</x:v>
      </x:c>
      <x:c r="X128" s="82" t="str">
        <x:v>https://hotwheels.fandom.com/wiki/%2792_BMW_M3</x:v>
      </x:c>
    </x:row>
    <x:row r="129">
      <x:c r="A129" s="80" t="str">
        <x:v>Não</x:v>
      </x:c>
      <x:c r="B129" s="80" t="str">
        <x:v>2 — Completar aos poucos</x:v>
      </x:c>
      <x:c r="C129" s="81" t="n">
        <x:v>2017</x:v>
      </x:c>
      <x:c r="D129" s="80" t="str">
        <x:v>BMW M1 Procar</x:v>
      </x:c>
      <x:c r="E129" s="80" t="str">
        <x:v>BMW M1 Procar</x:v>
      </x:c>
      <x:c r="F129" s="82" t="str">
        <x:v>Car Culture: Cars &amp; Donuts 4/5</x:v>
      </x:c>
      <x:c r="G129" s="80" t="str"/>
      <x:c r="H129" s="80" t="str"/>
      <x:c r="I129" s="83" t="str">
        <x:v>DWH86</x:v>
      </x:c>
      <x:c r="J129" s="80" t="str">
        <x:v>White</x:v>
      </x:c>
      <x:c r="K129" s="82" t="str">
        <x:v>Red, Blue &amp; Light Blue stripes, &amp; '79' on sides &amp; top</x:v>
      </x:c>
      <x:c r="L129" s="82" t="str">
        <x:v>Chrome &amp; Gold D7RR</x:v>
      </x:c>
      <x:c r="M129" s="82" t="str">
        <x:v>Unpainted / Metal</x:v>
      </x:c>
      <x:c r="N129" s="82" t="str">
        <x:v>Tinted (Black)</x:v>
      </x:c>
      <x:c r="O129" s="82" t="str">
        <x:v>Black</x:v>
      </x:c>
      <x:c r="P129" s="82" t="str">
        <x:v>Thailand</x:v>
      </x:c>
      <x:c r="Q129" s="82" t="str"/>
      <x:c r="R129" s="82" t="str">
        <x:v>Premium</x:v>
      </x:c>
      <x:c r="S129" s="82" t="str">
        <x:v>Incomum</x:v>
      </x:c>
      <x:c r="T129" s="82" t="str">
        <x:v>Lançado</x:v>
      </x:c>
      <x:c r="U129" s="82" t="str">
        <x:v>Base code(s): K37, K38, K40</x:v>
      </x:c>
      <x:c r="V129" s="80" t="str">
        <x:v>Coleção principal (~1:64)</x:v>
      </x:c>
      <x:c r="W129" s="82" t="str">
        <x:v>https://hotwheels.fandom.com/wiki/BMW_M1_Procar</x:v>
      </x:c>
      <x:c r="X129" s="82" t="str">
        <x:v>https://hotwheels.fandom.com/wiki/BMW_M1_Procar</x:v>
      </x:c>
    </x:row>
    <x:row r="130">
      <x:c r="A130" s="80" t="str">
        <x:v>Não</x:v>
      </x:c>
      <x:c r="B130" s="80" t="str">
        <x:v>2 — Completar aos poucos</x:v>
      </x:c>
      <x:c r="C130" s="81" t="n">
        <x:v>2017</x:v>
      </x:c>
      <x:c r="D130" s="80" t="str">
        <x:v>BMW M4</x:v>
      </x:c>
      <x:c r="E130" s="80" t="str">
        <x:v>BMW M4</x:v>
      </x:c>
      <x:c r="F130" s="82" t="str">
        <x:v>Factory Fresh 8/10</x:v>
      </x:c>
      <x:c r="G130" s="80" t="str"/>
      <x:c r="H130" s="80" t="str">
        <x:v>055/365</x:v>
      </x:c>
      <x:c r="I130" s="83" t="str">
        <x:v>DTX57</x:v>
      </x:c>
      <x:c r="J130" s="80" t="str">
        <x:v>Metalflake Dark Blue</x:v>
      </x:c>
      <x:c r="K130" s="82" t="str">
        <x:v>Detailed Front &amp; Rear</x:v>
      </x:c>
      <x:c r="L130" s="82" t="str">
        <x:v>J5</x:v>
      </x:c>
      <x:c r="M130" s="82" t="str">
        <x:v>Black / Plastic</x:v>
      </x:c>
      <x:c r="N130" s="82" t="str">
        <x:v>Heavy smoke tint</x:v>
      </x:c>
      <x:c r="O130" s="82" t="str">
        <x:v>Grey</x:v>
      </x:c>
      <x:c r="P130" s="82" t="str">
        <x:v>Malaysia</x:v>
      </x:c>
      <x:c r="Q130" s="82" t="str"/>
      <x:c r="R130" s="82" t="str">
        <x:v>Mainline</x:v>
      </x:c>
      <x:c r="S130" s="82" t="str">
        <x:v>Comum / atual</x:v>
      </x:c>
      <x:c r="T130" s="82" t="str">
        <x:v>Lançado</x:v>
      </x:c>
      <x:c r="U130" s="82" t="str">
        <x:v>Base code(s): J39, J40, J48</x:v>
      </x:c>
      <x:c r="V130" s="80" t="str">
        <x:v>Coleção principal (~1:64)</x:v>
      </x:c>
      <x:c r="W130" s="82" t="str">
        <x:v>https://hotwheels.fandom.com/wiki/BMW_M4</x:v>
      </x:c>
      <x:c r="X130" s="82" t="str">
        <x:v>https://hotwheels.fandom.com/wiki/BMW_M4</x:v>
      </x:c>
    </x:row>
    <x:row r="131">
      <x:c r="A131" s="80" t="str">
        <x:v>Não</x:v>
      </x:c>
      <x:c r="B131" s="80" t="str">
        <x:v>2 — Completar aos poucos</x:v>
      </x:c>
      <x:c r="C131" s="81" t="n">
        <x:v>2017</x:v>
      </x:c>
      <x:c r="D131" s="80" t="str">
        <x:v>BMW M4</x:v>
      </x:c>
      <x:c r="E131" s="80" t="str">
        <x:v>BMW M4</x:v>
      </x:c>
      <x:c r="F131" s="82" t="str">
        <x:v>Factory Fresh 8/10</x:v>
      </x:c>
      <x:c r="G131" s="80" t="str"/>
      <x:c r="H131" s="80" t="str">
        <x:v>055/365</x:v>
      </x:c>
      <x:c r="I131" s="83" t="str">
        <x:v>DTX57</x:v>
      </x:c>
      <x:c r="J131" s="80" t="str">
        <x:v>Metalflake Dark Blue</x:v>
      </x:c>
      <x:c r="K131" s="82" t="str">
        <x:v>Detailed Front &amp; Rear</x:v>
      </x:c>
      <x:c r="L131" s="82" t="str">
        <x:v>MC5</x:v>
      </x:c>
      <x:c r="M131" s="82" t="str">
        <x:v>Black / Plastic</x:v>
      </x:c>
      <x:c r="N131" s="82" t="str">
        <x:v>Heavy smoke tint</x:v>
      </x:c>
      <x:c r="O131" s="82" t="str">
        <x:v>Grey</x:v>
      </x:c>
      <x:c r="P131" s="82" t="str">
        <x:v>Malaysia</x:v>
      </x:c>
      <x:c r="Q131" s="82" t="str"/>
      <x:c r="R131" s="82" t="str">
        <x:v>Mainline</x:v>
      </x:c>
      <x:c r="S131" s="82" t="str">
        <x:v>Comum / atual</x:v>
      </x:c>
      <x:c r="T131" s="82" t="str">
        <x:v>Lançado</x:v>
      </x:c>
      <x:c r="U131" s="82" t="str">
        <x:v>Base code(s):</x:v>
      </x:c>
      <x:c r="V131" s="80" t="str">
        <x:v>Coleção principal (~1:64)</x:v>
      </x:c>
      <x:c r="W131" s="82" t="str">
        <x:v>https://hotwheels.fandom.com/wiki/BMW_M4</x:v>
      </x:c>
      <x:c r="X131" s="82" t="str">
        <x:v>https://hotwheels.fandom.com/wiki/BMW_M4</x:v>
      </x:c>
    </x:row>
    <x:row r="132">
      <x:c r="A132" s="80" t="str">
        <x:v>Não</x:v>
      </x:c>
      <x:c r="B132" s="80" t="str">
        <x:v>2 — Completar aos poucos</x:v>
      </x:c>
      <x:c r="C132" s="81" t="n">
        <x:v>2017</x:v>
      </x:c>
      <x:c r="D132" s="80" t="str">
        <x:v>BMW M4</x:v>
      </x:c>
      <x:c r="E132" s="80" t="str">
        <x:v>BMW M4</x:v>
      </x:c>
      <x:c r="F132" s="82" t="str">
        <x:v>Factory Fresh 8/10</x:v>
      </x:c>
      <x:c r="G132" s="80" t="str"/>
      <x:c r="H132" s="80" t="str">
        <x:v>154/365</x:v>
      </x:c>
      <x:c r="I132" s="83" t="str">
        <x:v>DVB57</x:v>
      </x:c>
      <x:c r="J132" s="80" t="str">
        <x:v>Metalflake Steel Blue</x:v>
      </x:c>
      <x:c r="K132" s="82" t="str">
        <x:v>Detailed Front &amp; Rear</x:v>
      </x:c>
      <x:c r="L132" s="82" t="str">
        <x:v>J5</x:v>
      </x:c>
      <x:c r="M132" s="82" t="str">
        <x:v>Black / Plastic</x:v>
      </x:c>
      <x:c r="N132" s="82" t="str">
        <x:v>Heavy smoke tint</x:v>
      </x:c>
      <x:c r="O132" s="82" t="str">
        <x:v>Grey</x:v>
      </x:c>
      <x:c r="P132" s="82" t="str">
        <x:v>Malaysia</x:v>
      </x:c>
      <x:c r="Q132" s="82" t="str"/>
      <x:c r="R132" s="82" t="str">
        <x:v>Mainline</x:v>
      </x:c>
      <x:c r="S132" s="82" t="str">
        <x:v>Comum / atual</x:v>
      </x:c>
      <x:c r="T132" s="82" t="str">
        <x:v>Lançado</x:v>
      </x:c>
      <x:c r="U132" s="82" t="str">
        <x:v>Base code(s): J51, J53</x:v>
      </x:c>
      <x:c r="V132" s="80" t="str">
        <x:v>Coleção principal (~1:64)</x:v>
      </x:c>
      <x:c r="W132" s="82" t="str">
        <x:v>https://hotwheels.fandom.com/wiki/BMW_M4</x:v>
      </x:c>
      <x:c r="X132" s="82" t="str">
        <x:v>https://hotwheels.fandom.com/wiki/BMW_M4</x:v>
      </x:c>
    </x:row>
    <x:row r="133">
      <x:c r="A133" s="80" t="str">
        <x:v>Não</x:v>
      </x:c>
      <x:c r="B133" s="80" t="str">
        <x:v>2 — Completar aos poucos</x:v>
      </x:c>
      <x:c r="C133" s="81" t="n">
        <x:v>2017</x:v>
      </x:c>
      <x:c r="D133" s="80" t="str">
        <x:v>BMW M4</x:v>
      </x:c>
      <x:c r="E133" s="80" t="str">
        <x:v>BMW M4</x:v>
      </x:c>
      <x:c r="F133" s="82" t="str">
        <x:v>Forza Motorsport 3/6</x:v>
      </x:c>
      <x:c r="G133" s="80" t="str"/>
      <x:c r="H133" s="80" t="str"/>
      <x:c r="I133" s="83" t="str">
        <x:v>DWF34</x:v>
      </x:c>
      <x:c r="J133" s="80" t="str">
        <x:v>Metalflake Dark Gray</x:v>
      </x:c>
      <x:c r="K133" s="82" t="str">
        <x:v>Forza Motorsport logo on sides, XBOX logo on hood</x:v>
      </x:c>
      <x:c r="L133" s="82" t="str">
        <x:v>PR5</x:v>
      </x:c>
      <x:c r="M133" s="82" t="str">
        <x:v>Dark Gray / Plastic</x:v>
      </x:c>
      <x:c r="N133" s="82" t="str">
        <x:v>Clear</x:v>
      </x:c>
      <x:c r="O133" s="82" t="str">
        <x:v>Red</x:v>
      </x:c>
      <x:c r="P133" s="82" t="str">
        <x:v>Thailand</x:v>
      </x:c>
      <x:c r="Q133" s="82" t="str"/>
      <x:c r="R133" s="82" t="str">
        <x:v>Outra linha</x:v>
      </x:c>
      <x:c r="S133" s="82" t="str">
        <x:v>Comum / atual</x:v>
      </x:c>
      <x:c r="T133" s="82" t="str">
        <x:v>Lançado</x:v>
      </x:c>
      <x:c r="U133" s="82" t="str">
        <x:v>Base code(s): K21</x:v>
      </x:c>
      <x:c r="V133" s="80" t="str">
        <x:v>Coleção principal (~1:64)</x:v>
      </x:c>
      <x:c r="W133" s="82" t="str">
        <x:v>https://hotwheels.fandom.com/wiki/BMW_M4</x:v>
      </x:c>
      <x:c r="X133" s="82" t="str">
        <x:v>https://hotwheels.fandom.com/wiki/BMW_M4</x:v>
      </x:c>
    </x:row>
    <x:row r="134">
      <x:c r="A134" s="80" t="str">
        <x:v>Não</x:v>
      </x:c>
      <x:c r="B134" s="80" t="str">
        <x:v>2 — Completar aos poucos</x:v>
      </x:c>
      <x:c r="C134" s="81" t="n">
        <x:v>2016</x:v>
      </x:c>
      <x:c r="D134" s="80" t="str">
        <x:v>'10 BMW M3</x:v>
      </x:c>
      <x:c r="E134" s="80" t="str">
        <x:v>'10 BMW M3</x:v>
      </x:c>
      <x:c r="F134" s="82" t="str">
        <x:v>BMW 6/8</x:v>
      </x:c>
      <x:c r="G134" s="80" t="str"/>
      <x:c r="H134" s="80" t="str"/>
      <x:c r="I134" s="83" t="str">
        <x:v>DJM87</x:v>
      </x:c>
      <x:c r="J134" s="80" t="str">
        <x:v>Silver</x:v>
      </x:c>
      <x:c r="K134" s="82" t="str">
        <x:v>Detailed headlights, front grille + badge, Red &amp; Black stripes on sides &amp; hood</x:v>
      </x:c>
      <x:c r="L134" s="82" t="str">
        <x:v>5SP</x:v>
      </x:c>
      <x:c r="M134" s="82" t="str">
        <x:v>Black / Plastic</x:v>
      </x:c>
      <x:c r="N134" s="82" t="str">
        <x:v>Smoke tint</x:v>
      </x:c>
      <x:c r="O134" s="82" t="str">
        <x:v>Black</x:v>
      </x:c>
      <x:c r="P134" s="82" t="str">
        <x:v>Thailand</x:v>
      </x:c>
      <x:c r="Q134" s="82" t="str"/>
      <x:c r="R134" s="82" t="str">
        <x:v>Outra linha</x:v>
      </x:c>
      <x:c r="S134" s="82" t="str">
        <x:v>Comum / atual</x:v>
      </x:c>
      <x:c r="T134" s="82" t="str">
        <x:v>Lançado</x:v>
      </x:c>
      <x:c r="U134" s="82" t="str">
        <x:v>Base codes: H47, H49, J02</x:v>
      </x:c>
      <x:c r="V134" s="80" t="str">
        <x:v>Coleção principal (~1:64)</x:v>
      </x:c>
      <x:c r="W134" s="82" t="str">
        <x:v>https://hotwheels.fandom.com/wiki/%2710_BMW_M3</x:v>
      </x:c>
      <x:c r="X134" s="82" t="str">
        <x:v>https://hotwheels.fandom.com/wiki/%2710_BMW_M3</x:v>
      </x:c>
    </x:row>
    <x:row r="135">
      <x:c r="A135" s="80" t="str">
        <x:v>Não</x:v>
      </x:c>
      <x:c r="B135" s="80" t="str">
        <x:v>2 — Completar aos poucos</x:v>
      </x:c>
      <x:c r="C135" s="81" t="n">
        <x:v>2016</x:v>
      </x:c>
      <x:c r="D135" s="80" t="str">
        <x:v>'73 BMW 3.0 CSL Race Car</x:v>
      </x:c>
      <x:c r="E135" s="80" t="str">
        <x:v>'73 BMW 3.0 CSL Race Car</x:v>
      </x:c>
      <x:c r="F135" s="82" t="str">
        <x:v>BMW 5/5</x:v>
      </x:c>
      <x:c r="G135" s="80" t="str"/>
      <x:c r="H135" s="80" t="str">
        <x:v>190/250</x:v>
      </x:c>
      <x:c r="I135" s="83" t="str">
        <x:v>DHX63</x:v>
      </x:c>
      <x:c r="J135" s="80" t="str">
        <x:v>Black</x:v>
      </x:c>
      <x:c r="K135" s="82" t="str">
        <x:v>Red &amp; Blue stripes, '16' &amp; 'Castrol' on sides &amp; hood</x:v>
      </x:c>
      <x:c r="L135" s="82" t="str">
        <x:v>Chrome &amp; Black MC5</x:v>
      </x:c>
      <x:c r="M135" s="82" t="str">
        <x:v>Black / Plastic</x:v>
      </x:c>
      <x:c r="N135" s="82" t="str">
        <x:v>Blue tint</x:v>
      </x:c>
      <x:c r="O135" s="82" t="str">
        <x:v>Dark Grey</x:v>
      </x:c>
      <x:c r="P135" s="82" t="str">
        <x:v>Malaysia</x:v>
      </x:c>
      <x:c r="Q135" s="82" t="str"/>
      <x:c r="R135" s="82" t="str">
        <x:v>Mainline</x:v>
      </x:c>
      <x:c r="S135" s="82" t="str">
        <x:v>Comum / atual</x:v>
      </x:c>
      <x:c r="T135" s="82" t="str">
        <x:v>Lançado</x:v>
      </x:c>
      <x:c r="U135" s="82" t="str">
        <x:v>New Model Base code(s): J20, J21, J22, J23, J25</x:v>
      </x:c>
      <x:c r="V135" s="80" t="str">
        <x:v>Coleção principal (~1:64)</x:v>
      </x:c>
      <x:c r="W135" s="82" t="str">
        <x:v>https://hotwheels.fandom.com/wiki/%2773_BMW_3.0_CSL_Race_Car</x:v>
      </x:c>
      <x:c r="X135" s="82" t="str">
        <x:v>https://hotwheels.fandom.com/wiki/%2773_BMW_3.0_CSL_Race_Car</x:v>
      </x:c>
    </x:row>
    <x:row r="136">
      <x:c r="A136" s="80" t="str">
        <x:v>Não</x:v>
      </x:c>
      <x:c r="B136" s="80" t="str">
        <x:v>2 — Completar aos poucos</x:v>
      </x:c>
      <x:c r="C136" s="81" t="n">
        <x:v>2016</x:v>
      </x:c>
      <x:c r="D136" s="80" t="str">
        <x:v>'73 BMW 3.0 CSL Race Car</x:v>
      </x:c>
      <x:c r="E136" s="80" t="str">
        <x:v>'73 BMW 3.0 CSL Race Car</x:v>
      </x:c>
      <x:c r="F136" s="82" t="str">
        <x:v>BMW 5/5</x:v>
      </x:c>
      <x:c r="G136" s="80" t="str"/>
      <x:c r="H136" s="80" t="str">
        <x:v>190/250</x:v>
      </x:c>
      <x:c r="I136" s="83" t="str">
        <x:v>DHP29</x:v>
      </x:c>
      <x:c r="J136" s="80" t="str">
        <x:v>White</x:v>
      </x:c>
      <x:c r="K136" s="82" t="str">
        <x:v>Red &amp; Blue stripes, '68' &amp; 'Castrol' on sides &amp; hood</x:v>
      </x:c>
      <x:c r="L136" s="82" t="str">
        <x:v>Chrome &amp; Black MC5</x:v>
      </x:c>
      <x:c r="M136" s="82" t="str">
        <x:v>White / Plastic</x:v>
      </x:c>
      <x:c r="N136" s="82" t="str">
        <x:v>Smoke tint</x:v>
      </x:c>
      <x:c r="O136" s="82" t="str">
        <x:v>Black</x:v>
      </x:c>
      <x:c r="P136" s="82" t="str">
        <x:v>Malaysia</x:v>
      </x:c>
      <x:c r="Q136" s="82" t="str"/>
      <x:c r="R136" s="82" t="str">
        <x:v>Mainline</x:v>
      </x:c>
      <x:c r="S136" s="82" t="str">
        <x:v>Comum / atual</x:v>
      </x:c>
      <x:c r="T136" s="82" t="str">
        <x:v>Lançado</x:v>
      </x:c>
      <x:c r="U136" s="82" t="str">
        <x:v>New Model Base code(s): J06, J09, J10, J12</x:v>
      </x:c>
      <x:c r="V136" s="80" t="str">
        <x:v>Coleção principal (~1:64)</x:v>
      </x:c>
      <x:c r="W136" s="82" t="str">
        <x:v>https://hotwheels.fandom.com/wiki/%2773_BMW_3.0_CSL_Race_Car</x:v>
      </x:c>
      <x:c r="X136" s="82" t="str">
        <x:v>https://hotwheels.fandom.com/wiki/%2773_BMW_3.0_CSL_Race_Car</x:v>
      </x:c>
    </x:row>
    <x:row r="137">
      <x:c r="A137" s="80" t="str">
        <x:v>Não</x:v>
      </x:c>
      <x:c r="B137" s="80" t="str">
        <x:v>2 — Completar aos poucos</x:v>
      </x:c>
      <x:c r="C137" s="81" t="n">
        <x:v>2016</x:v>
      </x:c>
      <x:c r="D137" s="80" t="str">
        <x:v>'73 BMW 3.0 CSL Race Car</x:v>
      </x:c>
      <x:c r="E137" s="80" t="str">
        <x:v>'73 BMW 3.0 CSL Race Car</x:v>
      </x:c>
      <x:c r="F137" s="82" t="str">
        <x:v>Toy Fair</x:v>
      </x:c>
      <x:c r="G137" s="80" t="str"/>
      <x:c r="H137" s="80" t="str"/>
      <x:c r="I137" s="83" t="str"/>
      <x:c r="J137" s="80" t="str">
        <x:v>Spectraflame Blue</x:v>
      </x:c>
      <x:c r="K137" s="82" t="str">
        <x:v>White sides &amp; hood with '2017' and logos</x:v>
      </x:c>
      <x:c r="L137" s="82" t="str">
        <x:v>Goodyear TRR</x:v>
      </x:c>
      <x:c r="M137" s="82" t="str">
        <x:v>Blue</x:v>
      </x:c>
      <x:c r="N137" s="82" t="str">
        <x:v>Clear</x:v>
      </x:c>
      <x:c r="O137" s="82" t="str">
        <x:v>White</x:v>
      </x:c>
      <x:c r="P137" s="82" t="str"/>
      <x:c r="Q137" s="82" t="str"/>
      <x:c r="R137" s="82" t="str">
        <x:v>Outra linha</x:v>
      </x:c>
      <x:c r="S137" s="82" t="str">
        <x:v>Comum / atual</x:v>
      </x:c>
      <x:c r="T137" s="82" t="str">
        <x:v>Lançado</x:v>
      </x:c>
      <x:c r="U137" s="82" t="str"/>
      <x:c r="V137" s="80" t="str">
        <x:v>Coleção principal (~1:64)</x:v>
      </x:c>
      <x:c r="W137" s="82" t="str">
        <x:v>https://hotwheels.fandom.com/wiki/%2773_BMW_3.0_CSL_Race_Car</x:v>
      </x:c>
      <x:c r="X137" s="82" t="str">
        <x:v>https://hotwheels.fandom.com/wiki/%2773_BMW_3.0_CSL_Race_Car</x:v>
      </x:c>
    </x:row>
    <x:row r="138">
      <x:c r="A138" s="80" t="str">
        <x:v>Não</x:v>
      </x:c>
      <x:c r="B138" s="80" t="str">
        <x:v>2 — Completar aos poucos</x:v>
      </x:c>
      <x:c r="C138" s="81" t="n">
        <x:v>2016</x:v>
      </x:c>
      <x:c r="D138" s="80" t="str">
        <x:v>'92 BMW M3</x:v>
      </x:c>
      <x:c r="E138" s="80" t="str">
        <x:v>'92 BMW M3</x:v>
      </x:c>
      <x:c r="F138" s="82" t="str">
        <x:v>BMW 2/8</x:v>
      </x:c>
      <x:c r="G138" s="80" t="str"/>
      <x:c r="H138" s="80" t="str"/>
      <x:c r="I138" s="83" t="str">
        <x:v>DJM81</x:v>
      </x:c>
      <x:c r="J138" s="80" t="str">
        <x:v>Metallic White</x:v>
      </x:c>
      <x:c r="K138" s="82" t="str">
        <x:v>Red &amp; Blue Stripes, Silver Pinstripe , "M" &amp; HW logo, BMW Badge</x:v>
      </x:c>
      <x:c r="L138" s="82" t="str">
        <x:v>WPR5</x:v>
      </x:c>
      <x:c r="M138" s="82" t="str">
        <x:v>Black / Plastic</x:v>
      </x:c>
      <x:c r="N138" s="82" t="str">
        <x:v>Smoke tint</x:v>
      </x:c>
      <x:c r="O138" s="82" t="str">
        <x:v>Black</x:v>
      </x:c>
      <x:c r="P138" s="82" t="str">
        <x:v>Thailand</x:v>
      </x:c>
      <x:c r="Q138" s="82" t="str"/>
      <x:c r="R138" s="82" t="str">
        <x:v>Outra linha</x:v>
      </x:c>
      <x:c r="S138" s="82" t="str">
        <x:v>Comum / atual</x:v>
      </x:c>
      <x:c r="T138" s="82" t="str">
        <x:v>Lançado</x:v>
      </x:c>
      <x:c r="U138" s="82" t="str">
        <x:v>Base code(s): H49, J02, J06, J14</x:v>
      </x:c>
      <x:c r="V138" s="80" t="str">
        <x:v>Coleção principal (~1:64)</x:v>
      </x:c>
      <x:c r="W138" s="82" t="str">
        <x:v>https://hotwheels.fandom.com/wiki/%2792_BMW_M3</x:v>
      </x:c>
      <x:c r="X138" s="82" t="str">
        <x:v>https://hotwheels.fandom.com/wiki/%2792_BMW_M3</x:v>
      </x:c>
    </x:row>
    <x:row r="139">
      <x:c r="A139" s="80" t="str">
        <x:v>Não</x:v>
      </x:c>
      <x:c r="B139" s="80" t="str">
        <x:v>2 — Completar aos poucos</x:v>
      </x:c>
      <x:c r="C139" s="81" t="n">
        <x:v>2016</x:v>
      </x:c>
      <x:c r="D139" s="80" t="str">
        <x:v>'92 BMW M3</x:v>
      </x:c>
      <x:c r="E139" s="80" t="str">
        <x:v>'92 BMW M3</x:v>
      </x:c>
      <x:c r="F139" s="82" t="str">
        <x:v>Car Culture: Euro Style 3/5</x:v>
      </x:c>
      <x:c r="G139" s="80" t="str"/>
      <x:c r="H139" s="80" t="str"/>
      <x:c r="I139" s="83" t="str">
        <x:v>DJF84</x:v>
      </x:c>
      <x:c r="J139" s="80" t="str">
        <x:v>White</x:v>
      </x:c>
      <x:c r="K139" s="82" t="str">
        <x:v>Green squares w/ 'Polizei' on hood &amp; sides, Green stripes, &amp; insignia on sides</x:v>
      </x:c>
      <x:c r="L139" s="82" t="str">
        <x:v>CBMCRR</x:v>
      </x:c>
      <x:c r="M139" s="82" t="str">
        <x:v>Unpainted / Metal</x:v>
      </x:c>
      <x:c r="N139" s="82" t="str">
        <x:v>Smoke tint</x:v>
      </x:c>
      <x:c r="O139" s="82" t="str">
        <x:v>Black</x:v>
      </x:c>
      <x:c r="P139" s="82" t="str">
        <x:v>Malaysia</x:v>
      </x:c>
      <x:c r="Q139" s="82" t="str"/>
      <x:c r="R139" s="82" t="str">
        <x:v>Premium</x:v>
      </x:c>
      <x:c r="S139" s="82" t="str">
        <x:v>Incomum</x:v>
      </x:c>
      <x:c r="T139" s="82" t="str">
        <x:v>Lançado</x:v>
      </x:c>
      <x:c r="U139" s="82" t="str">
        <x:v>Base code(s): J12, J15</x:v>
      </x:c>
      <x:c r="V139" s="80" t="str">
        <x:v>Coleção principal (~1:64)</x:v>
      </x:c>
      <x:c r="W139" s="82" t="str">
        <x:v>https://hotwheels.fandom.com/wiki/%2792_BMW_M3</x:v>
      </x:c>
      <x:c r="X139" s="82" t="str">
        <x:v>https://hotwheels.fandom.com/wiki/%2792_BMW_M3</x:v>
      </x:c>
    </x:row>
    <x:row r="140">
      <x:c r="A140" s="80" t="str">
        <x:v>Não</x:v>
      </x:c>
      <x:c r="B140" s="80" t="str">
        <x:v>2 — Completar aos poucos</x:v>
      </x:c>
      <x:c r="C140" s="81" t="n">
        <x:v>2016</x:v>
      </x:c>
      <x:c r="D140" s="80" t="str">
        <x:v>BMW 2002</x:v>
      </x:c>
      <x:c r="E140" s="80" t="str">
        <x:v>BMW 2002</x:v>
      </x:c>
      <x:c r="F140" s="82" t="str">
        <x:v>BMW 1/5</x:v>
      </x:c>
      <x:c r="G140" s="80" t="str"/>
      <x:c r="H140" s="80" t="str">
        <x:v>186/250</x:v>
      </x:c>
      <x:c r="I140" s="83" t="str">
        <x:v>DHR80</x:v>
      </x:c>
      <x:c r="J140" s="80" t="str">
        <x:v>Black</x:v>
      </x:c>
      <x:c r="K140" s="82" t="str">
        <x:v>White, Blue &amp; Grey stripes on sides &amp; top, HW logo on sides, BMW logo on front</x:v>
      </x:c>
      <x:c r="L140" s="82" t="str">
        <x:v>MC5</x:v>
      </x:c>
      <x:c r="M140" s="82" t="str">
        <x:v>Dark Grey / Plastic</x:v>
      </x:c>
      <x:c r="N140" s="82" t="str">
        <x:v>Clear</x:v>
      </x:c>
      <x:c r="O140" s="82" t="str">
        <x:v>Blue</x:v>
      </x:c>
      <x:c r="P140" s="82" t="str">
        <x:v>Malaysia</x:v>
      </x:c>
      <x:c r="Q140" s="82" t="str"/>
      <x:c r="R140" s="82" t="str">
        <x:v>Mainline</x:v>
      </x:c>
      <x:c r="S140" s="82" t="str">
        <x:v>Comum / atual</x:v>
      </x:c>
      <x:c r="T140" s="82" t="str">
        <x:v>Lançado</x:v>
      </x:c>
      <x:c r="U140" s="82" t="str">
        <x:v>Base code(s): J06, J09, J10, J12</x:v>
      </x:c>
      <x:c r="V140" s="80" t="str">
        <x:v>Coleção principal (~1:64)</x:v>
      </x:c>
      <x:c r="W140" s="82" t="str">
        <x:v>https://hotwheels.fandom.com/wiki/BMW_2002</x:v>
      </x:c>
      <x:c r="X140" s="82" t="str">
        <x:v>https://hotwheels.fandom.com/wiki/BMW_2002</x:v>
      </x:c>
    </x:row>
    <x:row r="141">
      <x:c r="A141" s="80" t="str">
        <x:v>Não</x:v>
      </x:c>
      <x:c r="B141" s="80" t="str">
        <x:v>2 — Completar aos poucos</x:v>
      </x:c>
      <x:c r="C141" s="81" t="n">
        <x:v>2016</x:v>
      </x:c>
      <x:c r="D141" s="80" t="str">
        <x:v>BMW 2002</x:v>
      </x:c>
      <x:c r="E141" s="80" t="str">
        <x:v>BMW 2002</x:v>
      </x:c>
      <x:c r="F141" s="82" t="str">
        <x:v>BMW 1/5</x:v>
      </x:c>
      <x:c r="G141" s="80" t="str"/>
      <x:c r="H141" s="80" t="str">
        <x:v>186/250</x:v>
      </x:c>
      <x:c r="I141" s="83" t="str">
        <x:v>DHX60</x:v>
      </x:c>
      <x:c r="J141" s="80" t="str">
        <x:v>White</x:v>
      </x:c>
      <x:c r="K141" s="82" t="str">
        <x:v>Light Blue, Dark Blue &amp; Silver stripes on sides &amp; top, HW logo on sides, BMW logo on front</x:v>
      </x:c>
      <x:c r="L141" s="82" t="str">
        <x:v>Chrome Red &amp; Black MC5</x:v>
      </x:c>
      <x:c r="M141" s="82" t="str">
        <x:v>Dark Grey / Plastic</x:v>
      </x:c>
      <x:c r="N141" s="82" t="str">
        <x:v>Smoke tint</x:v>
      </x:c>
      <x:c r="O141" s="82" t="str">
        <x:v>Blue</x:v>
      </x:c>
      <x:c r="P141" s="82" t="str">
        <x:v>Malaysia</x:v>
      </x:c>
      <x:c r="Q141" s="82" t="str"/>
      <x:c r="R141" s="82" t="str">
        <x:v>Mainline</x:v>
      </x:c>
      <x:c r="S141" s="82" t="str">
        <x:v>Comum / atual</x:v>
      </x:c>
      <x:c r="T141" s="82" t="str">
        <x:v>Lançado</x:v>
      </x:c>
      <x:c r="U141" s="82" t="str">
        <x:v>Base code(s): J24, J26, J29, J32, J26</x:v>
      </x:c>
      <x:c r="V141" s="80" t="str">
        <x:v>Coleção principal (~1:64)</x:v>
      </x:c>
      <x:c r="W141" s="82" t="str">
        <x:v>https://hotwheels.fandom.com/wiki/BMW_2002</x:v>
      </x:c>
      <x:c r="X141" s="82" t="str">
        <x:v>https://hotwheels.fandom.com/wiki/BMW_2002</x:v>
      </x:c>
    </x:row>
    <x:row r="142">
      <x:c r="A142" s="80" t="str">
        <x:v>Não</x:v>
      </x:c>
      <x:c r="B142" s="80" t="str">
        <x:v>2 — Completar aos poucos</x:v>
      </x:c>
      <x:c r="C142" s="81" t="n">
        <x:v>2016</x:v>
      </x:c>
      <x:c r="D142" s="80" t="str">
        <x:v>BMW 2002</x:v>
      </x:c>
      <x:c r="E142" s="80" t="str">
        <x:v>BMW 2002</x:v>
      </x:c>
      <x:c r="F142" s="82" t="str">
        <x:v>BMW 1/5</x:v>
      </x:c>
      <x:c r="G142" s="80" t="str"/>
      <x:c r="H142" s="80" t="str">
        <x:v>186/250</x:v>
      </x:c>
      <x:c r="I142" s="83" t="str">
        <x:v>DHX90</x:v>
      </x:c>
      <x:c r="J142" s="80" t="str">
        <x:v>ZAMAC</x:v>
      </x:c>
      <x:c r="K142" s="82" t="str">
        <x:v>White, Blue &amp; Grey stripes on sides &amp; top, HW logo on sides, BMW logo on front</x:v>
      </x:c>
      <x:c r="L142" s="82" t="str">
        <x:v>Chrome Light Blue &amp; Black MC5</x:v>
      </x:c>
      <x:c r="M142" s="82" t="str">
        <x:v>Dark Grey / Plastic</x:v>
      </x:c>
      <x:c r="N142" s="82" t="str">
        <x:v>Smoke tint</x:v>
      </x:c>
      <x:c r="O142" s="82" t="str">
        <x:v>Black</x:v>
      </x:c>
      <x:c r="P142" s="82" t="str">
        <x:v>Malaysia</x:v>
      </x:c>
      <x:c r="Q142" s="82" t="str">
        <x:v>ZAMAC, Walmart</x:v>
      </x:c>
      <x:c r="R142" s="82" t="str">
        <x:v>Mainline</x:v>
      </x:c>
      <x:c r="S142" s="82" t="str">
        <x:v>Rara</x:v>
      </x:c>
      <x:c r="T142" s="82" t="str">
        <x:v>Lançado</x:v>
      </x:c>
      <x:c r="U142" s="82" t="str">
        <x:v>Walmart Exclusive Base code(s): J13</x:v>
      </x:c>
      <x:c r="V142" s="80" t="str">
        <x:v>Coleção principal (~1:64)</x:v>
      </x:c>
      <x:c r="W142" s="82" t="str">
        <x:v>https://hotwheels.fandom.com/wiki/BMW_2002</x:v>
      </x:c>
      <x:c r="X142" s="82" t="str">
        <x:v>https://hotwheels.fandom.com/wiki/BMW_2002</x:v>
      </x:c>
    </x:row>
    <x:row r="143">
      <x:c r="A143" s="80" t="str">
        <x:v>Não</x:v>
      </x:c>
      <x:c r="B143" s="80" t="str">
        <x:v>2 — Completar aos poucos</x:v>
      </x:c>
      <x:c r="C143" s="81" t="n">
        <x:v>2016</x:v>
      </x:c>
      <x:c r="D143" s="80" t="str">
        <x:v>BMW 2002</x:v>
      </x:c>
      <x:c r="E143" s="80" t="str">
        <x:v>BMW 2002</x:v>
      </x:c>
      <x:c r="F143" s="82" t="str">
        <x:v>BMW 4/8</x:v>
      </x:c>
      <x:c r="G143" s="80" t="str"/>
      <x:c r="H143" s="80" t="str"/>
      <x:c r="I143" s="83" t="str">
        <x:v>DJM83</x:v>
      </x:c>
      <x:c r="J143" s="80" t="str">
        <x:v>Green</x:v>
      </x:c>
      <x:c r="K143" s="82" t="str">
        <x:v>Black and Yellow stripes on sides and top, '2' on hood and sides</x:v>
      </x:c>
      <x:c r="L143" s="82" t="str">
        <x:v>MC5 Rim Yellow</x:v>
      </x:c>
      <x:c r="M143" s="82" t="str">
        <x:v>Chrome / Plastic</x:v>
      </x:c>
      <x:c r="N143" s="82" t="str">
        <x:v>Clear</x:v>
      </x:c>
      <x:c r="O143" s="82" t="str">
        <x:v>Black</x:v>
      </x:c>
      <x:c r="P143" s="82" t="str">
        <x:v>Thailand</x:v>
      </x:c>
      <x:c r="Q143" s="82" t="str"/>
      <x:c r="R143" s="82" t="str">
        <x:v>Outra linha</x:v>
      </x:c>
      <x:c r="S143" s="82" t="str">
        <x:v>Comum / atual</x:v>
      </x:c>
      <x:c r="T143" s="82" t="str">
        <x:v>Lançado</x:v>
      </x:c>
      <x:c r="U143" s="82" t="str">
        <x:v>Base code(s): H50, J02, J03, J06</x:v>
      </x:c>
      <x:c r="V143" s="80" t="str">
        <x:v>Coleção principal (~1:64)</x:v>
      </x:c>
      <x:c r="W143" s="82" t="str">
        <x:v>https://hotwheels.fandom.com/wiki/BMW_2002</x:v>
      </x:c>
      <x:c r="X143" s="82" t="str">
        <x:v>https://hotwheels.fandom.com/wiki/BMW_2002</x:v>
      </x:c>
    </x:row>
    <x:row r="144">
      <x:c r="A144" s="80" t="str">
        <x:v>Não</x:v>
      </x:c>
      <x:c r="B144" s="80" t="str">
        <x:v>2 — Completar aos poucos</x:v>
      </x:c>
      <x:c r="C144" s="81" t="n">
        <x:v>2016</x:v>
      </x:c>
      <x:c r="D144" s="80" t="str">
        <x:v>BMW E36 M3 Race</x:v>
      </x:c>
      <x:c r="E144" s="80" t="str">
        <x:v>BMW E36 M3 Race</x:v>
      </x:c>
      <x:c r="F144" s="82" t="str">
        <x:v>BMW 3/8</x:v>
      </x:c>
      <x:c r="G144" s="80" t="str"/>
      <x:c r="H144" s="80" t="str"/>
      <x:c r="I144" s="83" t="str">
        <x:v>DJM82</x:v>
      </x:c>
      <x:c r="J144" s="80" t="str">
        <x:v>Metallic Orange</x:v>
      </x:c>
      <x:c r="K144" s="82" t="str">
        <x:v>Black &amp; Light Blue stripes, '36' &amp; sponsor logos on sides &amp; hood</x:v>
      </x:c>
      <x:c r="L144" s="82" t="str">
        <x:v>10SP</x:v>
      </x:c>
      <x:c r="M144" s="82" t="str">
        <x:v>Black / Plastic</x:v>
      </x:c>
      <x:c r="N144" s="82" t="str">
        <x:v>Tinted (Grey)</x:v>
      </x:c>
      <x:c r="O144" s="82" t="str">
        <x:v>Black</x:v>
      </x:c>
      <x:c r="P144" s="82" t="str">
        <x:v>Thailand</x:v>
      </x:c>
      <x:c r="Q144" s="82" t="str"/>
      <x:c r="R144" s="82" t="str">
        <x:v>Outra linha</x:v>
      </x:c>
      <x:c r="S144" s="82" t="str">
        <x:v>Comum / atual</x:v>
      </x:c>
      <x:c r="T144" s="82" t="str">
        <x:v>Lançado</x:v>
      </x:c>
      <x:c r="U144" s="82" t="str">
        <x:v>Base code(s): H49, J02, J03, J29</x:v>
      </x:c>
      <x:c r="V144" s="80" t="str">
        <x:v>Coleção principal (~1:64)</x:v>
      </x:c>
      <x:c r="W144" s="82" t="str">
        <x:v>https://hotwheels.fandom.com/wiki/BMW_E36_M3_Race</x:v>
      </x:c>
      <x:c r="X144" s="82" t="str">
        <x:v>https://hotwheels.fandom.com/wiki/BMW_E36_M3_Race</x:v>
      </x:c>
    </x:row>
    <x:row r="145">
      <x:c r="A145" s="80" t="str">
        <x:v>Não</x:v>
      </x:c>
      <x:c r="B145" s="80" t="str">
        <x:v>2 — Completar aos poucos</x:v>
      </x:c>
      <x:c r="C145" s="81" t="n">
        <x:v>2016</x:v>
      </x:c>
      <x:c r="D145" s="80" t="str">
        <x:v>BMW M1</x:v>
      </x:c>
      <x:c r="E145" s="80" t="str">
        <x:v>BMW M1</x:v>
      </x:c>
      <x:c r="F145" s="82" t="str">
        <x:v>BMW 1/8</x:v>
      </x:c>
      <x:c r="G145" s="80" t="str"/>
      <x:c r="H145" s="80" t="str"/>
      <x:c r="I145" s="83" t="str">
        <x:v>DJM80</x:v>
      </x:c>
      <x:c r="J145" s="80" t="str">
        <x:v>Dark Red</x:v>
      </x:c>
      <x:c r="K145" s="82" t="str">
        <x:v>Black, White &amp; Yellow stripes on top &amp; sides, hood BMW badge detail</x:v>
      </x:c>
      <x:c r="L145" s="82" t="str">
        <x:v>PR5</x:v>
      </x:c>
      <x:c r="M145" s="82" t="str">
        <x:v>Black / Plastic</x:v>
      </x:c>
      <x:c r="N145" s="82" t="str">
        <x:v>Clear</x:v>
      </x:c>
      <x:c r="O145" s="82" t="str">
        <x:v>Black</x:v>
      </x:c>
      <x:c r="P145" s="82" t="str">
        <x:v>Thailand</x:v>
      </x:c>
      <x:c r="Q145" s="82" t="str"/>
      <x:c r="R145" s="82" t="str">
        <x:v>Outra linha</x:v>
      </x:c>
      <x:c r="S145" s="82" t="str">
        <x:v>Comum / atual</x:v>
      </x:c>
      <x:c r="T145" s="82" t="str">
        <x:v>Lançado</x:v>
      </x:c>
      <x:c r="U145" s="82" t="str">
        <x:v>Base code(s): H49, H50, J02, J06, J19, J27</x:v>
      </x:c>
      <x:c r="V145" s="80" t="str">
        <x:v>Coleção principal (~1:64)</x:v>
      </x:c>
      <x:c r="W145" s="82" t="str">
        <x:v>https://hotwheels.fandom.com/wiki/BMW_M1</x:v>
      </x:c>
      <x:c r="X145" s="82" t="str">
        <x:v>https://hotwheels.fandom.com/wiki/BMW_M1</x:v>
      </x:c>
    </x:row>
    <x:row r="146">
      <x:c r="A146" s="80" t="str">
        <x:v>Não</x:v>
      </x:c>
      <x:c r="B146" s="80" t="str">
        <x:v>2 — Completar aos poucos</x:v>
      </x:c>
      <x:c r="C146" s="81" t="n">
        <x:v>2016</x:v>
      </x:c>
      <x:c r="D146" s="80" t="str">
        <x:v>BMW M3 GT2</x:v>
      </x:c>
      <x:c r="E146" s="80" t="str">
        <x:v>BMW M3 GT2</x:v>
      </x:c>
      <x:c r="F146" s="82" t="str">
        <x:v>BMW 5/8</x:v>
      </x:c>
      <x:c r="G146" s="80" t="str"/>
      <x:c r="H146" s="80" t="str"/>
      <x:c r="I146" s="83" t="str">
        <x:v>DJM84</x:v>
      </x:c>
      <x:c r="J146" s="80" t="str">
        <x:v>Blue</x:v>
      </x:c>
      <x:c r="K146" s="82" t="str">
        <x:v>Red &amp; white decals with "12" on sides &amp; hood, M Power logo on sides &amp; hood</x:v>
      </x:c>
      <x:c r="L146" s="82" t="str">
        <x:v>PR5</x:v>
      </x:c>
      <x:c r="M146" s="82" t="str">
        <x:v>Black / Plastic</x:v>
      </x:c>
      <x:c r="N146" s="82" t="str">
        <x:v>Clear</x:v>
      </x:c>
      <x:c r="O146" s="82" t="str">
        <x:v>Grey</x:v>
      </x:c>
      <x:c r="P146" s="82" t="str">
        <x:v>Thailand</x:v>
      </x:c>
      <x:c r="Q146" s="82" t="str"/>
      <x:c r="R146" s="82" t="str">
        <x:v>Outra linha</x:v>
      </x:c>
      <x:c r="S146" s="82" t="str">
        <x:v>Comum / atual</x:v>
      </x:c>
      <x:c r="T146" s="82" t="str">
        <x:v>Lançado</x:v>
      </x:c>
      <x:c r="U146" s="82" t="str"/>
      <x:c r="V146" s="80" t="str">
        <x:v>Coleção principal (~1:64)</x:v>
      </x:c>
      <x:c r="W146" s="82" t="str">
        <x:v>https://hotwheels.fandom.com/wiki/BMW_M3_GT2</x:v>
      </x:c>
      <x:c r="X146" s="82" t="str">
        <x:v>https://hotwheels.fandom.com/wiki/BMW_M3_GT2</x:v>
      </x:c>
    </x:row>
    <x:row r="147">
      <x:c r="A147" s="80" t="str">
        <x:v>Não</x:v>
      </x:c>
      <x:c r="B147" s="80" t="str">
        <x:v>2 — Completar aos poucos</x:v>
      </x:c>
      <x:c r="C147" s="81" t="n">
        <x:v>2016</x:v>
      </x:c>
      <x:c r="D147" s="80" t="str">
        <x:v>BMW M4</x:v>
      </x:c>
      <x:c r="E147" s="80" t="str">
        <x:v>BMW M4</x:v>
      </x:c>
      <x:c r="F147" s="82" t="str">
        <x:v>BMW 4/5</x:v>
      </x:c>
      <x:c r="G147" s="80" t="str"/>
      <x:c r="H147" s="80" t="str">
        <x:v>189/250</x:v>
      </x:c>
      <x:c r="I147" s="83" t="str">
        <x:v>DHR83</x:v>
      </x:c>
      <x:c r="J147" s="80" t="str">
        <x:v>Pearl Red</x:v>
      </x:c>
      <x:c r="K147" s="82" t="str">
        <x:v>Detailed Front &amp; Rear</x:v>
      </x:c>
      <x:c r="L147" s="82" t="str">
        <x:v>TRAP5</x:v>
      </x:c>
      <x:c r="M147" s="82" t="str">
        <x:v>Black / Plastic</x:v>
      </x:c>
      <x:c r="N147" s="82" t="str">
        <x:v>Heavy smoke tint</x:v>
      </x:c>
      <x:c r="O147" s="82" t="str">
        <x:v>Dark Grey</x:v>
      </x:c>
      <x:c r="P147" s="82" t="str">
        <x:v>Malaysia</x:v>
      </x:c>
      <x:c r="Q147" s="82" t="str"/>
      <x:c r="R147" s="82" t="str">
        <x:v>Mainline</x:v>
      </x:c>
      <x:c r="S147" s="82" t="str">
        <x:v>Comum / atual</x:v>
      </x:c>
      <x:c r="T147" s="82" t="str">
        <x:v>Lançado</x:v>
      </x:c>
      <x:c r="U147" s="82" t="str">
        <x:v>Base code(s): H46, H47, H48</x:v>
      </x:c>
      <x:c r="V147" s="80" t="str">
        <x:v>Coleção principal (~1:64)</x:v>
      </x:c>
      <x:c r="W147" s="82" t="str">
        <x:v>https://hotwheels.fandom.com/wiki/BMW_M4</x:v>
      </x:c>
      <x:c r="X147" s="82" t="str">
        <x:v>https://hotwheels.fandom.com/wiki/BMW_M4</x:v>
      </x:c>
    </x:row>
    <x:row r="148">
      <x:c r="A148" s="80" t="str">
        <x:v>Não</x:v>
      </x:c>
      <x:c r="B148" s="80" t="str">
        <x:v>2 — Completar aos poucos</x:v>
      </x:c>
      <x:c r="C148" s="81" t="n">
        <x:v>2016</x:v>
      </x:c>
      <x:c r="D148" s="80" t="str">
        <x:v>BMW M4</x:v>
      </x:c>
      <x:c r="E148" s="80" t="str">
        <x:v>BMW M4</x:v>
      </x:c>
      <x:c r="F148" s="82" t="str">
        <x:v>BMW 4/5</x:v>
      </x:c>
      <x:c r="G148" s="80" t="str"/>
      <x:c r="H148" s="80" t="str">
        <x:v>189/250</x:v>
      </x:c>
      <x:c r="I148" s="83" t="str">
        <x:v>DHX62</x:v>
      </x:c>
      <x:c r="J148" s="80" t="str">
        <x:v>White</x:v>
      </x:c>
      <x:c r="K148" s="82" t="str">
        <x:v>Detailed Front &amp; Rear</x:v>
      </x:c>
      <x:c r="L148" s="82" t="str">
        <x:v>TRAP5</x:v>
      </x:c>
      <x:c r="M148" s="82" t="str">
        <x:v>Black / Plastic</x:v>
      </x:c>
      <x:c r="N148" s="82" t="str">
        <x:v>Heavy smoke tint</x:v>
      </x:c>
      <x:c r="O148" s="82" t="str">
        <x:v>Dark Grey</x:v>
      </x:c>
      <x:c r="P148" s="82" t="str">
        <x:v>Malaysia</x:v>
      </x:c>
      <x:c r="Q148" s="82" t="str"/>
      <x:c r="R148" s="82" t="str">
        <x:v>Mainline</x:v>
      </x:c>
      <x:c r="S148" s="82" t="str">
        <x:v>Comum / atual</x:v>
      </x:c>
      <x:c r="T148" s="82" t="str">
        <x:v>Lançado</x:v>
      </x:c>
      <x:c r="U148" s="82" t="str">
        <x:v>Base code(s): J15, J18, J19</x:v>
      </x:c>
      <x:c r="V148" s="80" t="str">
        <x:v>Coleção principal (~1:64)</x:v>
      </x:c>
      <x:c r="W148" s="82" t="str">
        <x:v>https://hotwheels.fandom.com/wiki/BMW_M4</x:v>
      </x:c>
      <x:c r="X148" s="82" t="str">
        <x:v>https://hotwheels.fandom.com/wiki/BMW_M4</x:v>
      </x:c>
    </x:row>
    <x:row r="149">
      <x:c r="A149" s="80" t="str">
        <x:v>Não</x:v>
      </x:c>
      <x:c r="B149" s="80" t="str">
        <x:v>2 — Completar aos poucos</x:v>
      </x:c>
      <x:c r="C149" s="81" t="n">
        <x:v>2016</x:v>
      </x:c>
      <x:c r="D149" s="80" t="str">
        <x:v>BMW Z4 M Motorsport</x:v>
      </x:c>
      <x:c r="E149" s="80" t="str">
        <x:v>BMW Z4 M Motorsport</x:v>
      </x:c>
      <x:c r="F149" s="82" t="str">
        <x:v>BMW 3/5</x:v>
      </x:c>
      <x:c r="G149" s="80" t="str"/>
      <x:c r="H149" s="80" t="str">
        <x:v>188/250</x:v>
      </x:c>
      <x:c r="I149" s="83" t="str">
        <x:v>DHR82</x:v>
      </x:c>
      <x:c r="J149" s="80" t="str">
        <x:v>Metalflake Dark Blue</x:v>
      </x:c>
      <x:c r="K149" s="82" t="str">
        <x:v>Red &amp; Blue stripes on sides &amp; hood, '44' on sides &amp; hood, BMW logo on sides &amp; hood</x:v>
      </x:c>
      <x:c r="L149" s="82" t="str">
        <x:v>PR5</x:v>
      </x:c>
      <x:c r="M149" s="82" t="str">
        <x:v>Metalflake Gray / Plastic</x:v>
      </x:c>
      <x:c r="N149" s="82" t="str">
        <x:v>Clear</x:v>
      </x:c>
      <x:c r="O149" s="82" t="str">
        <x:v>Gray</x:v>
      </x:c>
      <x:c r="P149" s="82" t="str">
        <x:v>Malaysia</x:v>
      </x:c>
      <x:c r="Q149" s="82" t="str"/>
      <x:c r="R149" s="82" t="str">
        <x:v>Mainline</x:v>
      </x:c>
      <x:c r="S149" s="82" t="str">
        <x:v>Comum / atual</x:v>
      </x:c>
      <x:c r="T149" s="82" t="str">
        <x:v>Lançado</x:v>
      </x:c>
      <x:c r="U149" s="82" t="str">
        <x:v>Base code(s): J10, J11, J12, J14, J15, J18</x:v>
      </x:c>
      <x:c r="V149" s="80" t="str">
        <x:v>Coleção principal (~1:64)</x:v>
      </x:c>
      <x:c r="W149" s="82" t="str">
        <x:v>https://hotwheels.fandom.com/wiki/BMW_Z4_M_Motorsport</x:v>
      </x:c>
      <x:c r="X149" s="82" t="str">
        <x:v>https://hotwheels.fandom.com/wiki/BMW_Z4_M_Motorsport</x:v>
      </x:c>
    </x:row>
    <x:row r="150">
      <x:c r="A150" s="80" t="str">
        <x:v>Não</x:v>
      </x:c>
      <x:c r="B150" s="80" t="str">
        <x:v>2 — Completar aos poucos</x:v>
      </x:c>
      <x:c r="C150" s="81" t="n">
        <x:v>2016</x:v>
      </x:c>
      <x:c r="D150" s="80" t="str">
        <x:v>BMW Z4 M Motorsport</x:v>
      </x:c>
      <x:c r="E150" s="80" t="str">
        <x:v>BMW Z4 M Motorsport</x:v>
      </x:c>
      <x:c r="F150" s="82" t="str">
        <x:v>BMW 7/8</x:v>
      </x:c>
      <x:c r="G150" s="80" t="str"/>
      <x:c r="H150" s="80" t="str"/>
      <x:c r="I150" s="83" t="str">
        <x:v>DJM86</x:v>
      </x:c>
      <x:c r="J150" s="80" t="str">
        <x:v>Gray</x:v>
      </x:c>
      <x:c r="K150" s="82" t="str">
        <x:v>Black and Red stripes on sides and hood, '04' on sides and hood</x:v>
      </x:c>
      <x:c r="L150" s="82" t="str">
        <x:v>Black &amp; red PR5</x:v>
      </x:c>
      <x:c r="M150" s="82" t="str">
        <x:v>Black / Plastic</x:v>
      </x:c>
      <x:c r="N150" s="82" t="str">
        <x:v>Clear</x:v>
      </x:c>
      <x:c r="O150" s="82" t="str">
        <x:v>Gray</x:v>
      </x:c>
      <x:c r="P150" s="82" t="str">
        <x:v>Thailand</x:v>
      </x:c>
      <x:c r="Q150" s="82" t="str"/>
      <x:c r="R150" s="82" t="str">
        <x:v>Outra linha</x:v>
      </x:c>
      <x:c r="S150" s="82" t="str">
        <x:v>Comum / atual</x:v>
      </x:c>
      <x:c r="T150" s="82" t="str">
        <x:v>Lançado</x:v>
      </x:c>
      <x:c r="U150" s="82" t="str">
        <x:v>Named BMW Z4 M Base code(s): H49, H52, J24, J27</x:v>
      </x:c>
      <x:c r="V150" s="80" t="str">
        <x:v>Coleção principal (~1:64)</x:v>
      </x:c>
      <x:c r="W150" s="82" t="str">
        <x:v>https://hotwheels.fandom.com/wiki/BMW_Z4_M_Motorsport</x:v>
      </x:c>
      <x:c r="X150" s="82" t="str">
        <x:v>https://hotwheels.fandom.com/wiki/BMW_Z4_M_Motorsport</x:v>
      </x:c>
    </x:row>
    <x:row r="151">
      <x:c r="A151" s="80" t="str">
        <x:v>Não</x:v>
      </x:c>
      <x:c r="B151" s="80" t="str">
        <x:v>2 — Completar aos poucos</x:v>
      </x:c>
      <x:c r="C151" s="81" t="n">
        <x:v>2015</x:v>
      </x:c>
      <x:c r="D151" s="80" t="str">
        <x:v>BMW 2002</x:v>
      </x:c>
      <x:c r="E151" s="80" t="str">
        <x:v>BMW 2002</x:v>
      </x:c>
      <x:c r="F151" s="82" t="str">
        <x:v>Hot Wheels Heritage: Real Riders 11/18</x:v>
      </x:c>
      <x:c r="G151" s="80" t="str"/>
      <x:c r="H151" s="80" t="str"/>
      <x:c r="I151" s="83" t="str">
        <x:v>CFN64</x:v>
      </x:c>
      <x:c r="J151" s="80" t="str">
        <x:v>Metalflake Silver</x:v>
      </x:c>
      <x:c r="K151" s="82" t="str">
        <x:v>Black &amp; Blue stripes on sides, hood, &amp; trunk, '02' on sides, Goodyear logo on sides</x:v>
      </x:c>
      <x:c r="L151" s="82" t="str">
        <x:v>Chrome &amp; Black RR8SP</x:v>
      </x:c>
      <x:c r="M151" s="82" t="str">
        <x:v>ZAMAC</x:v>
      </x:c>
      <x:c r="N151" s="82" t="str">
        <x:v>Blue tint</x:v>
      </x:c>
      <x:c r="O151" s="82" t="str">
        <x:v>Grey</x:v>
      </x:c>
      <x:c r="P151" s="82" t="str">
        <x:v>Malaysia</x:v>
      </x:c>
      <x:c r="Q151" s="82" t="str"/>
      <x:c r="R151" s="82" t="str">
        <x:v>Premium</x:v>
      </x:c>
      <x:c r="S151" s="82" t="str">
        <x:v>Incomum</x:v>
      </x:c>
      <x:c r="T151" s="82" t="str">
        <x:v>Lançado</x:v>
      </x:c>
      <x:c r="U151" s="82" t="str">
        <x:v>Base code(s): H28, H30</x:v>
      </x:c>
      <x:c r="V151" s="80" t="str">
        <x:v>Coleção principal (~1:64)</x:v>
      </x:c>
      <x:c r="W151" s="82" t="str">
        <x:v>https://hotwheels.fandom.com/wiki/BMW_2002</x:v>
      </x:c>
      <x:c r="X151" s="82" t="str">
        <x:v>https://hotwheels.fandom.com/wiki/BMW_2002</x:v>
      </x:c>
    </x:row>
    <x:row r="152">
      <x:c r="A152" s="80" t="str">
        <x:v>Não</x:v>
      </x:c>
      <x:c r="B152" s="80" t="str">
        <x:v>2 — Completar aos poucos</x:v>
      </x:c>
      <x:c r="C152" s="81" t="n">
        <x:v>2015</x:v>
      </x:c>
      <x:c r="D152" s="80" t="str">
        <x:v>BMW E36 M3 Race</x:v>
      </x:c>
      <x:c r="E152" s="80" t="str">
        <x:v>BMW E36 M3 Race</x:v>
      </x:c>
      <x:c r="F152" s="82" t="str">
        <x:v>HW Race: World Race</x:v>
      </x:c>
      <x:c r="G152" s="80" t="str"/>
      <x:c r="H152" s="80" t="str">
        <x:v>146/250</x:v>
      </x:c>
      <x:c r="I152" s="83" t="str">
        <x:v>CFJ61</x:v>
      </x:c>
      <x:c r="J152" s="80" t="str">
        <x:v>Black</x:v>
      </x:c>
      <x:c r="K152" s="82" t="str">
        <x:v>Red, Silver, &amp; Blue stripes on sides &amp; hood, sponsor logos &amp; White '232' on sides &amp; hood</x:v>
      </x:c>
      <x:c r="L152" s="82" t="str">
        <x:v>10SP</x:v>
      </x:c>
      <x:c r="M152" s="82" t="str">
        <x:v>Grey / Plastic</x:v>
      </x:c>
      <x:c r="N152" s="82" t="str">
        <x:v>Clear</x:v>
      </x:c>
      <x:c r="O152" s="82" t="str">
        <x:v>Grey</x:v>
      </x:c>
      <x:c r="P152" s="82" t="str">
        <x:v>Malaysia</x:v>
      </x:c>
      <x:c r="Q152" s="82" t="str"/>
      <x:c r="R152" s="82" t="str">
        <x:v>Mainline</x:v>
      </x:c>
      <x:c r="S152" s="82" t="str">
        <x:v>Incomum</x:v>
      </x:c>
      <x:c r="T152" s="82" t="str">
        <x:v>Lançado</x:v>
      </x:c>
      <x:c r="U152" s="82" t="str">
        <x:v>Base code(s): H07, H08, H09</x:v>
      </x:c>
      <x:c r="V152" s="80" t="str">
        <x:v>Coleção principal (~1:64)</x:v>
      </x:c>
      <x:c r="W152" s="82" t="str">
        <x:v>https://hotwheels.fandom.com/wiki/BMW_E36_M3_Race</x:v>
      </x:c>
      <x:c r="X152" s="82" t="str">
        <x:v>https://hotwheels.fandom.com/wiki/BMW_E36_M3_Race</x:v>
      </x:c>
    </x:row>
    <x:row r="153">
      <x:c r="A153" s="80" t="str">
        <x:v>Não</x:v>
      </x:c>
      <x:c r="B153" s="80" t="str">
        <x:v>2 — Completar aos poucos</x:v>
      </x:c>
      <x:c r="C153" s="81" t="n">
        <x:v>2015</x:v>
      </x:c>
      <x:c r="D153" s="80" t="str">
        <x:v>BMW E36 M3 Race</x:v>
      </x:c>
      <x:c r="E153" s="80" t="str">
        <x:v>BMW E36 M3 Race</x:v>
      </x:c>
      <x:c r="F153" s="82" t="str">
        <x:v>HW Race: World Race</x:v>
      </x:c>
      <x:c r="G153" s="80" t="str"/>
      <x:c r="H153" s="80" t="str">
        <x:v>146/250</x:v>
      </x:c>
      <x:c r="I153" s="83" t="str">
        <x:v>CFK90</x:v>
      </x:c>
      <x:c r="J153" s="80" t="str">
        <x:v>Blue</x:v>
      </x:c>
      <x:c r="K153" s="82" t="str">
        <x:v>Red, White, &amp; Blue stripes on sides &amp; hood, sponsor logos &amp; White '232' on sides &amp; hood</x:v>
      </x:c>
      <x:c r="L153" s="82" t="str">
        <x:v>10SP</x:v>
      </x:c>
      <x:c r="M153" s="82" t="str">
        <x:v>Black / Plastic</x:v>
      </x:c>
      <x:c r="N153" s="82" t="str">
        <x:v>Clear</x:v>
      </x:c>
      <x:c r="O153" s="82" t="str">
        <x:v>Black</x:v>
      </x:c>
      <x:c r="P153" s="82" t="str">
        <x:v>Malaysia</x:v>
      </x:c>
      <x:c r="Q153" s="82" t="str"/>
      <x:c r="R153" s="82" t="str">
        <x:v>Mainline</x:v>
      </x:c>
      <x:c r="S153" s="82" t="str">
        <x:v>Incomum</x:v>
      </x:c>
      <x:c r="T153" s="82" t="str">
        <x:v>Lançado</x:v>
      </x:c>
      <x:c r="U153" s="82" t="str">
        <x:v>Base code(s): G47</x:v>
      </x:c>
      <x:c r="V153" s="80" t="str">
        <x:v>Coleção principal (~1:64)</x:v>
      </x:c>
      <x:c r="W153" s="82" t="str">
        <x:v>https://hotwheels.fandom.com/wiki/BMW_E36_M3_Race</x:v>
      </x:c>
      <x:c r="X153" s="82" t="str">
        <x:v>https://hotwheels.fandom.com/wiki/BMW_E36_M3_Race</x:v>
      </x:c>
    </x:row>
    <x:row r="154">
      <x:c r="A154" s="80" t="str">
        <x:v>Não</x:v>
      </x:c>
      <x:c r="B154" s="80" t="str">
        <x:v>2 — Completar aos poucos</x:v>
      </x:c>
      <x:c r="C154" s="81" t="n">
        <x:v>2015</x:v>
      </x:c>
      <x:c r="D154" s="80" t="str">
        <x:v>BMW M4</x:v>
      </x:c>
      <x:c r="E154" s="80" t="str">
        <x:v>BMW M4</x:v>
      </x:c>
      <x:c r="F154" s="82" t="str">
        <x:v>HW City: Street Power</x:v>
      </x:c>
      <x:c r="G154" s="80" t="str"/>
      <x:c r="H154" s="80" t="str">
        <x:v>024/250</x:v>
      </x:c>
      <x:c r="I154" s="83" t="str">
        <x:v>CFL31</x:v>
      </x:c>
      <x:c r="J154" s="80" t="str">
        <x:v>Metalflake Vegas Gold</x:v>
      </x:c>
      <x:c r="K154" s="82" t="str">
        <x:v>Detailed Front &amp; Rear</x:v>
      </x:c>
      <x:c r="L154" s="82" t="str">
        <x:v>PR5</x:v>
      </x:c>
      <x:c r="M154" s="82" t="str">
        <x:v>Black / Plastic</x:v>
      </x:c>
      <x:c r="N154" s="82" t="str">
        <x:v>Heavy smoke tint</x:v>
      </x:c>
      <x:c r="O154" s="82" t="str">
        <x:v>Black</x:v>
      </x:c>
      <x:c r="P154" s="82" t="str">
        <x:v>Malaysia</x:v>
      </x:c>
      <x:c r="Q154" s="82" t="str"/>
      <x:c r="R154" s="82" t="str">
        <x:v>Mainline</x:v>
      </x:c>
      <x:c r="S154" s="82" t="str">
        <x:v>Incomum</x:v>
      </x:c>
      <x:c r="T154" s="82" t="str">
        <x:v>Lançado</x:v>
      </x:c>
      <x:c r="U154" s="82" t="str">
        <x:v>New Model Base code(s): H22, H23, H24</x:v>
      </x:c>
      <x:c r="V154" s="80" t="str">
        <x:v>Coleção principal (~1:64)</x:v>
      </x:c>
      <x:c r="W154" s="82" t="str">
        <x:v>https://hotwheels.fandom.com/wiki/BMW_M4</x:v>
      </x:c>
      <x:c r="X154" s="82" t="str">
        <x:v>https://hotwheels.fandom.com/wiki/BMW_M4</x:v>
      </x:c>
    </x:row>
    <x:row r="155">
      <x:c r="A155" s="80" t="str">
        <x:v>Não</x:v>
      </x:c>
      <x:c r="B155" s="80" t="str">
        <x:v>2 — Completar aos poucos</x:v>
      </x:c>
      <x:c r="C155" s="81" t="n">
        <x:v>2015</x:v>
      </x:c>
      <x:c r="D155" s="80" t="str">
        <x:v>BMW M4</x:v>
      </x:c>
      <x:c r="E155" s="80" t="str">
        <x:v>BMW M4</x:v>
      </x:c>
      <x:c r="F155" s="82" t="str">
        <x:v>HW City: Street Power</x:v>
      </x:c>
      <x:c r="G155" s="80" t="str"/>
      <x:c r="H155" s="80" t="str">
        <x:v>024/250</x:v>
      </x:c>
      <x:c r="I155" s="83" t="str">
        <x:v>CFH07</x:v>
      </x:c>
      <x:c r="J155" s="80" t="str">
        <x:v>Yas Marina Blue</x:v>
      </x:c>
      <x:c r="K155" s="82" t="str">
        <x:v>Detailed Front &amp; Rear</x:v>
      </x:c>
      <x:c r="L155" s="82" t="str">
        <x:v>PR5</x:v>
      </x:c>
      <x:c r="M155" s="82" t="str">
        <x:v>Black / Plastic</x:v>
      </x:c>
      <x:c r="N155" s="82" t="str">
        <x:v>Heavy smoke tint</x:v>
      </x:c>
      <x:c r="O155" s="82" t="str">
        <x:v>Black</x:v>
      </x:c>
      <x:c r="P155" s="82" t="str">
        <x:v>Malaysia</x:v>
      </x:c>
      <x:c r="Q155" s="82" t="str"/>
      <x:c r="R155" s="82" t="str">
        <x:v>Mainline</x:v>
      </x:c>
      <x:c r="S155" s="82" t="str">
        <x:v>Incomum</x:v>
      </x:c>
      <x:c r="T155" s="82" t="str">
        <x:v>Lançado</x:v>
      </x:c>
      <x:c r="U155" s="82" t="str">
        <x:v>New Model Base code(s): G51, H02, H03, H04</x:v>
      </x:c>
      <x:c r="V155" s="80" t="str">
        <x:v>Coleção principal (~1:64)</x:v>
      </x:c>
      <x:c r="W155" s="82" t="str">
        <x:v>https://hotwheels.fandom.com/wiki/BMW_M4</x:v>
      </x:c>
      <x:c r="X155" s="82" t="str">
        <x:v>https://hotwheels.fandom.com/wiki/BMW_M4</x:v>
      </x:c>
    </x:row>
    <x:row r="156">
      <x:c r="A156" s="80" t="str">
        <x:v>Não</x:v>
      </x:c>
      <x:c r="B156" s="80" t="str">
        <x:v>2 — Completar aos poucos</x:v>
      </x:c>
      <x:c r="C156" s="81" t="n">
        <x:v>2014</x:v>
      </x:c>
      <x:c r="D156" s="80" t="str">
        <x:v>'92 BMW M3</x:v>
      </x:c>
      <x:c r="E156" s="80" t="str">
        <x:v>'92 BMW M3</x:v>
      </x:c>
      <x:c r="F156" s="82" t="str">
        <x:v>HW Workshop: HW All Stars</x:v>
      </x:c>
      <x:c r="G156" s="80" t="str"/>
      <x:c r="H156" s="80" t="str">
        <x:v>195/250</x:v>
      </x:c>
      <x:c r="I156" s="83" t="str">
        <x:v>BFV60</x:v>
      </x:c>
      <x:c r="J156" s="80" t="str">
        <x:v>Gold afflair white</x:v>
      </x:c>
      <x:c r="K156" s="82" t="str">
        <x:v>BMW classic stripes</x:v>
      </x:c>
      <x:c r="L156" s="82" t="str">
        <x:v>WPR5</x:v>
      </x:c>
      <x:c r="M156" s="82" t="str">
        <x:v>Gray / Plastic</x:v>
      </x:c>
      <x:c r="N156" s="82" t="str">
        <x:v>Blue tint</x:v>
      </x:c>
      <x:c r="O156" s="82" t="str">
        <x:v>Blue</x:v>
      </x:c>
      <x:c r="P156" s="82" t="str">
        <x:v>Malaysia</x:v>
      </x:c>
      <x:c r="Q156" s="82" t="str">
        <x:v>Kmart</x:v>
      </x:c>
      <x:c r="R156" s="82" t="str">
        <x:v>Mainline</x:v>
      </x:c>
      <x:c r="S156" s="82" t="str">
        <x:v>Rara</x:v>
      </x:c>
      <x:c r="T156" s="82" t="str">
        <x:v>Lançado</x:v>
      </x:c>
      <x:c r="U156" s="82" t="str">
        <x:v>Kmart Exclusive Base code(s): F49</x:v>
      </x:c>
      <x:c r="V156" s="80" t="str">
        <x:v>Coleção principal (~1:64)</x:v>
      </x:c>
      <x:c r="W156" s="82" t="str">
        <x:v>https://hotwheels.fandom.com/wiki/%2792_BMW_M3</x:v>
      </x:c>
      <x:c r="X156" s="82" t="str">
        <x:v>https://hotwheels.fandom.com/wiki/%2792_BMW_M3</x:v>
      </x:c>
    </x:row>
    <x:row r="157">
      <x:c r="A157" s="80" t="str">
        <x:v>Não</x:v>
      </x:c>
      <x:c r="B157" s="80" t="str">
        <x:v>2 — Completar aos poucos</x:v>
      </x:c>
      <x:c r="C157" s="81" t="n">
        <x:v>2014</x:v>
      </x:c>
      <x:c r="D157" s="80" t="str">
        <x:v>'92 BMW M3</x:v>
      </x:c>
      <x:c r="E157" s="80" t="str">
        <x:v>'92 BMW M3</x:v>
      </x:c>
      <x:c r="F157" s="82" t="str">
        <x:v>HW Workshop: HW All Stars</x:v>
      </x:c>
      <x:c r="G157" s="80" t="str"/>
      <x:c r="H157" s="80" t="str">
        <x:v>195/250</x:v>
      </x:c>
      <x:c r="I157" s="83" t="str">
        <x:v>BFD69</x:v>
      </x:c>
      <x:c r="J157" s="80" t="str">
        <x:v>Red</x:v>
      </x:c>
      <x:c r="K157" s="82" t="str">
        <x:v>BMW Classic stripes</x:v>
      </x:c>
      <x:c r="L157" s="82" t="str">
        <x:v>CBPR5</x:v>
      </x:c>
      <x:c r="M157" s="82" t="str">
        <x:v>Gray / Plastic</x:v>
      </x:c>
      <x:c r="N157" s="82" t="str">
        <x:v>Blue tint</x:v>
      </x:c>
      <x:c r="O157" s="82" t="str">
        <x:v>Black</x:v>
      </x:c>
      <x:c r="P157" s="82" t="str">
        <x:v>Malaysia</x:v>
      </x:c>
      <x:c r="Q157" s="82" t="str"/>
      <x:c r="R157" s="82" t="str">
        <x:v>Mainline</x:v>
      </x:c>
      <x:c r="S157" s="82" t="str">
        <x:v>Incomum</x:v>
      </x:c>
      <x:c r="T157" s="82" t="str">
        <x:v>Lançado</x:v>
      </x:c>
      <x:c r="U157" s="82" t="str">
        <x:v>Some have roll cage (F34) Base code(s): F34, F38, F40, F41</x:v>
      </x:c>
      <x:c r="V157" s="80" t="str">
        <x:v>Coleção principal (~1:64)</x:v>
      </x:c>
      <x:c r="W157" s="82" t="str">
        <x:v>https://hotwheels.fandom.com/wiki/%2792_BMW_M3</x:v>
      </x:c>
      <x:c r="X157" s="82" t="str">
        <x:v>https://hotwheels.fandom.com/wiki/%2792_BMW_M3</x:v>
      </x:c>
    </x:row>
    <x:row r="158">
      <x:c r="A158" s="80" t="str">
        <x:v>Não</x:v>
      </x:c>
      <x:c r="B158" s="80" t="str">
        <x:v>2 — Completar aos poucos</x:v>
      </x:c>
      <x:c r="C158" s="81" t="n">
        <x:v>2014</x:v>
      </x:c>
      <x:c r="D158" s="80" t="str">
        <x:v>BMW E36 M3 Race</x:v>
      </x:c>
      <x:c r="E158" s="80" t="str">
        <x:v>BMW E36 M3 Race</x:v>
      </x:c>
      <x:c r="F158" s="82" t="str">
        <x:v>HW Race: Track Aces</x:v>
      </x:c>
      <x:c r="G158" s="80" t="str"/>
      <x:c r="H158" s="80" t="str">
        <x:v>169/250</x:v>
      </x:c>
      <x:c r="I158" s="83" t="str">
        <x:v>BFG64</x:v>
      </x:c>
      <x:c r="J158" s="80" t="str">
        <x:v>Red</x:v>
      </x:c>
      <x:c r="K158" s="82" t="str">
        <x:v>Black, Blue &amp; White checkerboard on sides &amp; hood, '36' on sides &amp; hood</x:v>
      </x:c>
      <x:c r="L158" s="82" t="str">
        <x:v>10SP</x:v>
      </x:c>
      <x:c r="M158" s="82" t="str">
        <x:v>Black / Plastic</x:v>
      </x:c>
      <x:c r="N158" s="82" t="str">
        <x:v>Clear</x:v>
      </x:c>
      <x:c r="O158" s="82" t="str">
        <x:v>Black</x:v>
      </x:c>
      <x:c r="P158" s="82" t="str">
        <x:v>Malaysia</x:v>
      </x:c>
      <x:c r="Q158" s="82" t="str"/>
      <x:c r="R158" s="82" t="str">
        <x:v>Mainline</x:v>
      </x:c>
      <x:c r="S158" s="82" t="str">
        <x:v>Incomum</x:v>
      </x:c>
      <x:c r="T158" s="82" t="str">
        <x:v>Lançado</x:v>
      </x:c>
      <x:c r="U158" s="82" t="str">
        <x:v>New Model Base code(s): G29, G30, G31, G32, G33</x:v>
      </x:c>
      <x:c r="V158" s="80" t="str">
        <x:v>Coleção principal (~1:64)</x:v>
      </x:c>
      <x:c r="W158" s="82" t="str">
        <x:v>https://hotwheels.fandom.com/wiki/BMW_E36_M3_Race</x:v>
      </x:c>
      <x:c r="X158" s="82" t="str">
        <x:v>https://hotwheels.fandom.com/wiki/BMW_E36_M3_Race</x:v>
      </x:c>
    </x:row>
    <x:row r="159">
      <x:c r="A159" s="80" t="str">
        <x:v>Não</x:v>
      </x:c>
      <x:c r="B159" s="80" t="str">
        <x:v>2 — Completar aos poucos</x:v>
      </x:c>
      <x:c r="C159" s="81" t="n">
        <x:v>2014</x:v>
      </x:c>
      <x:c r="D159" s="80" t="str">
        <x:v>BMW E36 M3 Race</x:v>
      </x:c>
      <x:c r="E159" s="80" t="str">
        <x:v>BMW E36 M3 Race</x:v>
      </x:c>
      <x:c r="F159" s="82" t="str">
        <x:v>HW Race: Track Aces</x:v>
      </x:c>
      <x:c r="G159" s="80" t="str"/>
      <x:c r="H159" s="80" t="str">
        <x:v>169/250</x:v>
      </x:c>
      <x:c r="I159" s="83" t="str">
        <x:v>BDD07</x:v>
      </x:c>
      <x:c r="J159" s="80" t="str">
        <x:v>White</x:v>
      </x:c>
      <x:c r="K159" s="82" t="str">
        <x:v>Black, Blue &amp; Red checkerboard on sides &amp; hood, '36' Goodyear logo &amp; Hot wheels logo on sides. '36' on hood</x:v>
      </x:c>
      <x:c r="L159" s="82" t="str">
        <x:v>10SP</x:v>
      </x:c>
      <x:c r="M159" s="82" t="str">
        <x:v>Black / Plastic</x:v>
      </x:c>
      <x:c r="N159" s="82" t="str">
        <x:v>Tinted (Black)</x:v>
      </x:c>
      <x:c r="O159" s="82" t="str">
        <x:v>Black</x:v>
      </x:c>
      <x:c r="P159" s="82" t="str">
        <x:v>Malaysia</x:v>
      </x:c>
      <x:c r="Q159" s="82" t="str"/>
      <x:c r="R159" s="82" t="str">
        <x:v>Mainline</x:v>
      </x:c>
      <x:c r="S159" s="82" t="str">
        <x:v>Incomum</x:v>
      </x:c>
      <x:c r="T159" s="82" t="str">
        <x:v>Lançado</x:v>
      </x:c>
      <x:c r="U159" s="82" t="str">
        <x:v>New Model Base code(s): G20, G21, G22, G23</x:v>
      </x:c>
      <x:c r="V159" s="80" t="str">
        <x:v>Coleção principal (~1:64)</x:v>
      </x:c>
      <x:c r="W159" s="82" t="str">
        <x:v>https://hotwheels.fandom.com/wiki/BMW_E36_M3_Race</x:v>
      </x:c>
      <x:c r="X159" s="82" t="str">
        <x:v>https://hotwheels.fandom.com/wiki/BMW_E36_M3_Race</x:v>
      </x:c>
    </x:row>
    <x:row r="160">
      <x:c r="A160" s="80" t="str">
        <x:v>Não</x:v>
      </x:c>
      <x:c r="B160" s="80" t="str">
        <x:v>2 — Completar aos poucos</x:v>
      </x:c>
      <x:c r="C160" s="81" t="n">
        <x:v>2013</x:v>
      </x:c>
      <x:c r="D160" s="80" t="str">
        <x:v>'10 BMW M3</x:v>
      </x:c>
      <x:c r="E160" s="80" t="str">
        <x:v>'10 BMW M3</x:v>
      </x:c>
      <x:c r="F160" s="82" t="str">
        <x:v>HW City: Street Power</x:v>
      </x:c>
      <x:c r="G160" s="80" t="str"/>
      <x:c r="H160" s="80" t="str">
        <x:v>007/250</x:v>
      </x:c>
      <x:c r="I160" s="83" t="str">
        <x:v>X1666</x:v>
      </x:c>
      <x:c r="J160" s="80" t="str">
        <x:v>Blue</x:v>
      </x:c>
      <x:c r="K160" s="82" t="str">
        <x:v>Detailed headlights, front grille + badge, and hood vents</x:v>
      </x:c>
      <x:c r="L160" s="82" t="str">
        <x:v>PR5</x:v>
      </x:c>
      <x:c r="M160" s="82" t="str">
        <x:v>Gray / Plastic</x:v>
      </x:c>
      <x:c r="N160" s="82" t="str">
        <x:v>Clear</x:v>
      </x:c>
      <x:c r="O160" s="82" t="str">
        <x:v>Black</x:v>
      </x:c>
      <x:c r="P160" s="82" t="str">
        <x:v>Malaysia</x:v>
      </x:c>
      <x:c r="Q160" s="82" t="str"/>
      <x:c r="R160" s="82" t="str">
        <x:v>Mainline</x:v>
      </x:c>
      <x:c r="S160" s="82" t="str">
        <x:v>Incomum</x:v>
      </x:c>
      <x:c r="T160" s="82" t="str">
        <x:v>Lançado</x:v>
      </x:c>
      <x:c r="U160" s="82" t="str">
        <x:v>Base codes: E36, E38</x:v>
      </x:c>
      <x:c r="V160" s="80" t="str">
        <x:v>Coleção principal (~1:64)</x:v>
      </x:c>
      <x:c r="W160" s="82" t="str">
        <x:v>https://hotwheels.fandom.com/wiki/%2710_BMW_M3</x:v>
      </x:c>
      <x:c r="X160" s="82" t="str">
        <x:v>https://hotwheels.fandom.com/wiki/%2710_BMW_M3</x:v>
      </x:c>
    </x:row>
    <x:row r="161">
      <x:c r="A161" s="80" t="str">
        <x:v>Não</x:v>
      </x:c>
      <x:c r="B161" s="80" t="str">
        <x:v>2 — Completar aos poucos</x:v>
      </x:c>
      <x:c r="C161" s="81" t="n">
        <x:v>2013</x:v>
      </x:c>
      <x:c r="D161" s="80" t="str">
        <x:v>'10 BMW M3</x:v>
      </x:c>
      <x:c r="E161" s="80" t="str">
        <x:v>'10 BMW M3</x:v>
      </x:c>
      <x:c r="F161" s="82" t="str">
        <x:v>HW City: Street Power</x:v>
      </x:c>
      <x:c r="G161" s="80" t="str"/>
      <x:c r="H161" s="80" t="str">
        <x:v>007/250</x:v>
      </x:c>
      <x:c r="I161" s="83" t="str">
        <x:v>X1871</x:v>
      </x:c>
      <x:c r="J161" s="80" t="str">
        <x:v>Metallic Black</x:v>
      </x:c>
      <x:c r="K161" s="82" t="str">
        <x:v>Detailed headlights, front grille + badge, and hood vents</x:v>
      </x:c>
      <x:c r="L161" s="82" t="str">
        <x:v>10SP</x:v>
      </x:c>
      <x:c r="M161" s="82" t="str">
        <x:v>Gray / Plastic</x:v>
      </x:c>
      <x:c r="N161" s="82" t="str">
        <x:v>Clear</x:v>
      </x:c>
      <x:c r="O161" s="82" t="str">
        <x:v>Gray</x:v>
      </x:c>
      <x:c r="P161" s="82" t="str">
        <x:v>Malaysia</x:v>
      </x:c>
      <x:c r="Q161" s="82" t="str"/>
      <x:c r="R161" s="82" t="str">
        <x:v>Mainline</x:v>
      </x:c>
      <x:c r="S161" s="82" t="str">
        <x:v>Incomum</x:v>
      </x:c>
      <x:c r="T161" s="82" t="str">
        <x:v>Lançado</x:v>
      </x:c>
      <x:c r="U161" s="82" t="str">
        <x:v>Base codes: E49, E52, F06</x:v>
      </x:c>
      <x:c r="V161" s="80" t="str">
        <x:v>Coleção principal (~1:64)</x:v>
      </x:c>
      <x:c r="W161" s="82" t="str">
        <x:v>https://hotwheels.fandom.com/wiki/%2710_BMW_M3</x:v>
      </x:c>
      <x:c r="X161" s="82" t="str">
        <x:v>https://hotwheels.fandom.com/wiki/%2710_BMW_M3</x:v>
      </x:c>
    </x:row>
    <x:row r="162">
      <x:c r="A162" s="80" t="str">
        <x:v>Não</x:v>
      </x:c>
      <x:c r="B162" s="80" t="str">
        <x:v>2 — Completar aos poucos</x:v>
      </x:c>
      <x:c r="C162" s="81" t="n">
        <x:v>2013</x:v>
      </x:c>
      <x:c r="D162" s="80" t="str">
        <x:v>'92 BMW M3</x:v>
      </x:c>
      <x:c r="E162" s="80" t="str">
        <x:v>'92 BMW M3</x:v>
      </x:c>
      <x:c r="F162" s="82" t="str">
        <x:v>HW Showroom: HW All Stars</x:v>
      </x:c>
      <x:c r="G162" s="80" t="str"/>
      <x:c r="H162" s="80" t="str">
        <x:v>172/250</x:v>
      </x:c>
      <x:c r="I162" s="83" t="str">
        <x:v>X1842</x:v>
      </x:c>
      <x:c r="J162" s="80" t="str">
        <x:v>Metalflake Silver</x:v>
      </x:c>
      <x:c r="K162" s="82" t="str">
        <x:v>BMW Classic stripes</x:v>
      </x:c>
      <x:c r="L162" s="82" t="str">
        <x:v>Gold LW</x:v>
      </x:c>
      <x:c r="M162" s="82" t="str">
        <x:v>Black / Plastic</x:v>
      </x:c>
      <x:c r="N162" s="82" t="str">
        <x:v>Smoke tint</x:v>
      </x:c>
      <x:c r="O162" s="82" t="str">
        <x:v>Black</x:v>
      </x:c>
      <x:c r="P162" s="82" t="str">
        <x:v>Malaysia</x:v>
      </x:c>
      <x:c r="Q162" s="82" t="str"/>
      <x:c r="R162" s="82" t="str">
        <x:v>Mainline</x:v>
      </x:c>
      <x:c r="S162" s="82" t="str">
        <x:v>Incomum</x:v>
      </x:c>
      <x:c r="T162" s="82" t="str">
        <x:v>Lançado</x:v>
      </x:c>
      <x:c r="U162" s="82" t="str">
        <x:v>Base code(s): E44, E45, E47, E48</x:v>
      </x:c>
      <x:c r="V162" s="80" t="str">
        <x:v>Coleção principal (~1:64)</x:v>
      </x:c>
      <x:c r="W162" s="82" t="str">
        <x:v>https://hotwheels.fandom.com/wiki/%2792_BMW_M3</x:v>
      </x:c>
      <x:c r="X162" s="82" t="str">
        <x:v>https://hotwheels.fandom.com/wiki/%2792_BMW_M3</x:v>
      </x:c>
    </x:row>
    <x:row r="163">
      <x:c r="A163" s="80" t="str">
        <x:v>Não</x:v>
      </x:c>
      <x:c r="B163" s="80" t="str">
        <x:v>2 — Completar aos poucos</x:v>
      </x:c>
      <x:c r="C163" s="81" t="n">
        <x:v>2013</x:v>
      </x:c>
      <x:c r="D163" s="80" t="str">
        <x:v>'92 BMW M3</x:v>
      </x:c>
      <x:c r="E163" s="80" t="str">
        <x:v>'92 BMW M3</x:v>
      </x:c>
      <x:c r="F163" s="82" t="str">
        <x:v>HW Showroom: HW All Stars</x:v>
      </x:c>
      <x:c r="G163" s="80" t="str"/>
      <x:c r="H163" s="80" t="str">
        <x:v>172/250</x:v>
      </x:c>
      <x:c r="I163" s="83" t="str">
        <x:v>X2031</x:v>
      </x:c>
      <x:c r="J163" s="80" t="str">
        <x:v>Metallic Blue</x:v>
      </x:c>
      <x:c r="K163" s="82" t="str">
        <x:v>BMW Classic stripes</x:v>
      </x:c>
      <x:c r="L163" s="82" t="str">
        <x:v>CBPR5</x:v>
      </x:c>
      <x:c r="M163" s="82" t="str">
        <x:v>Gray / Plastic</x:v>
      </x:c>
      <x:c r="N163" s="82" t="str">
        <x:v>Smoke tint</x:v>
      </x:c>
      <x:c r="O163" s="82" t="str">
        <x:v>White</x:v>
      </x:c>
      <x:c r="P163" s="82" t="str">
        <x:v>Malaysia</x:v>
      </x:c>
      <x:c r="Q163" s="82" t="str"/>
      <x:c r="R163" s="82" t="str">
        <x:v>Mainline</x:v>
      </x:c>
      <x:c r="S163" s="82" t="str">
        <x:v>Incomum</x:v>
      </x:c>
      <x:c r="T163" s="82" t="str">
        <x:v>Lançado</x:v>
      </x:c>
      <x:c r="U163" s="82" t="str">
        <x:v>Base code(s): F10, F13</x:v>
      </x:c>
      <x:c r="V163" s="80" t="str">
        <x:v>Coleção principal (~1:64)</x:v>
      </x:c>
      <x:c r="W163" s="82" t="str">
        <x:v>https://hotwheels.fandom.com/wiki/%2792_BMW_M3</x:v>
      </x:c>
      <x:c r="X163" s="82" t="str">
        <x:v>https://hotwheels.fandom.com/wiki/%2792_BMW_M3</x:v>
      </x:c>
    </x:row>
    <x:row r="164">
      <x:c r="A164" s="80" t="str">
        <x:v>Não</x:v>
      </x:c>
      <x:c r="B164" s="80" t="str">
        <x:v>2 — Completar aos poucos</x:v>
      </x:c>
      <x:c r="C164" s="81" t="n">
        <x:v>2013</x:v>
      </x:c>
      <x:c r="D164" s="80" t="str">
        <x:v>BMW 2002</x:v>
      </x:c>
      <x:c r="E164" s="80" t="str">
        <x:v>BMW 2002</x:v>
      </x:c>
      <x:c r="F164" s="82" t="str">
        <x:v>HW Showroom: Asphalt Assault</x:v>
      </x:c>
      <x:c r="G164" s="80" t="str"/>
      <x:c r="H164" s="80" t="str">
        <x:v>154/250</x:v>
      </x:c>
      <x:c r="I164" s="83" t="str">
        <x:v>X1782</x:v>
      </x:c>
      <x:c r="J164" s="80" t="str">
        <x:v>Dark Green</x:v>
      </x:c>
      <x:c r="K164" s="82" t="str">
        <x:v>Green &amp; Yellow stripes, Silver HW logo on side</x:v>
      </x:c>
      <x:c r="L164" s="82" t="str">
        <x:v>MC5</x:v>
      </x:c>
      <x:c r="M164" s="82" t="str">
        <x:v>Grey / Plastic</x:v>
      </x:c>
      <x:c r="N164" s="82" t="str">
        <x:v>Smoke tint</x:v>
      </x:c>
      <x:c r="O164" s="82" t="str">
        <x:v>Tan</x:v>
      </x:c>
      <x:c r="P164" s="82" t="str">
        <x:v>Malaysia</x:v>
      </x:c>
      <x:c r="Q164" s="82" t="str"/>
      <x:c r="R164" s="82" t="str">
        <x:v>Mainline</x:v>
      </x:c>
      <x:c r="S164" s="82" t="str">
        <x:v>Incomum</x:v>
      </x:c>
      <x:c r="T164" s="82" t="str">
        <x:v>Lançado</x:v>
      </x:c>
      <x:c r="U164" s="82" t="str">
        <x:v>Base code(s): E30, E32, E31, E33, E36, E37, E38</x:v>
      </x:c>
      <x:c r="V164" s="80" t="str">
        <x:v>Coleção principal (~1:64)</x:v>
      </x:c>
      <x:c r="W164" s="82" t="str">
        <x:v>https://hotwheels.fandom.com/wiki/BMW_2002</x:v>
      </x:c>
      <x:c r="X164" s="82" t="str">
        <x:v>https://hotwheels.fandom.com/wiki/BMW_2002</x:v>
      </x:c>
    </x:row>
    <x:row r="165">
      <x:c r="A165" s="80" t="str">
        <x:v>Não</x:v>
      </x:c>
      <x:c r="B165" s="80" t="str">
        <x:v>2 — Completar aos poucos</x:v>
      </x:c>
      <x:c r="C165" s="81" t="n">
        <x:v>2013</x:v>
      </x:c>
      <x:c r="D165" s="80" t="str">
        <x:v>BMW 2002</x:v>
      </x:c>
      <x:c r="E165" s="80" t="str">
        <x:v>BMW 2002</x:v>
      </x:c>
      <x:c r="F165" s="82" t="str">
        <x:v>HW Showroom: Asphalt Assault</x:v>
      </x:c>
      <x:c r="G165" s="80" t="str"/>
      <x:c r="H165" s="80" t="str">
        <x:v>154/250</x:v>
      </x:c>
      <x:c r="I165" s="83" t="str">
        <x:v>X1953</x:v>
      </x:c>
      <x:c r="J165" s="80" t="str">
        <x:v>Metalflake Blue</x:v>
      </x:c>
      <x:c r="K165" s="82" t="str">
        <x:v>Blue &amp; White stripes, Silver HW logo on sides</x:v>
      </x:c>
      <x:c r="L165" s="82" t="str">
        <x:v>MC5</x:v>
      </x:c>
      <x:c r="M165" s="82" t="str">
        <x:v>Grey / Plastic</x:v>
      </x:c>
      <x:c r="N165" s="82" t="str">
        <x:v>Smoke tint</x:v>
      </x:c>
      <x:c r="O165" s="82" t="str">
        <x:v>Grey</x:v>
      </x:c>
      <x:c r="P165" s="82" t="str">
        <x:v>Malaysia</x:v>
      </x:c>
      <x:c r="Q165" s="82" t="str"/>
      <x:c r="R165" s="82" t="str">
        <x:v>Mainline</x:v>
      </x:c>
      <x:c r="S165" s="82" t="str">
        <x:v>Incomum</x:v>
      </x:c>
      <x:c r="T165" s="82" t="str">
        <x:v>Lançado</x:v>
      </x:c>
      <x:c r="U165" s="82" t="str">
        <x:v>Base code(s): E41, E42, E43, E44, E45, E46</x:v>
      </x:c>
      <x:c r="V165" s="80" t="str">
        <x:v>Coleção principal (~1:64)</x:v>
      </x:c>
      <x:c r="W165" s="82" t="str">
        <x:v>https://hotwheels.fandom.com/wiki/BMW_2002</x:v>
      </x:c>
      <x:c r="X165" s="82" t="str">
        <x:v>https://hotwheels.fandom.com/wiki/BMW_2002</x:v>
      </x:c>
    </x:row>
    <x:row r="166">
      <x:c r="A166" s="80" t="str">
        <x:v>Não</x:v>
      </x:c>
      <x:c r="B166" s="80" t="str">
        <x:v>2 — Completar aos poucos</x:v>
      </x:c>
      <x:c r="C166" s="81" t="n">
        <x:v>2013</x:v>
      </x:c>
      <x:c r="D166" s="80" t="str">
        <x:v>BMW 2002</x:v>
      </x:c>
      <x:c r="E166" s="80" t="str">
        <x:v>BMW 2002</x:v>
      </x:c>
      <x:c r="F166" s="82" t="str">
        <x:v>HW Showroom: Asphalt Assault</x:v>
      </x:c>
      <x:c r="G166" s="80" t="str"/>
      <x:c r="H166" s="80" t="str">
        <x:v>154/250</x:v>
      </x:c>
      <x:c r="I166" s="83" t="str">
        <x:v>X1953</x:v>
      </x:c>
      <x:c r="J166" s="80" t="str">
        <x:v>Metalflake Blue</x:v>
      </x:c>
      <x:c r="K166" s="82" t="str">
        <x:v>Blue &amp; White stripes, Silver HW logo on sides</x:v>
      </x:c>
      <x:c r="L166" s="82" t="str">
        <x:v>MC5</x:v>
      </x:c>
      <x:c r="M166" s="82" t="str">
        <x:v>Grey / Plastic</x:v>
      </x:c>
      <x:c r="N166" s="82" t="str">
        <x:v>Light smoke tint</x:v>
      </x:c>
      <x:c r="O166" s="82" t="str">
        <x:v>Tan</x:v>
      </x:c>
      <x:c r="P166" s="82" t="str">
        <x:v>Malaysia</x:v>
      </x:c>
      <x:c r="Q166" s="82" t="str"/>
      <x:c r="R166" s="82" t="str">
        <x:v>Mainline</x:v>
      </x:c>
      <x:c r="S166" s="82" t="str">
        <x:v>Incomum</x:v>
      </x:c>
      <x:c r="T166" s="82" t="str">
        <x:v>Lançado</x:v>
      </x:c>
      <x:c r="U166" s="82" t="str">
        <x:v>Base code(s): E46</x:v>
      </x:c>
      <x:c r="V166" s="80" t="str">
        <x:v>Coleção principal (~1:64)</x:v>
      </x:c>
      <x:c r="W166" s="82" t="str">
        <x:v>https://hotwheels.fandom.com/wiki/BMW_2002</x:v>
      </x:c>
      <x:c r="X166" s="82" t="str">
        <x:v>https://hotwheels.fandom.com/wiki/BMW_2002</x:v>
      </x:c>
    </x:row>
    <x:row r="167">
      <x:c r="A167" s="80" t="str">
        <x:v>Não</x:v>
      </x:c>
      <x:c r="B167" s="80" t="str">
        <x:v>2 — Completar aos poucos</x:v>
      </x:c>
      <x:c r="C167" s="81" t="n">
        <x:v>2013</x:v>
      </x:c>
      <x:c r="D167" s="80" t="str">
        <x:v>BMW 2002</x:v>
      </x:c>
      <x:c r="E167" s="80" t="str">
        <x:v>BMW 2002</x:v>
      </x:c>
      <x:c r="F167" s="82" t="str">
        <x:v>HW Showroom: Asphalt Assault</x:v>
      </x:c>
      <x:c r="G167" s="80" t="str"/>
      <x:c r="H167" s="80" t="str">
        <x:v>154/250</x:v>
      </x:c>
      <x:c r="I167" s="83" t="str">
        <x:v>X1953</x:v>
      </x:c>
      <x:c r="J167" s="80" t="str">
        <x:v>Metalflake Blue</x:v>
      </x:c>
      <x:c r="K167" s="82" t="str">
        <x:v>Blue &amp; White stripes, Silver HW logo on sides</x:v>
      </x:c>
      <x:c r="L167" s="82" t="str">
        <x:v>White &amp; Black MC5</x:v>
      </x:c>
      <x:c r="M167" s="82" t="str">
        <x:v>Grey / Plastic</x:v>
      </x:c>
      <x:c r="N167" s="82" t="str">
        <x:v>Smoke tint</x:v>
      </x:c>
      <x:c r="O167" s="82" t="str">
        <x:v>Tan</x:v>
      </x:c>
      <x:c r="P167" s="82" t="str">
        <x:v>Malaysia</x:v>
      </x:c>
      <x:c r="Q167" s="82" t="str"/>
      <x:c r="R167" s="82" t="str">
        <x:v>Mainline</x:v>
      </x:c>
      <x:c r="S167" s="82" t="str">
        <x:v>Incomum</x:v>
      </x:c>
      <x:c r="T167" s="82" t="str">
        <x:v>Lançado</x:v>
      </x:c>
      <x:c r="U167" s="82" t="str">
        <x:v>Base code(s):</x:v>
      </x:c>
      <x:c r="V167" s="80" t="str">
        <x:v>Coleção principal (~1:64)</x:v>
      </x:c>
      <x:c r="W167" s="82" t="str">
        <x:v>https://hotwheels.fandom.com/wiki/BMW_2002</x:v>
      </x:c>
      <x:c r="X167" s="82" t="str">
        <x:v>https://hotwheels.fandom.com/wiki/BMW_2002</x:v>
      </x:c>
    </x:row>
    <x:row r="168">
      <x:c r="A168" s="80" t="str">
        <x:v>Não</x:v>
      </x:c>
      <x:c r="B168" s="80" t="str">
        <x:v>2 — Completar aos poucos</x:v>
      </x:c>
      <x:c r="C168" s="81" t="n">
        <x:v>2013</x:v>
      </x:c>
      <x:c r="D168" s="80" t="str">
        <x:v>BMW 2002</x:v>
      </x:c>
      <x:c r="E168" s="80" t="str">
        <x:v>BMW 2002</x:v>
      </x:c>
      <x:c r="F168" s="82" t="str">
        <x:v>HW Showroom: Asphalt Assault</x:v>
      </x:c>
      <x:c r="G168" s="80" t="str"/>
      <x:c r="H168" s="80" t="str">
        <x:v>154/250</x:v>
      </x:c>
      <x:c r="I168" s="83" t="str">
        <x:v>X1953</x:v>
      </x:c>
      <x:c r="J168" s="80" t="str">
        <x:v>Metalflake Blue</x:v>
      </x:c>
      <x:c r="K168" s="82" t="str">
        <x:v>Blue &amp; White stripes, Silver HW logo on sides</x:v>
      </x:c>
      <x:c r="L168" s="82" t="str">
        <x:v>White &amp; Black MC5</x:v>
      </x:c>
      <x:c r="M168" s="82" t="str">
        <x:v>Grey / Plastic</x:v>
      </x:c>
      <x:c r="N168" s="82" t="str">
        <x:v>Light smoke tint</x:v>
      </x:c>
      <x:c r="O168" s="82" t="str">
        <x:v>Tan</x:v>
      </x:c>
      <x:c r="P168" s="82" t="str">
        <x:v>Malaysia</x:v>
      </x:c>
      <x:c r="Q168" s="82" t="str"/>
      <x:c r="R168" s="82" t="str">
        <x:v>Mainline</x:v>
      </x:c>
      <x:c r="S168" s="82" t="str">
        <x:v>Incomum</x:v>
      </x:c>
      <x:c r="T168" s="82" t="str">
        <x:v>Lançado</x:v>
      </x:c>
      <x:c r="U168" s="82" t="str">
        <x:v>Base code(s):</x:v>
      </x:c>
      <x:c r="V168" s="80" t="str">
        <x:v>Coleção principal (~1:64)</x:v>
      </x:c>
      <x:c r="W168" s="82" t="str">
        <x:v>https://hotwheels.fandom.com/wiki/BMW_2002</x:v>
      </x:c>
      <x:c r="X168" s="82" t="str">
        <x:v>https://hotwheels.fandom.com/wiki/BMW_2002</x:v>
      </x:c>
    </x:row>
    <x:row r="169">
      <x:c r="A169" s="80" t="str">
        <x:v>Não</x:v>
      </x:c>
      <x:c r="B169" s="80" t="str">
        <x:v>2 — Completar aos poucos</x:v>
      </x:c>
      <x:c r="C169" s="81" t="n">
        <x:v>2012</x:v>
      </x:c>
      <x:c r="D169" s="80" t="str">
        <x:v>'10 BMW M3</x:v>
      </x:c>
      <x:c r="E169" s="80" t="str">
        <x:v>'10 BMW M3</x:v>
      </x:c>
      <x:c r="F169" s="82" t="str">
        <x:v>Light Speeders</x:v>
      </x:c>
      <x:c r="G169" s="80" t="str"/>
      <x:c r="H169" s="80" t="str"/>
      <x:c r="I169" s="83" t="str">
        <x:v>W5448</x:v>
      </x:c>
      <x:c r="J169" s="80" t="str">
        <x:v>White</x:v>
      </x:c>
      <x:c r="K169" s="82" t="str">
        <x:v>Detailed headlights, front grille + badge, and hood vents</x:v>
      </x:c>
      <x:c r="L169" s="82" t="str">
        <x:v>Y5</x:v>
      </x:c>
      <x:c r="M169" s="82" t="str">
        <x:v>Black / Plastic</x:v>
      </x:c>
      <x:c r="N169" s="82" t="str">
        <x:v>Clear</x:v>
      </x:c>
      <x:c r="O169" s="82" t="str">
        <x:v>Black</x:v>
      </x:c>
      <x:c r="P169" s="82" t="str">
        <x:v>Thailand</x:v>
      </x:c>
      <x:c r="Q169" s="82" t="str"/>
      <x:c r="R169" s="82" t="str">
        <x:v>Outra linha</x:v>
      </x:c>
      <x:c r="S169" s="82" t="str">
        <x:v>Incomum</x:v>
      </x:c>
      <x:c r="T169" s="82" t="str">
        <x:v>Lançado</x:v>
      </x:c>
      <x:c r="U169" s="82" t="str">
        <x:v>Base codes: E29</x:v>
      </x:c>
      <x:c r="V169" s="80" t="str">
        <x:v>Coleção principal (~1:64)</x:v>
      </x:c>
      <x:c r="W169" s="82" t="str">
        <x:v>https://hotwheels.fandom.com/wiki/%2710_BMW_M3</x:v>
      </x:c>
      <x:c r="X169" s="82" t="str">
        <x:v>https://hotwheels.fandom.com/wiki/%2710_BMW_M3</x:v>
      </x:c>
    </x:row>
    <x:row r="170">
      <x:c r="A170" s="80" t="str">
        <x:v>Não</x:v>
      </x:c>
      <x:c r="B170" s="80" t="str">
        <x:v>2 — Completar aos poucos</x:v>
      </x:c>
      <x:c r="C170" s="81" t="n">
        <x:v>2012</x:v>
      </x:c>
      <x:c r="D170" s="80" t="str">
        <x:v>'92 BMW M3</x:v>
      </x:c>
      <x:c r="E170" s="80" t="str">
        <x:v>'92 BMW M3</x:v>
      </x:c>
      <x:c r="F170" s="82" t="str">
        <x:v>Hot Wheels Racing: Road Racer</x:v>
      </x:c>
      <x:c r="G170" s="80" t="str"/>
      <x:c r="H170" s="80" t="str"/>
      <x:c r="I170" s="83" t="str">
        <x:v>W8303</x:v>
      </x:c>
      <x:c r="J170" s="80" t="str">
        <x:v>Metalflake White</x:v>
      </x:c>
      <x:c r="K170" s="82" t="str">
        <x:v>BMW M Power, 3</x:v>
      </x:c>
      <x:c r="L170" s="82" t="str">
        <x:v>Gold RRE</x:v>
      </x:c>
      <x:c r="M170" s="82" t="str">
        <x:v>Unpainted / Metal</x:v>
      </x:c>
      <x:c r="N170" s="82" t="str">
        <x:v>Clear</x:v>
      </x:c>
      <x:c r="O170" s="82" t="str">
        <x:v>Black</x:v>
      </x:c>
      <x:c r="P170" s="82" t="str">
        <x:v>Thailand</x:v>
      </x:c>
      <x:c r="Q170" s="82" t="str"/>
      <x:c r="R170" s="82" t="str">
        <x:v>Outra linha</x:v>
      </x:c>
      <x:c r="S170" s="82" t="str">
        <x:v>Incomum</x:v>
      </x:c>
      <x:c r="T170" s="82" t="str">
        <x:v>Lançado</x:v>
      </x:c>
      <x:c r="U170" s="82" t="str">
        <x:v>Base code(s):</x:v>
      </x:c>
      <x:c r="V170" s="80" t="str">
        <x:v>Coleção principal (~1:64)</x:v>
      </x:c>
      <x:c r="W170" s="82" t="str">
        <x:v>https://hotwheels.fandom.com/wiki/%2792_BMW_M3</x:v>
      </x:c>
      <x:c r="X170" s="82" t="str">
        <x:v>https://hotwheels.fandom.com/wiki/%2792_BMW_M3</x:v>
      </x:c>
    </x:row>
    <x:row r="171">
      <x:c r="A171" s="80" t="str">
        <x:v>Não</x:v>
      </x:c>
      <x:c r="B171" s="80" t="str">
        <x:v>2 — Completar aos poucos</x:v>
      </x:c>
      <x:c r="C171" s="81" t="n">
        <x:v>2012</x:v>
      </x:c>
      <x:c r="D171" s="80" t="str">
        <x:v>BMW 2002</x:v>
      </x:c>
      <x:c r="E171" s="80" t="str">
        <x:v>BMW 2002</x:v>
      </x:c>
      <x:c r="F171" s="82" t="str">
        <x:v>2012 New Models 21/50</x:v>
      </x:c>
      <x:c r="G171" s="80" t="str"/>
      <x:c r="H171" s="80" t="str">
        <x:v>021/247</x:v>
      </x:c>
      <x:c r="I171" s="83" t="str">
        <x:v>V5309</x:v>
      </x:c>
      <x:c r="J171" s="80" t="str">
        <x:v>Orange</x:v>
      </x:c>
      <x:c r="K171" s="82" t="str">
        <x:v>White, Blue &amp; Black stripes, '9' on sides &amp; hood</x:v>
      </x:c>
      <x:c r="L171" s="82" t="str">
        <x:v>Chrome &amp; Black MC5</x:v>
      </x:c>
      <x:c r="M171" s="82" t="str">
        <x:v>Dark Grey / Plastic</x:v>
      </x:c>
      <x:c r="N171" s="82" t="str">
        <x:v>Clear</x:v>
      </x:c>
      <x:c r="O171" s="82" t="str">
        <x:v>Grey</x:v>
      </x:c>
      <x:c r="P171" s="82" t="str">
        <x:v>Malaysia</x:v>
      </x:c>
      <x:c r="Q171" s="82" t="str"/>
      <x:c r="R171" s="82" t="str">
        <x:v>Mainline</x:v>
      </x:c>
      <x:c r="S171" s="82" t="str">
        <x:v>Incomum</x:v>
      </x:c>
      <x:c r="T171" s="82" t="str">
        <x:v>Lançado</x:v>
      </x:c>
      <x:c r="U171" s="82" t="str">
        <x:v>Base code(s): D48, D51, D52, E01</x:v>
      </x:c>
      <x:c r="V171" s="80" t="str">
        <x:v>Coleção principal (~1:64)</x:v>
      </x:c>
      <x:c r="W171" s="82" t="str">
        <x:v>https://hotwheels.fandom.com/wiki/BMW_2002</x:v>
      </x:c>
      <x:c r="X171" s="82" t="str">
        <x:v>https://hotwheels.fandom.com/wiki/BMW_2002</x:v>
      </x:c>
    </x:row>
    <x:row r="172">
      <x:c r="A172" s="80" t="str">
        <x:v>Não</x:v>
      </x:c>
      <x:c r="B172" s="80" t="str">
        <x:v>2 — Completar aos poucos</x:v>
      </x:c>
      <x:c r="C172" s="81" t="n">
        <x:v>2012</x:v>
      </x:c>
      <x:c r="D172" s="80" t="str">
        <x:v>BMW 2002</x:v>
      </x:c>
      <x:c r="E172" s="80" t="str">
        <x:v>BMW 2002</x:v>
      </x:c>
      <x:c r="F172" s="82" t="str">
        <x:v>2012 New Models 21/50</x:v>
      </x:c>
      <x:c r="G172" s="80" t="str"/>
      <x:c r="H172" s="80" t="str">
        <x:v>021/247</x:v>
      </x:c>
      <x:c r="I172" s="83" t="str">
        <x:v>V5601</x:v>
      </x:c>
      <x:c r="J172" s="80" t="str">
        <x:v>Pearl White</x:v>
      </x:c>
      <x:c r="K172" s="82" t="str">
        <x:v>Blue, Red &amp; Black stripes, '9' on sides &amp; hood</x:v>
      </x:c>
      <x:c r="L172" s="82" t="str">
        <x:v>Chrome &amp; Black MC5</x:v>
      </x:c>
      <x:c r="M172" s="82" t="str">
        <x:v>Dark Grey / Plastic</x:v>
      </x:c>
      <x:c r="N172" s="82" t="str">
        <x:v>Blue tint</x:v>
      </x:c>
      <x:c r="O172" s="82" t="str">
        <x:v>Grey</x:v>
      </x:c>
      <x:c r="P172" s="82" t="str">
        <x:v>Malaysia</x:v>
      </x:c>
      <x:c r="Q172" s="82" t="str"/>
      <x:c r="R172" s="82" t="str">
        <x:v>Mainline</x:v>
      </x:c>
      <x:c r="S172" s="82" t="str">
        <x:v>Incomum</x:v>
      </x:c>
      <x:c r="T172" s="82" t="str">
        <x:v>Lançado</x:v>
      </x:c>
      <x:c r="U172" s="82" t="str">
        <x:v>Base code(s): E09, E10, E13, E17, E18</x:v>
      </x:c>
      <x:c r="V172" s="80" t="str">
        <x:v>Coleção principal (~1:64)</x:v>
      </x:c>
      <x:c r="W172" s="82" t="str">
        <x:v>https://hotwheels.fandom.com/wiki/BMW_2002</x:v>
      </x:c>
      <x:c r="X172" s="82" t="str">
        <x:v>https://hotwheels.fandom.com/wiki/BMW_2002</x:v>
      </x:c>
    </x:row>
    <x:row r="173">
      <x:c r="A173" s="80" t="str">
        <x:v>Não</x:v>
      </x:c>
      <x:c r="B173" s="80" t="str">
        <x:v>2 — Completar aos poucos</x:v>
      </x:c>
      <x:c r="C173" s="81" t="n">
        <x:v>2012</x:v>
      </x:c>
      <x:c r="D173" s="80" t="str">
        <x:v>BMW M1</x:v>
      </x:c>
      <x:c r="E173" s="80" t="str">
        <x:v>BMW M1</x:v>
      </x:c>
      <x:c r="F173" s="82" t="str">
        <x:v>The Hot Ones</x:v>
      </x:c>
      <x:c r="G173" s="80" t="str"/>
      <x:c r="H173" s="80" t="str"/>
      <x:c r="I173" s="83" t="str">
        <x:v>W3787</x:v>
      </x:c>
      <x:c r="J173" s="80" t="str">
        <x:v>White</x:v>
      </x:c>
      <x:c r="K173" s="82" t="str">
        <x:v>Red, blue &amp; light blue stripes</x:v>
      </x:c>
      <x:c r="L173" s="82" t="str">
        <x:v>UH</x:v>
      </x:c>
      <x:c r="M173" s="82" t="str">
        <x:v>ZAMAC</x:v>
      </x:c>
      <x:c r="N173" s="82" t="str">
        <x:v>Clear</x:v>
      </x:c>
      <x:c r="O173" s="82" t="str">
        <x:v>Black</x:v>
      </x:c>
      <x:c r="P173" s="82" t="str">
        <x:v>Thailand</x:v>
      </x:c>
      <x:c r="Q173" s="82" t="str"/>
      <x:c r="R173" s="82" t="str">
        <x:v>Outra linha</x:v>
      </x:c>
      <x:c r="S173" s="82" t="str">
        <x:v>Incomum</x:v>
      </x:c>
      <x:c r="T173" s="82" t="str">
        <x:v>Lançado</x:v>
      </x:c>
      <x:c r="U173" s="82" t="str">
        <x:v>Updated toolingBase code(s): D51, E01</x:v>
      </x:c>
      <x:c r="V173" s="80" t="str">
        <x:v>Coleção principal (~1:64)</x:v>
      </x:c>
      <x:c r="W173" s="82" t="str">
        <x:v>https://hotwheels.fandom.com/wiki/BMW_M1</x:v>
      </x:c>
      <x:c r="X173" s="82" t="str">
        <x:v>https://hotwheels.fandom.com/wiki/BMW_M1</x:v>
      </x:c>
    </x:row>
    <x:row r="174">
      <x:c r="A174" s="80" t="str">
        <x:v>Não</x:v>
      </x:c>
      <x:c r="B174" s="80" t="str">
        <x:v>2 — Completar aos poucos</x:v>
      </x:c>
      <x:c r="C174" s="81" t="n">
        <x:v>2012</x:v>
      </x:c>
      <x:c r="D174" s="80" t="str">
        <x:v>BMW M3 GT2</x:v>
      </x:c>
      <x:c r="E174" s="80" t="str">
        <x:v>BMW M3 GT2</x:v>
      </x:c>
      <x:c r="F174" s="82" t="str">
        <x:v>2012 New Models 5/50</x:v>
      </x:c>
      <x:c r="G174" s="80" t="str"/>
      <x:c r="H174" s="80" t="str">
        <x:v>005/247</x:v>
      </x:c>
      <x:c r="I174" s="83" t="str">
        <x:v>V5561</x:v>
      </x:c>
      <x:c r="J174" s="80" t="str">
        <x:v>Black</x:v>
      </x:c>
      <x:c r="K174" s="82" t="str">
        <x:v>Red, Blue &amp; Light Blue, Silver tampo "12"</x:v>
      </x:c>
      <x:c r="L174" s="82" t="str">
        <x:v>Red chrome rim, Black PR5</x:v>
      </x:c>
      <x:c r="M174" s="82" t="str">
        <x:v>Gray / Plastic</x:v>
      </x:c>
      <x:c r="N174" s="82" t="str">
        <x:v>Smoke</x:v>
      </x:c>
      <x:c r="O174" s="82" t="str">
        <x:v>Black</x:v>
      </x:c>
      <x:c r="P174" s="82" t="str">
        <x:v>Malaysia</x:v>
      </x:c>
      <x:c r="Q174" s="82" t="str"/>
      <x:c r="R174" s="82" t="str">
        <x:v>Mainline</x:v>
      </x:c>
      <x:c r="S174" s="82" t="str">
        <x:v>Incomum</x:v>
      </x:c>
      <x:c r="T174" s="82" t="str">
        <x:v>Lançado</x:v>
      </x:c>
      <x:c r="U174" s="82" t="str"/>
      <x:c r="V174" s="80" t="str">
        <x:v>Coleção principal (~1:64)</x:v>
      </x:c>
      <x:c r="W174" s="82" t="str">
        <x:v>https://hotwheels.fandom.com/wiki/BMW_M3_GT2</x:v>
      </x:c>
      <x:c r="X174" s="82" t="str">
        <x:v>https://hotwheels.fandom.com/wiki/BMW_M3_GT2</x:v>
      </x:c>
    </x:row>
    <x:row r="175">
      <x:c r="A175" s="80" t="str">
        <x:v>Não</x:v>
      </x:c>
      <x:c r="B175" s="80" t="str">
        <x:v>2 — Completar aos poucos</x:v>
      </x:c>
      <x:c r="C175" s="81" t="n">
        <x:v>2012</x:v>
      </x:c>
      <x:c r="D175" s="80" t="str">
        <x:v>BMW M3 GT2</x:v>
      </x:c>
      <x:c r="E175" s="80" t="str">
        <x:v>BMW M3 GT2</x:v>
      </x:c>
      <x:c r="F175" s="82" t="str">
        <x:v>2012 New Models 5/50</x:v>
      </x:c>
      <x:c r="G175" s="80" t="str"/>
      <x:c r="H175" s="80" t="str">
        <x:v>005/247</x:v>
      </x:c>
      <x:c r="I175" s="83" t="str">
        <x:v>V5293</x:v>
      </x:c>
      <x:c r="J175" s="80" t="str">
        <x:v>White</x:v>
      </x:c>
      <x:c r="K175" s="82" t="str">
        <x:v>Light Blue, Blue, Red &amp; Silver BMW 'M' logo on sides &amp; roof, '12' on sides &amp; hood</x:v>
      </x:c>
      <x:c r="L175" s="82" t="str">
        <x:v>Chrome &amp; Black PR5</x:v>
      </x:c>
      <x:c r="M175" s="82" t="str">
        <x:v>Dark Grey / Plastic</x:v>
      </x:c>
      <x:c r="N175" s="82" t="str">
        <x:v>Tinted (Black)</x:v>
      </x:c>
      <x:c r="O175" s="82" t="str">
        <x:v>Black</x:v>
      </x:c>
      <x:c r="P175" s="82" t="str">
        <x:v>Malaysia</x:v>
      </x:c>
      <x:c r="Q175" s="82" t="str"/>
      <x:c r="R175" s="82" t="str">
        <x:v>Mainline</x:v>
      </x:c>
      <x:c r="S175" s="82" t="str">
        <x:v>Incomum</x:v>
      </x:c>
      <x:c r="T175" s="82" t="str">
        <x:v>Lançado</x:v>
      </x:c>
      <x:c r="U175" s="82" t="str"/>
      <x:c r="V175" s="80" t="str">
        <x:v>Coleção principal (~1:64)</x:v>
      </x:c>
      <x:c r="W175" s="82" t="str">
        <x:v>https://hotwheels.fandom.com/wiki/BMW_M3_GT2</x:v>
      </x:c>
      <x:c r="X175" s="82" t="str">
        <x:v>https://hotwheels.fandom.com/wiki/BMW_M3_GT2</x:v>
      </x:c>
    </x:row>
    <x:row r="176">
      <x:c r="A176" s="80" t="str">
        <x:v>Não</x:v>
      </x:c>
      <x:c r="B176" s="80" t="str">
        <x:v>2 — Completar aos poucos</x:v>
      </x:c>
      <x:c r="C176" s="81" t="n">
        <x:v>2012</x:v>
      </x:c>
      <x:c r="D176" s="80" t="str">
        <x:v>BMW M3 GT2</x:v>
      </x:c>
      <x:c r="E176" s="80" t="str">
        <x:v>BMW M3 GT2</x:v>
      </x:c>
      <x:c r="F176" s="82" t="str">
        <x:v>2012 New Models 5/50</x:v>
      </x:c>
      <x:c r="G176" s="80" t="str"/>
      <x:c r="H176" s="80" t="str">
        <x:v>005/247</x:v>
      </x:c>
      <x:c r="I176" s="83" t="str">
        <x:v>V5293</x:v>
      </x:c>
      <x:c r="J176" s="80" t="str">
        <x:v>White</x:v>
      </x:c>
      <x:c r="K176" s="82" t="str">
        <x:v>Light Blue, Blue, Red &amp; Silver BMW 'M' logo on sides &amp; roof, '12' on sides &amp; hood</x:v>
      </x:c>
      <x:c r="L176" s="82" t="str">
        <x:v>Chrome &amp; Black MC5</x:v>
      </x:c>
      <x:c r="M176" s="82" t="str">
        <x:v>Dark Grey / Plastic</x:v>
      </x:c>
      <x:c r="N176" s="82" t="str">
        <x:v>Tinted (Black)</x:v>
      </x:c>
      <x:c r="O176" s="82" t="str">
        <x:v>Black</x:v>
      </x:c>
      <x:c r="P176" s="82" t="str">
        <x:v>Malaysia</x:v>
      </x:c>
      <x:c r="Q176" s="82" t="str"/>
      <x:c r="R176" s="82" t="str">
        <x:v>Mainline</x:v>
      </x:c>
      <x:c r="S176" s="82" t="str">
        <x:v>Incomum</x:v>
      </x:c>
      <x:c r="T176" s="82" t="str">
        <x:v>Lançado</x:v>
      </x:c>
      <x:c r="U176" s="82" t="str"/>
      <x:c r="V176" s="80" t="str">
        <x:v>Coleção principal (~1:64)</x:v>
      </x:c>
      <x:c r="W176" s="82" t="str">
        <x:v>https://hotwheels.fandom.com/wiki/BMW_M3_GT2</x:v>
      </x:c>
      <x:c r="X176" s="82" t="str">
        <x:v>https://hotwheels.fandom.com/wiki/BMW_M3_GT2</x:v>
      </x:c>
    </x:row>
    <x:row r="177">
      <x:c r="A177" s="80" t="str">
        <x:v>Não</x:v>
      </x:c>
      <x:c r="B177" s="80" t="str">
        <x:v>2 — Completar aos poucos</x:v>
      </x:c>
      <x:c r="C177" s="81" t="n">
        <x:v>2012</x:v>
      </x:c>
      <x:c r="D177" s="80" t="str">
        <x:v>BMW M3 GT2</x:v>
      </x:c>
      <x:c r="E177" s="80" t="str">
        <x:v>BMW M3 GT2</x:v>
      </x:c>
      <x:c r="F177" s="82" t="str">
        <x:v>2012 New Models 5/50</x:v>
      </x:c>
      <x:c r="G177" s="80" t="str"/>
      <x:c r="H177" s="80" t="str">
        <x:v>005/247</x:v>
      </x:c>
      <x:c r="I177" s="83" t="str">
        <x:v>V5293</x:v>
      </x:c>
      <x:c r="J177" s="80" t="str">
        <x:v>White</x:v>
      </x:c>
      <x:c r="K177" s="82" t="str">
        <x:v>Light Blue, Blue, Red &amp; Silver BMW 'M' logo on sides &amp; roof, '12' on sides &amp; hood</x:v>
      </x:c>
      <x:c r="L177" s="82" t="str">
        <x:v>Black J5 with Chrome rim</x:v>
      </x:c>
      <x:c r="M177" s="82" t="str">
        <x:v>Dark Grey / Plastic</x:v>
      </x:c>
      <x:c r="N177" s="82" t="str">
        <x:v>Tinted (Black)</x:v>
      </x:c>
      <x:c r="O177" s="82" t="str">
        <x:v>Black</x:v>
      </x:c>
      <x:c r="P177" s="82" t="str">
        <x:v>Malaysia</x:v>
      </x:c>
      <x:c r="Q177" s="82" t="str"/>
      <x:c r="R177" s="82" t="str">
        <x:v>Mainline</x:v>
      </x:c>
      <x:c r="S177" s="82" t="str">
        <x:v>Incomum</x:v>
      </x:c>
      <x:c r="T177" s="82" t="str">
        <x:v>Lançado</x:v>
      </x:c>
      <x:c r="U177" s="82" t="str"/>
      <x:c r="V177" s="80" t="str">
        <x:v>Coleção principal (~1:64)</x:v>
      </x:c>
      <x:c r="W177" s="82" t="str">
        <x:v>https://hotwheels.fandom.com/wiki/BMW_M3_GT2</x:v>
      </x:c>
      <x:c r="X177" s="82" t="str">
        <x:v>https://hotwheels.fandom.com/wiki/BMW_M3_GT2</x:v>
      </x:c>
    </x:row>
    <x:row r="178">
      <x:c r="A178" s="80" t="str">
        <x:v>Não</x:v>
      </x:c>
      <x:c r="B178" s="80" t="str">
        <x:v>2 — Completar aos poucos</x:v>
      </x:c>
      <x:c r="C178" s="81" t="n">
        <x:v>2012</x:v>
      </x:c>
      <x:c r="D178" s="80" t="str">
        <x:v>BMW M3 GT2</x:v>
      </x:c>
      <x:c r="E178" s="80" t="str">
        <x:v>BMW M3 GT2</x:v>
      </x:c>
      <x:c r="F178" s="82" t="str">
        <x:v>Hot Wheels 10-Pack Exclusive</x:v>
      </x:c>
      <x:c r="G178" s="80" t="str"/>
      <x:c r="H178" s="80" t="str"/>
      <x:c r="I178" s="83" t="str">
        <x:v>V5561</x:v>
      </x:c>
      <x:c r="J178" s="80" t="str">
        <x:v>Black</x:v>
      </x:c>
      <x:c r="K178" s="82" t="str">
        <x:v>Red, Blue &amp; Light Blue, Silver tampo "12"</x:v>
      </x:c>
      <x:c r="L178" s="82" t="str">
        <x:v>Chrome rim, Black PR5</x:v>
      </x:c>
      <x:c r="M178" s="82" t="str">
        <x:v>Gray / Plastic</x:v>
      </x:c>
      <x:c r="N178" s="82" t="str">
        <x:v>Smoke</x:v>
      </x:c>
      <x:c r="O178" s="82" t="str">
        <x:v>Black</x:v>
      </x:c>
      <x:c r="P178" s="82" t="str">
        <x:v>Malaysia</x:v>
      </x:c>
      <x:c r="Q178" s="82" t="str"/>
      <x:c r="R178" s="82" t="str">
        <x:v>Outra linha</x:v>
      </x:c>
      <x:c r="S178" s="82" t="str">
        <x:v>Incomum</x:v>
      </x:c>
      <x:c r="T178" s="82" t="str">
        <x:v>Lançado</x:v>
      </x:c>
      <x:c r="U178" s="82" t="str"/>
      <x:c r="V178" s="80" t="str">
        <x:v>Coleção principal (~1:64)</x:v>
      </x:c>
      <x:c r="W178" s="82" t="str">
        <x:v>https://hotwheels.fandom.com/wiki/BMW_M3_GT2</x:v>
      </x:c>
      <x:c r="X178" s="82" t="str">
        <x:v>https://hotwheels.fandom.com/wiki/BMW_M3_GT2</x:v>
      </x:c>
    </x:row>
    <x:row r="179">
      <x:c r="A179" s="80" t="str">
        <x:v>Não</x:v>
      </x:c>
      <x:c r="B179" s="80" t="str">
        <x:v>2 — Completar aos poucos</x:v>
      </x:c>
      <x:c r="C179" s="81" t="n">
        <x:v>2012</x:v>
      </x:c>
      <x:c r="D179" s="80" t="str">
        <x:v>BMW Z4 M Motorsport</x:v>
      </x:c>
      <x:c r="E179" s="80" t="str">
        <x:v>BMW Z4 M Motorsport</x:v>
      </x:c>
      <x:c r="F179" s="82" t="str">
        <x:v>2012 New Models</x:v>
      </x:c>
      <x:c r="G179" s="80" t="str"/>
      <x:c r="H179" s="80" t="str"/>
      <x:c r="I179" s="83" t="str">
        <x:v>V5309</x:v>
      </x:c>
      <x:c r="J179" s="80" t="str"/>
      <x:c r="K179" s="82" t="str"/>
      <x:c r="L179" s="82" t="str"/>
      <x:c r="M179" s="82" t="str"/>
      <x:c r="N179" s="82" t="str"/>
      <x:c r="O179" s="82" t="str"/>
      <x:c r="P179" s="82" t="str"/>
      <x:c r="Q179" s="82" t="str"/>
      <x:c r="R179" s="82" t="str">
        <x:v>Mainline</x:v>
      </x:c>
      <x:c r="S179" s="82" t="str">
        <x:v>Incomum</x:v>
      </x:c>
      <x:c r="T179" s="82" t="str">
        <x:v>Lançado</x:v>
      </x:c>
      <x:c r="U179" s="82" t="str"/>
      <x:c r="V179" s="80" t="str">
        <x:v>Coleção principal (~1:64)</x:v>
      </x:c>
      <x:c r="W179" s="82" t="str">
        <x:v>https://hotwheels.fandom.com/wiki/BMW</x:v>
      </x:c>
      <x:c r="X179" s="82" t="str">
        <x:v>https://hotwheels.fandom.com/wiki/BMW_Z4_M_Motorsport</x:v>
      </x:c>
    </x:row>
    <x:row r="180">
      <x:c r="A180" s="80" t="str">
        <x:v>Não</x:v>
      </x:c>
      <x:c r="B180" s="80" t="str">
        <x:v>2 — Completar aos poucos</x:v>
      </x:c>
      <x:c r="C180" s="81" t="n">
        <x:v>2012</x:v>
      </x:c>
      <x:c r="D180" s="80" t="str">
        <x:v>BMW Z4 M Motorsport</x:v>
      </x:c>
      <x:c r="E180" s="80" t="str">
        <x:v>BMW Z4 M Motorsport</x:v>
      </x:c>
      <x:c r="F180" s="82" t="str">
        <x:v>2012 New Models 18/50</x:v>
      </x:c>
      <x:c r="G180" s="80" t="str"/>
      <x:c r="H180" s="80" t="str">
        <x:v>018/247</x:v>
      </x:c>
      <x:c r="I180" s="83" t="str">
        <x:v>V5613</x:v>
      </x:c>
      <x:c r="J180" s="80" t="str">
        <x:v>Black</x:v>
      </x:c>
      <x:c r="K180" s="82" t="str">
        <x:v>Red &amp; Blue stripes on hood &amp; sides, '4' &amp; bmw-motorsport.com' on sides</x:v>
      </x:c>
      <x:c r="L180" s="82" t="str">
        <x:v>PR5</x:v>
      </x:c>
      <x:c r="M180" s="82" t="str">
        <x:v>Dark Gray / Plastic</x:v>
      </x:c>
      <x:c r="N180" s="82" t="str">
        <x:v>Clear</x:v>
      </x:c>
      <x:c r="O180" s="82" t="str">
        <x:v>White</x:v>
      </x:c>
      <x:c r="P180" s="82" t="str">
        <x:v>Malaysia</x:v>
      </x:c>
      <x:c r="Q180" s="82" t="str"/>
      <x:c r="R180" s="82" t="str">
        <x:v>Mainline</x:v>
      </x:c>
      <x:c r="S180" s="82" t="str">
        <x:v>Incomum</x:v>
      </x:c>
      <x:c r="T180" s="82" t="str">
        <x:v>Lançado</x:v>
      </x:c>
      <x:c r="U180" s="82" t="str">
        <x:v>Named BMW Z4 MBase code(s): E21, E25, E26</x:v>
      </x:c>
      <x:c r="V180" s="80" t="str">
        <x:v>Coleção principal (~1:64)</x:v>
      </x:c>
      <x:c r="W180" s="82" t="str">
        <x:v>https://hotwheels.fandom.com/wiki/BMW_Z4_M_Motorsport</x:v>
      </x:c>
      <x:c r="X180" s="82" t="str">
        <x:v>https://hotwheels.fandom.com/wiki/BMW_Z4_M_Motorsport</x:v>
      </x:c>
    </x:row>
    <x:row r="181">
      <x:c r="A181" s="80" t="str">
        <x:v>Não</x:v>
      </x:c>
      <x:c r="B181" s="80" t="str">
        <x:v>2 — Completar aos poucos</x:v>
      </x:c>
      <x:c r="C181" s="81" t="n">
        <x:v>2012</x:v>
      </x:c>
      <x:c r="D181" s="80" t="str">
        <x:v>BMW Z4 M Motorsport</x:v>
      </x:c>
      <x:c r="E181" s="80" t="str">
        <x:v>BMW Z4 M Motorsport</x:v>
      </x:c>
      <x:c r="F181" s="82" t="str">
        <x:v>2012 New Models 18/50</x:v>
      </x:c>
      <x:c r="G181" s="80" t="str"/>
      <x:c r="H181" s="80" t="str">
        <x:v>018/247</x:v>
      </x:c>
      <x:c r="I181" s="83" t="str">
        <x:v>V5306</x:v>
      </x:c>
      <x:c r="J181" s="80" t="str">
        <x:v>White</x:v>
      </x:c>
      <x:c r="K181" s="82" t="str">
        <x:v>Red &amp; Blue stripes on hood &amp; sides, '4' &amp; bmw-motorsport.com' on sides</x:v>
      </x:c>
      <x:c r="L181" s="82" t="str">
        <x:v>PR5</x:v>
      </x:c>
      <x:c r="M181" s="82" t="str">
        <x:v>Black / Plastic</x:v>
      </x:c>
      <x:c r="N181" s="82" t="str">
        <x:v>Smoke tint</x:v>
      </x:c>
      <x:c r="O181" s="82" t="str">
        <x:v>White</x:v>
      </x:c>
      <x:c r="P181" s="82" t="str">
        <x:v>Malaysia</x:v>
      </x:c>
      <x:c r="Q181" s="82" t="str"/>
      <x:c r="R181" s="82" t="str">
        <x:v>Mainline</x:v>
      </x:c>
      <x:c r="S181" s="82" t="str">
        <x:v>Incomum</x:v>
      </x:c>
      <x:c r="T181" s="82" t="str">
        <x:v>Lançado</x:v>
      </x:c>
      <x:c r="U181" s="82" t="str">
        <x:v>Named BMW Z4 M Base code(s): E09, E10, E11, E12, E14</x:v>
      </x:c>
      <x:c r="V181" s="80" t="str">
        <x:v>Coleção principal (~1:64)</x:v>
      </x:c>
      <x:c r="W181" s="82" t="str">
        <x:v>https://hotwheels.fandom.com/wiki/BMW_Z4_M_Motorsport</x:v>
      </x:c>
      <x:c r="X181" s="82" t="str">
        <x:v>https://hotwheels.fandom.com/wiki/BMW_Z4_M_Motorsport</x:v>
      </x:c>
    </x:row>
    <x:row r="182">
      <x:c r="A182" s="80" t="str">
        <x:v>Não</x:v>
      </x:c>
      <x:c r="B182" s="80" t="str">
        <x:v>2 — Completar aos poucos</x:v>
      </x:c>
      <x:c r="C182" s="81" t="n">
        <x:v>2011</x:v>
      </x:c>
      <x:c r="D182" s="80" t="str">
        <x:v>'10 BMW M3</x:v>
      </x:c>
      <x:c r="E182" s="80" t="str">
        <x:v>'10 BMW M3</x:v>
      </x:c>
      <x:c r="F182" s="82" t="str">
        <x:v>2011 New Models 26/50</x:v>
      </x:c>
      <x:c r="G182" s="80" t="str"/>
      <x:c r="H182" s="80" t="str">
        <x:v>026/244</x:v>
      </x:c>
      <x:c r="I182" s="83" t="str">
        <x:v>T9980</x:v>
      </x:c>
      <x:c r="J182" s="80" t="str">
        <x:v>Metallic Red</x:v>
      </x:c>
      <x:c r="K182" s="82" t="str">
        <x:v>Detailed headlights, front grille + badge, and hood vents</x:v>
      </x:c>
      <x:c r="L182" s="82" t="str">
        <x:v>Y5</x:v>
      </x:c>
      <x:c r="M182" s="82" t="str">
        <x:v>Gray / Plastic</x:v>
      </x:c>
      <x:c r="N182" s="82" t="str">
        <x:v>Clear</x:v>
      </x:c>
      <x:c r="O182" s="82" t="str">
        <x:v>Grey</x:v>
      </x:c>
      <x:c r="P182" s="82" t="str">
        <x:v>Malaysia</x:v>
      </x:c>
      <x:c r="Q182" s="82" t="str">
        <x:v>Target / Red Edition</x:v>
      </x:c>
      <x:c r="R182" s="82" t="str">
        <x:v>Mainline</x:v>
      </x:c>
      <x:c r="S182" s="82" t="str">
        <x:v>Rara</x:v>
      </x:c>
      <x:c r="T182" s="82" t="str">
        <x:v>Lançado</x:v>
      </x:c>
      <x:c r="U182" s="82" t="str">
        <x:v>Target card release includes 2 Car Bands Base codes: D02, D05, D06</x:v>
      </x:c>
      <x:c r="V182" s="80" t="str">
        <x:v>Coleção principal (~1:64)</x:v>
      </x:c>
      <x:c r="W182" s="82" t="str">
        <x:v>https://hotwheels.fandom.com/wiki/%2710_BMW_M3</x:v>
      </x:c>
      <x:c r="X182" s="82" t="str">
        <x:v>https://hotwheels.fandom.com/wiki/%2710_BMW_M3</x:v>
      </x:c>
    </x:row>
    <x:row r="183">
      <x:c r="A183" s="80" t="str">
        <x:v>Não</x:v>
      </x:c>
      <x:c r="B183" s="80" t="str">
        <x:v>2 — Completar aos poucos</x:v>
      </x:c>
      <x:c r="C183" s="81" t="n">
        <x:v>2011</x:v>
      </x:c>
      <x:c r="D183" s="80" t="str">
        <x:v>'10 BMW M3</x:v>
      </x:c>
      <x:c r="E183" s="80" t="str">
        <x:v>'10 BMW M3</x:v>
      </x:c>
      <x:c r="F183" s="82" t="str">
        <x:v>2011 New Models 26/50</x:v>
      </x:c>
      <x:c r="G183" s="80" t="str"/>
      <x:c r="H183" s="80" t="str">
        <x:v>026/244</x:v>
      </x:c>
      <x:c r="I183" s="83" t="str">
        <x:v>T9696</x:v>
      </x:c>
      <x:c r="J183" s="80" t="str">
        <x:v>Pearl White</x:v>
      </x:c>
      <x:c r="K183" s="82" t="str">
        <x:v>Detailed headlights, front grille + badge, and hood vents</x:v>
      </x:c>
      <x:c r="L183" s="82" t="str">
        <x:v>Y5</x:v>
      </x:c>
      <x:c r="M183" s="82" t="str">
        <x:v>Gray / Plastic</x:v>
      </x:c>
      <x:c r="N183" s="82" t="str">
        <x:v>Clear</x:v>
      </x:c>
      <x:c r="O183" s="82" t="str">
        <x:v>Grey</x:v>
      </x:c>
      <x:c r="P183" s="82" t="str">
        <x:v>Malaysia</x:v>
      </x:c>
      <x:c r="Q183" s="82" t="str"/>
      <x:c r="R183" s="82" t="str">
        <x:v>Mainline</x:v>
      </x:c>
      <x:c r="S183" s="82" t="str">
        <x:v>Incomum</x:v>
      </x:c>
      <x:c r="T183" s="82" t="str">
        <x:v>Lançado</x:v>
      </x:c>
      <x:c r="U183" s="82" t="str">
        <x:v>Base codes: C44</x:v>
      </x:c>
      <x:c r="V183" s="80" t="str">
        <x:v>Coleção principal (~1:64)</x:v>
      </x:c>
      <x:c r="W183" s="82" t="str">
        <x:v>https://hotwheels.fandom.com/wiki/%2710_BMW_M3</x:v>
      </x:c>
      <x:c r="X183" s="82" t="str">
        <x:v>https://hotwheels.fandom.com/wiki/%2710_BMW_M3</x:v>
      </x:c>
    </x:row>
    <x:row r="184">
      <x:c r="A184" s="80" t="str">
        <x:v>Não</x:v>
      </x:c>
      <x:c r="B184" s="80" t="str">
        <x:v>2 — Completar aos poucos</x:v>
      </x:c>
      <x:c r="C184" s="81" t="n">
        <x:v>2011</x:v>
      </x:c>
      <x:c r="D184" s="80" t="str">
        <x:v>'10 BMW M3</x:v>
      </x:c>
      <x:c r="E184" s="80" t="str">
        <x:v>'10 BMW M3</x:v>
      </x:c>
      <x:c r="F184" s="82" t="str">
        <x:v>2011 New Models 26/50</x:v>
      </x:c>
      <x:c r="G184" s="80" t="str"/>
      <x:c r="H184" s="80" t="str">
        <x:v>026/244</x:v>
      </x:c>
      <x:c r="I184" s="83" t="str">
        <x:v>T9696</x:v>
      </x:c>
      <x:c r="J184" s="80" t="str">
        <x:v>Pearl White</x:v>
      </x:c>
      <x:c r="K184" s="82" t="str">
        <x:v>Detailed headlights, front grille + badge, and hood vents</x:v>
      </x:c>
      <x:c r="L184" s="82" t="str">
        <x:v>10SP</x:v>
      </x:c>
      <x:c r="M184" s="82" t="str">
        <x:v>Gray / Plastic</x:v>
      </x:c>
      <x:c r="N184" s="82" t="str">
        <x:v>Clear</x:v>
      </x:c>
      <x:c r="O184" s="82" t="str">
        <x:v>Grey</x:v>
      </x:c>
      <x:c r="P184" s="82" t="str">
        <x:v>Malaysia</x:v>
      </x:c>
      <x:c r="Q184" s="82" t="str"/>
      <x:c r="R184" s="82" t="str">
        <x:v>Mainline</x:v>
      </x:c>
      <x:c r="S184" s="82" t="str">
        <x:v>Incomum</x:v>
      </x:c>
      <x:c r="T184" s="82" t="str">
        <x:v>Lançado</x:v>
      </x:c>
      <x:c r="U184" s="82" t="str">
        <x:v>Base code(s):</x:v>
      </x:c>
      <x:c r="V184" s="80" t="str">
        <x:v>Coleção principal (~1:64)</x:v>
      </x:c>
      <x:c r="W184" s="82" t="str">
        <x:v>https://hotwheels.fandom.com/wiki/%2710_BMW_M3</x:v>
      </x:c>
      <x:c r="X184" s="82" t="str">
        <x:v>https://hotwheels.fandom.com/wiki/%2710_BMW_M3</x:v>
      </x:c>
    </x:row>
    <x:row r="185">
      <x:c r="A185" s="80" t="str">
        <x:v>Não</x:v>
      </x:c>
      <x:c r="B185" s="80" t="str">
        <x:v>2 — Completar aos poucos</x:v>
      </x:c>
      <x:c r="C185" s="81" t="n">
        <x:v>2002</x:v>
      </x:c>
      <x:c r="D185" s="80" t="str">
        <x:v>BMW M Roadster</x:v>
      </x:c>
      <x:c r="E185" s="80" t="str">
        <x:v>BMW M Roadster</x:v>
      </x:c>
      <x:c r="F185" s="82" t="str">
        <x:v>Mainline</x:v>
      </x:c>
      <x:c r="G185" s="80" t="str"/>
      <x:c r="H185" s="80" t="str">
        <x:v>161</x:v>
      </x:c>
      <x:c r="I185" s="83" t="str">
        <x:v>55046</x:v>
      </x:c>
      <x:c r="J185" s="80" t="str">
        <x:v>Metallic Light Gold</x:v>
      </x:c>
      <x:c r="K185" s="82" t="str">
        <x:v>Black HW logo on trunk</x:v>
      </x:c>
      <x:c r="L185" s="82" t="str">
        <x:v>5DOT</x:v>
      </x:c>
      <x:c r="M185" s="82" t="str">
        <x:v>Black / Metal</x:v>
      </x:c>
      <x:c r="N185" s="82" t="str">
        <x:v>Smoke tint</x:v>
      </x:c>
      <x:c r="O185" s="82" t="str">
        <x:v>Black</x:v>
      </x:c>
      <x:c r="P185" s="82" t="str">
        <x:v>Malaysia</x:v>
      </x:c>
      <x:c r="Q185" s="82" t="str"/>
      <x:c r="R185" s="82" t="str">
        <x:v>Mainline</x:v>
      </x:c>
      <x:c r="S185" s="82" t="str">
        <x:v>Incomum</x:v>
      </x:c>
      <x:c r="T185" s="82" t="str">
        <x:v>Lançado</x:v>
      </x:c>
      <x:c r="U185" s="82" t="str"/>
      <x:c r="V185" s="80" t="str">
        <x:v>Coleção principal (~1:64)</x:v>
      </x:c>
      <x:c r="W185" s="82" t="str">
        <x:v>https://hotwheels.fandom.com/wiki/BMW_M_Roadster</x:v>
      </x:c>
      <x:c r="X185" s="82" t="str">
        <x:v>https://hotwheels.fandom.com/wiki/BMW_M_Roadster</x:v>
      </x:c>
    </x:row>
    <x:row r="186">
      <x:c r="A186" s="80" t="str">
        <x:v>Não</x:v>
      </x:c>
      <x:c r="B186" s="80" t="str">
        <x:v>2 — Completar aos poucos</x:v>
      </x:c>
      <x:c r="C186" s="81" t="n">
        <x:v>2002</x:v>
      </x:c>
      <x:c r="D186" s="80" t="str">
        <x:v>BMW M Roadster</x:v>
      </x:c>
      <x:c r="E186" s="80" t="str">
        <x:v>BMW M Roadster</x:v>
      </x:c>
      <x:c r="F186" s="82" t="str">
        <x:v>Mainline</x:v>
      </x:c>
      <x:c r="G186" s="80" t="str"/>
      <x:c r="H186" s="80" t="str">
        <x:v>161</x:v>
      </x:c>
      <x:c r="I186" s="83" t="str">
        <x:v>55046</x:v>
      </x:c>
      <x:c r="J186" s="80" t="str">
        <x:v>Metallic Light Gold</x:v>
      </x:c>
      <x:c r="K186" s="82" t="str">
        <x:v>Black HW logo on trunk</x:v>
      </x:c>
      <x:c r="L186" s="82" t="str">
        <x:v>5SP</x:v>
      </x:c>
      <x:c r="M186" s="82" t="str">
        <x:v>Black / Metal</x:v>
      </x:c>
      <x:c r="N186" s="82" t="str">
        <x:v>Smoke tint</x:v>
      </x:c>
      <x:c r="O186" s="82" t="str">
        <x:v>Black</x:v>
      </x:c>
      <x:c r="P186" s="82" t="str">
        <x:v>Malaysia</x:v>
      </x:c>
      <x:c r="Q186" s="82" t="str"/>
      <x:c r="R186" s="82" t="str">
        <x:v>Mainline</x:v>
      </x:c>
      <x:c r="S186" s="82" t="str">
        <x:v>Incomum</x:v>
      </x:c>
      <x:c r="T186" s="82" t="str">
        <x:v>Lançado</x:v>
      </x:c>
      <x:c r="U186" s="82" t="str"/>
      <x:c r="V186" s="80" t="str">
        <x:v>Coleção principal (~1:64)</x:v>
      </x:c>
      <x:c r="W186" s="82" t="str">
        <x:v>https://hotwheels.fandom.com/wiki/BMW_M_Roadster</x:v>
      </x:c>
      <x:c r="X186" s="82" t="str">
        <x:v>https://hotwheels.fandom.com/wiki/BMW_M_Roadster</x:v>
      </x:c>
    </x:row>
    <x:row r="187">
      <x:c r="A187" s="80" t="str">
        <x:v>Não</x:v>
      </x:c>
      <x:c r="B187" s="80" t="str">
        <x:v>2 — Completar aos poucos</x:v>
      </x:c>
      <x:c r="C187" s="81" t="n">
        <x:v>2002</x:v>
      </x:c>
      <x:c r="D187" s="80" t="str">
        <x:v>BMW M Roadster</x:v>
      </x:c>
      <x:c r="E187" s="80" t="str">
        <x:v>BMW M Roadster</x:v>
      </x:c>
      <x:c r="F187" s="82" t="str">
        <x:v>Mainline / 17/144</x:v>
      </x:c>
      <x:c r="G187" s="80" t="str"/>
      <x:c r="H187" s="80" t="str">
        <x:v>161</x:v>
      </x:c>
      <x:c r="I187" s="83" t="str">
        <x:v>55046</x:v>
      </x:c>
      <x:c r="J187" s="80" t="str">
        <x:v>Metallic Light Gold</x:v>
      </x:c>
      <x:c r="K187" s="82" t="str">
        <x:v>Black HW logo on trunk</x:v>
      </x:c>
      <x:c r="L187" s="82" t="str">
        <x:v>5DOT</x:v>
      </x:c>
      <x:c r="M187" s="82" t="str">
        <x:v>Black / / / Metal</x:v>
      </x:c>
      <x:c r="N187" s="82" t="str">
        <x:v>Tinted</x:v>
      </x:c>
      <x:c r="O187" s="82" t="str">
        <x:v>Black</x:v>
      </x:c>
      <x:c r="P187" s="82" t="str">
        <x:v>Malaysia</x:v>
      </x:c>
      <x:c r="Q187" s="82" t="str"/>
      <x:c r="R187" s="82" t="str">
        <x:v>Mainline</x:v>
      </x:c>
      <x:c r="S187" s="82" t="str">
        <x:v>Incomum</x:v>
      </x:c>
      <x:c r="T187" s="82" t="str">
        <x:v>Lançado</x:v>
      </x:c>
      <x:c r="U187" s="82" t="str"/>
      <x:c r="V187" s="80" t="str">
        <x:v>Coleção principal (~1:64)</x:v>
      </x:c>
      <x:c r="W187" s="82" t="str">
        <x:v>https://hotwheels.fandom.com/wiki/BMW_M_Roadster</x:v>
      </x:c>
      <x:c r="X187" s="82" t="str">
        <x:v>https://hotwheels.fandom.com/wiki/BMW_M_Roadster</x:v>
      </x:c>
    </x:row>
    <x:row r="188">
      <x:c r="A188" s="80" t="str">
        <x:v>Não</x:v>
      </x:c>
      <x:c r="B188" s="80" t="str">
        <x:v>2 — Completar aos poucos</x:v>
      </x:c>
      <x:c r="C188" s="81" t="n">
        <x:v>2002</x:v>
      </x:c>
      <x:c r="D188" s="80" t="str">
        <x:v>BMW M Roadster</x:v>
      </x:c>
      <x:c r="E188" s="80" t="str">
        <x:v>BMW M Roadster</x:v>
      </x:c>
      <x:c r="F188" s="82" t="str">
        <x:v>Mainline / 17/144</x:v>
      </x:c>
      <x:c r="G188" s="80" t="str"/>
      <x:c r="H188" s="80" t="str">
        <x:v>161</x:v>
      </x:c>
      <x:c r="I188" s="83" t="str">
        <x:v>55046</x:v>
      </x:c>
      <x:c r="J188" s="80" t="str">
        <x:v>Metallic Light Gold</x:v>
      </x:c>
      <x:c r="K188" s="82" t="str">
        <x:v>Black HW logo on trunk</x:v>
      </x:c>
      <x:c r="L188" s="82" t="str">
        <x:v>5SP</x:v>
      </x:c>
      <x:c r="M188" s="82" t="str">
        <x:v>Black / / / Metal</x:v>
      </x:c>
      <x:c r="N188" s="82" t="str">
        <x:v>Tiinted</x:v>
      </x:c>
      <x:c r="O188" s="82" t="str">
        <x:v>Black</x:v>
      </x:c>
      <x:c r="P188" s="82" t="str">
        <x:v>Malaysia</x:v>
      </x:c>
      <x:c r="Q188" s="82" t="str"/>
      <x:c r="R188" s="82" t="str">
        <x:v>Mainline</x:v>
      </x:c>
      <x:c r="S188" s="82" t="str">
        <x:v>Incomum</x:v>
      </x:c>
      <x:c r="T188" s="82" t="str">
        <x:v>Lançado</x:v>
      </x:c>
      <x:c r="U188" s="82" t="str"/>
      <x:c r="V188" s="80" t="str">
        <x:v>Coleção principal (~1:64)</x:v>
      </x:c>
      <x:c r="W188" s="82" t="str">
        <x:v>https://hotwheels.fandom.com/wiki/BMW_M_Roadster</x:v>
      </x:c>
      <x:c r="X188" s="82" t="str">
        <x:v>https://hotwheels.fandom.com/wiki/BMW_M_Roadster</x:v>
      </x:c>
    </x:row>
    <x:row r="189">
      <x:c r="A189" s="80" t="str">
        <x:v>Não</x:v>
      </x:c>
      <x:c r="B189" s="80" t="str">
        <x:v>2 — Completar aos poucos</x:v>
      </x:c>
      <x:c r="C189" s="81" t="n">
        <x:v>2001</x:v>
      </x:c>
      <x:c r="D189" s="80" t="str">
        <x:v>BMW 850i</x:v>
      </x:c>
      <x:c r="E189" s="80" t="str">
        <x:v>BMW 850i</x:v>
      </x:c>
      <x:c r="F189" s="82" t="str">
        <x:v>Final Run 10/12</x:v>
      </x:c>
      <x:c r="G189" s="80" t="str"/>
      <x:c r="H189" s="80" t="str"/>
      <x:c r="I189" s="83" t="str">
        <x:v>27001</x:v>
      </x:c>
      <x:c r="J189" s="80" t="str">
        <x:v>Chrome</x:v>
      </x:c>
      <x:c r="K189" s="82" t="str">
        <x:v>Red, Blue &amp; Magenta Stripes on Quarter Panels; HW Logo on Trunk; FR Logo on Rear Window</x:v>
      </x:c>
      <x:c r="L189" s="82" t="str">
        <x:v>PC5</x:v>
      </x:c>
      <x:c r="M189" s="82" t="str">
        <x:v>Chrome / Plastic</x:v>
      </x:c>
      <x:c r="N189" s="82" t="str">
        <x:v>Purple-Tinted</x:v>
      </x:c>
      <x:c r="O189" s="82" t="str">
        <x:v>Black</x:v>
      </x:c>
      <x:c r="P189" s="82" t="str">
        <x:v>Malaysia</x:v>
      </x:c>
      <x:c r="Q189" s="82" t="str"/>
      <x:c r="R189" s="82" t="str">
        <x:v>Outra linha</x:v>
      </x:c>
      <x:c r="S189" s="82" t="str">
        <x:v>Incomum</x:v>
      </x:c>
      <x:c r="T189" s="82" t="str">
        <x:v>Lançado</x:v>
      </x:c>
      <x:c r="U189" s="82" t="str"/>
      <x:c r="V189" s="80" t="str">
        <x:v>Coleção principal (~1:64)</x:v>
      </x:c>
      <x:c r="W189" s="82" t="str">
        <x:v>https://hotwheels.fandom.com/wiki/BMW_850i</x:v>
      </x:c>
      <x:c r="X189" s="82" t="str">
        <x:v>https://hotwheels.fandom.com/wiki/BMW_850i</x:v>
      </x:c>
    </x:row>
    <x:row r="190">
      <x:c r="A190" s="80" t="str">
        <x:v>Não</x:v>
      </x:c>
      <x:c r="B190" s="80" t="str">
        <x:v>2 — Completar aos poucos</x:v>
      </x:c>
      <x:c r="C190" s="81" t="n">
        <x:v>2001</x:v>
      </x:c>
      <x:c r="D190" s="80" t="str">
        <x:v>BMW M Roadster</x:v>
      </x:c>
      <x:c r="E190" s="80" t="str">
        <x:v>BMW M Roadster</x:v>
      </x:c>
      <x:c r="F190" s="82" t="str">
        <x:v>Mainline</x:v>
      </x:c>
      <x:c r="G190" s="80" t="str"/>
      <x:c r="H190" s="80" t="str">
        <x:v>113</x:v>
      </x:c>
      <x:c r="I190" s="83" t="str">
        <x:v>50643</x:v>
      </x:c>
      <x:c r="J190" s="80" t="str">
        <x:v>Teal</x:v>
      </x:c>
      <x:c r="K190" s="82" t="str">
        <x:v>Black HW Logo on Trunk</x:v>
      </x:c>
      <x:c r="L190" s="82" t="str">
        <x:v>PR5</x:v>
      </x:c>
      <x:c r="M190" s="82" t="str">
        <x:v>Black / Metal</x:v>
      </x:c>
      <x:c r="N190" s="82" t="str">
        <x:v>Smoke tint</x:v>
      </x:c>
      <x:c r="O190" s="82" t="str">
        <x:v>Black</x:v>
      </x:c>
      <x:c r="P190" s="82" t="str">
        <x:v>Malaysia</x:v>
      </x:c>
      <x:c r="Q190" s="82" t="str"/>
      <x:c r="R190" s="82" t="str">
        <x:v>Mainline</x:v>
      </x:c>
      <x:c r="S190" s="82" t="str">
        <x:v>Incomum</x:v>
      </x:c>
      <x:c r="T190" s="82" t="str">
        <x:v>Lançado</x:v>
      </x:c>
      <x:c r="U190" s="82" t="str">
        <x:v>Carded as "BMW Z3 Roadster"</x:v>
      </x:c>
      <x:c r="V190" s="80" t="str">
        <x:v>Coleção principal (~1:64)</x:v>
      </x:c>
      <x:c r="W190" s="82" t="str">
        <x:v>https://hotwheels.fandom.com/wiki/BMW_M_Roadster</x:v>
      </x:c>
      <x:c r="X190" s="82" t="str">
        <x:v>https://hotwheels.fandom.com/wiki/BMW_M_Roadster</x:v>
      </x:c>
    </x:row>
    <x:row r="191">
      <x:c r="A191" s="80" t="str">
        <x:v>Não</x:v>
      </x:c>
      <x:c r="B191" s="80" t="str">
        <x:v>2 — Completar aos poucos</x:v>
      </x:c>
      <x:c r="C191" s="81" t="n">
        <x:v>2001</x:v>
      </x:c>
      <x:c r="D191" s="80" t="str">
        <x:v>BMW M Roadster</x:v>
      </x:c>
      <x:c r="E191" s="80" t="str">
        <x:v>BMW M Roadster</x:v>
      </x:c>
      <x:c r="F191" s="82" t="str">
        <x:v>Mainline</x:v>
      </x:c>
      <x:c r="G191" s="80" t="str"/>
      <x:c r="H191" s="80" t="str">
        <x:v>113</x:v>
      </x:c>
      <x:c r="I191" s="83" t="str">
        <x:v>50643</x:v>
      </x:c>
      <x:c r="J191" s="80" t="str">
        <x:v>Teal</x:v>
      </x:c>
      <x:c r="K191" s="82" t="str">
        <x:v>Black HW Logo on Trunk</x:v>
      </x:c>
      <x:c r="L191" s="82" t="str">
        <x:v>3SP</x:v>
      </x:c>
      <x:c r="M191" s="82" t="str">
        <x:v>Black / Metal</x:v>
      </x:c>
      <x:c r="N191" s="82" t="str">
        <x:v>Smoke tint</x:v>
      </x:c>
      <x:c r="O191" s="82" t="str">
        <x:v>Black</x:v>
      </x:c>
      <x:c r="P191" s="82" t="str">
        <x:v>Malaysia</x:v>
      </x:c>
      <x:c r="Q191" s="82" t="str"/>
      <x:c r="R191" s="82" t="str">
        <x:v>Mainline</x:v>
      </x:c>
      <x:c r="S191" s="82" t="str">
        <x:v>Incomum</x:v>
      </x:c>
      <x:c r="T191" s="82" t="str">
        <x:v>Lançado</x:v>
      </x:c>
      <x:c r="U191" s="82" t="str">
        <x:v>Carded as "BMW Z3 Roadster"</x:v>
      </x:c>
      <x:c r="V191" s="80" t="str">
        <x:v>Coleção principal (~1:64)</x:v>
      </x:c>
      <x:c r="W191" s="82" t="str">
        <x:v>https://hotwheels.fandom.com/wiki/BMW_M_Roadster</x:v>
      </x:c>
      <x:c r="X191" s="82" t="str">
        <x:v>https://hotwheels.fandom.com/wiki/BMW_M_Roadster</x:v>
      </x:c>
    </x:row>
    <x:row r="192">
      <x:c r="A192" s="80" t="str">
        <x:v>Não</x:v>
      </x:c>
      <x:c r="B192" s="80" t="str">
        <x:v>2 — Completar aos poucos</x:v>
      </x:c>
      <x:c r="C192" s="81" t="n">
        <x:v>2001</x:v>
      </x:c>
      <x:c r="D192" s="80" t="str">
        <x:v>BMW M Roadster</x:v>
      </x:c>
      <x:c r="E192" s="80" t="str">
        <x:v>BMW M Roadster</x:v>
      </x:c>
      <x:c r="F192" s="82" t="str">
        <x:v>Mainline / 17/144</x:v>
      </x:c>
      <x:c r="G192" s="80" t="str"/>
      <x:c r="H192" s="80" t="str">
        <x:v>113</x:v>
      </x:c>
      <x:c r="I192" s="83" t="str">
        <x:v>50643</x:v>
      </x:c>
      <x:c r="J192" s="80" t="str">
        <x:v>Teal</x:v>
      </x:c>
      <x:c r="K192" s="82" t="str">
        <x:v>Black HW Logo on Trunk</x:v>
      </x:c>
      <x:c r="L192" s="82" t="str">
        <x:v>PR5</x:v>
      </x:c>
      <x:c r="M192" s="82" t="str">
        <x:v>Black / / / Metal</x:v>
      </x:c>
      <x:c r="N192" s="82" t="str">
        <x:v>Tinted</x:v>
      </x:c>
      <x:c r="O192" s="82" t="str">
        <x:v>Black</x:v>
      </x:c>
      <x:c r="P192" s="82" t="str">
        <x:v>Malaysia</x:v>
      </x:c>
      <x:c r="Q192" s="82" t="str"/>
      <x:c r="R192" s="82" t="str">
        <x:v>Mainline</x:v>
      </x:c>
      <x:c r="S192" s="82" t="str">
        <x:v>Incomum</x:v>
      </x:c>
      <x:c r="T192" s="82" t="str">
        <x:v>Lançado</x:v>
      </x:c>
      <x:c r="U192" s="82" t="str"/>
      <x:c r="V192" s="80" t="str">
        <x:v>Coleção principal (~1:64)</x:v>
      </x:c>
      <x:c r="W192" s="82" t="str">
        <x:v>https://hotwheels.fandom.com/wiki/BMW_M_Roadster</x:v>
      </x:c>
      <x:c r="X192" s="82" t="str">
        <x:v>https://hotwheels.fandom.com/wiki/BMW_M_Roadster</x:v>
      </x:c>
    </x:row>
    <x:row r="193">
      <x:c r="A193" s="80" t="str">
        <x:v>Não</x:v>
      </x:c>
      <x:c r="B193" s="80" t="str">
        <x:v>2 — Completar aos poucos</x:v>
      </x:c>
      <x:c r="C193" s="81" t="n">
        <x:v>2001</x:v>
      </x:c>
      <x:c r="D193" s="80" t="str">
        <x:v>BMW M Roadster</x:v>
      </x:c>
      <x:c r="E193" s="80" t="str">
        <x:v>BMW M Roadster</x:v>
      </x:c>
      <x:c r="F193" s="82" t="str">
        <x:v>Mainline / 17/144</x:v>
      </x:c>
      <x:c r="G193" s="80" t="str"/>
      <x:c r="H193" s="80" t="str">
        <x:v>113</x:v>
      </x:c>
      <x:c r="I193" s="83" t="str">
        <x:v>50643</x:v>
      </x:c>
      <x:c r="J193" s="80" t="str">
        <x:v>Teal</x:v>
      </x:c>
      <x:c r="K193" s="82" t="str">
        <x:v>Black HW Logo on Trunk</x:v>
      </x:c>
      <x:c r="L193" s="82" t="str">
        <x:v>3SP</x:v>
      </x:c>
      <x:c r="M193" s="82" t="str">
        <x:v>Black / / / Metal</x:v>
      </x:c>
      <x:c r="N193" s="82" t="str">
        <x:v>Tinted</x:v>
      </x:c>
      <x:c r="O193" s="82" t="str">
        <x:v>Black</x:v>
      </x:c>
      <x:c r="P193" s="82" t="str">
        <x:v>Malaysia</x:v>
      </x:c>
      <x:c r="Q193" s="82" t="str"/>
      <x:c r="R193" s="82" t="str">
        <x:v>Mainline</x:v>
      </x:c>
      <x:c r="S193" s="82" t="str">
        <x:v>Incomum</x:v>
      </x:c>
      <x:c r="T193" s="82" t="str">
        <x:v>Lançado</x:v>
      </x:c>
      <x:c r="U193" s="82" t="str"/>
      <x:c r="V193" s="80" t="str">
        <x:v>Coleção principal (~1:64)</x:v>
      </x:c>
      <x:c r="W193" s="82" t="str">
        <x:v>https://hotwheels.fandom.com/wiki/BMW_M_Roadster</x:v>
      </x:c>
      <x:c r="X193" s="82" t="str">
        <x:v>https://hotwheels.fandom.com/wiki/BMW_M_Roadster</x:v>
      </x:c>
    </x:row>
    <x:row r="194">
      <x:c r="A194" s="80" t="str">
        <x:v>Não</x:v>
      </x:c>
      <x:c r="B194" s="80" t="str">
        <x:v>2 — Completar aos poucos</x:v>
      </x:c>
      <x:c r="C194" s="81" t="n">
        <x:v>2001</x:v>
      </x:c>
      <x:c r="D194" s="80" t="str">
        <x:v>BMW Z8</x:v>
      </x:c>
      <x:c r="E194" s="80" t="str">
        <x:v>BMW Z8</x:v>
      </x:c>
      <x:c r="F194" s="82" t="str">
        <x:v>100% Hot Wheels 1:18 Scale</x:v>
      </x:c>
      <x:c r="G194" s="80" t="str"/>
      <x:c r="H194" s="80" t="str"/>
      <x:c r="I194" s="83" t="str">
        <x:v>54576</x:v>
      </x:c>
      <x:c r="J194" s="80" t="str">
        <x:v>Black</x:v>
      </x:c>
      <x:c r="K194" s="82" t="str"/>
      <x:c r="L194" s="82" t="str"/>
      <x:c r="M194" s="82" t="str">
        <x:v>Black / Plastic</x:v>
      </x:c>
      <x:c r="N194" s="82" t="str">
        <x:v>Clear</x:v>
      </x:c>
      <x:c r="O194" s="82" t="str">
        <x:v>Red &amp; Black</x:v>
      </x:c>
      <x:c r="P194" s="82" t="str">
        <x:v>China</x:v>
      </x:c>
      <x:c r="Q194" s="82" t="str"/>
      <x:c r="R194" s="82" t="str">
        <x:v>100% / Collectibles</x:v>
      </x:c>
      <x:c r="S194" s="82" t="str">
        <x:v>Incomum</x:v>
      </x:c>
      <x:c r="T194" s="82" t="str">
        <x:v>Lançado</x:v>
      </x:c>
      <x:c r="U194" s="82" t="str"/>
      <x:c r="V194" s="80" t="str">
        <x:v>Coleção principal (~1:64)</x:v>
      </x:c>
      <x:c r="W194" s="82" t="str">
        <x:v>https://hotwheels.fandom.com/wiki/BMW_Z8</x:v>
      </x:c>
      <x:c r="X194" s="82" t="str">
        <x:v>https://hotwheels.fandom.com/wiki/BMW_Z8</x:v>
      </x:c>
    </x:row>
    <x:row r="195">
      <x:c r="A195" s="80" t="str">
        <x:v>Não</x:v>
      </x:c>
      <x:c r="B195" s="80" t="str">
        <x:v>2 — Completar aos poucos</x:v>
      </x:c>
      <x:c r="C195" s="81" t="n">
        <x:v>2001</x:v>
      </x:c>
      <x:c r="D195" s="80" t="str">
        <x:v>BMW Z8</x:v>
      </x:c>
      <x:c r="E195" s="80" t="str">
        <x:v>BMW Z8</x:v>
      </x:c>
      <x:c r="F195" s="82" t="str">
        <x:v>100% Hot Wheels 1:18 Scale</x:v>
      </x:c>
      <x:c r="G195" s="80" t="str"/>
      <x:c r="H195" s="80" t="str"/>
      <x:c r="I195" s="83" t="str">
        <x:v>29614</x:v>
      </x:c>
      <x:c r="J195" s="80" t="str">
        <x:v>Silver</x:v>
      </x:c>
      <x:c r="K195" s="82" t="str"/>
      <x:c r="L195" s="82" t="str"/>
      <x:c r="M195" s="82" t="str">
        <x:v>Black / Plastic</x:v>
      </x:c>
      <x:c r="N195" s="82" t="str">
        <x:v>Clear</x:v>
      </x:c>
      <x:c r="O195" s="82" t="str">
        <x:v>Burgandy</x:v>
      </x:c>
      <x:c r="P195" s="82" t="str">
        <x:v>China</x:v>
      </x:c>
      <x:c r="Q195" s="82" t="str"/>
      <x:c r="R195" s="82" t="str">
        <x:v>100% / Collectibles</x:v>
      </x:c>
      <x:c r="S195" s="82" t="str">
        <x:v>Incomum</x:v>
      </x:c>
      <x:c r="T195" s="82" t="str">
        <x:v>Lançado</x:v>
      </x:c>
      <x:c r="U195" s="82" t="str"/>
      <x:c r="V195" s="80" t="str">
        <x:v>Coleção principal (~1:64)</x:v>
      </x:c>
      <x:c r="W195" s="82" t="str">
        <x:v>https://hotwheels.fandom.com/wiki/BMW_Z8</x:v>
      </x:c>
      <x:c r="X195" s="82" t="str">
        <x:v>https://hotwheels.fandom.com/wiki/BMW_Z8</x:v>
      </x:c>
    </x:row>
    <x:row r="196">
      <x:c r="A196" s="80" t="str">
        <x:v>Não</x:v>
      </x:c>
      <x:c r="B196" s="80" t="str">
        <x:v>2 — Completar aos poucos</x:v>
      </x:c>
      <x:c r="C196" s="81" t="n">
        <x:v>2000</x:v>
      </x:c>
      <x:c r="D196" s="80" t="str">
        <x:v>BMW 850i</x:v>
      </x:c>
      <x:c r="E196" s="80" t="str">
        <x:v>BMW 850i</x:v>
      </x:c>
      <x:c r="F196" s="82" t="str">
        <x:v>Mainline</x:v>
      </x:c>
      <x:c r="G196" s="80" t="str"/>
      <x:c r="H196" s="80" t="str">
        <x:v>159</x:v>
      </x:c>
      <x:c r="I196" s="83" t="str">
        <x:v>27125</x:v>
      </x:c>
      <x:c r="J196" s="80" t="str">
        <x:v>Metallic Light Blue</x:v>
      </x:c>
      <x:c r="K196" s="82" t="str">
        <x:v>Black HW Logo on Quarter Panel</x:v>
      </x:c>
      <x:c r="L196" s="82" t="str">
        <x:v>3SP</x:v>
      </x:c>
      <x:c r="M196" s="82" t="str">
        <x:v>Blue / Plastic</x:v>
      </x:c>
      <x:c r="N196" s="82" t="str">
        <x:v>Clear</x:v>
      </x:c>
      <x:c r="O196" s="82" t="str">
        <x:v>Black</x:v>
      </x:c>
      <x:c r="P196" s="82" t="str">
        <x:v>Malaysia</x:v>
      </x:c>
      <x:c r="Q196" s="82" t="str"/>
      <x:c r="R196" s="82" t="str">
        <x:v>Mainline</x:v>
      </x:c>
      <x:c r="S196" s="82" t="str">
        <x:v>Incomum</x:v>
      </x:c>
      <x:c r="T196" s="82" t="str">
        <x:v>Lançado</x:v>
      </x:c>
      <x:c r="U196" s="82" t="str"/>
      <x:c r="V196" s="80" t="str">
        <x:v>Coleção principal (~1:64)</x:v>
      </x:c>
      <x:c r="W196" s="82" t="str">
        <x:v>https://hotwheels.fandom.com/wiki/BMW_850i</x:v>
      </x:c>
      <x:c r="X196" s="82" t="str">
        <x:v>https://hotwheels.fandom.com/wiki/BMW_850i</x:v>
      </x:c>
    </x:row>
    <x:row r="197">
      <x:c r="A197" s="80" t="str">
        <x:v>Não</x:v>
      </x:c>
      <x:c r="B197" s="80" t="str">
        <x:v>2 — Completar aos poucos</x:v>
      </x:c>
      <x:c r="C197" s="81" t="n">
        <x:v>2000</x:v>
      </x:c>
      <x:c r="D197" s="80" t="str">
        <x:v>BMW M Roadster</x:v>
      </x:c>
      <x:c r="E197" s="80" t="str">
        <x:v>BMW M Roadster</x:v>
      </x:c>
      <x:c r="F197" s="82" t="str">
        <x:v>Kit Kat Promotion</x:v>
      </x:c>
      <x:c r="G197" s="80" t="str"/>
      <x:c r="H197" s="80" t="str"/>
      <x:c r="I197" s="83" t="str"/>
      <x:c r="J197" s="80" t="str">
        <x:v>Red</x:v>
      </x:c>
      <x:c r="K197" s="82" t="str">
        <x:v>White HW, Nestle &amp; Kit Kat Logo on hood</x:v>
      </x:c>
      <x:c r="L197" s="82" t="str">
        <x:v>5SP</x:v>
      </x:c>
      <x:c r="M197" s="82" t="str">
        <x:v>Black / Metal</x:v>
      </x:c>
      <x:c r="N197" s="82" t="str">
        <x:v>Clear</x:v>
      </x:c>
      <x:c r="O197" s="82" t="str">
        <x:v>Black</x:v>
      </x:c>
      <x:c r="P197" s="82" t="str">
        <x:v>Malaysia</x:v>
      </x:c>
      <x:c r="Q197" s="82" t="str"/>
      <x:c r="R197" s="82" t="str">
        <x:v>Outra linha</x:v>
      </x:c>
      <x:c r="S197" s="82" t="str">
        <x:v>Incomum</x:v>
      </x:c>
      <x:c r="T197" s="82" t="str">
        <x:v>Lançado</x:v>
      </x:c>
      <x:c r="U197" s="82" t="str"/>
      <x:c r="V197" s="80" t="str">
        <x:v>Coleção principal (~1:64)</x:v>
      </x:c>
      <x:c r="W197" s="82" t="str">
        <x:v>https://hotwheels.fandom.com/wiki/BMW_M_Roadster</x:v>
      </x:c>
      <x:c r="X197" s="82" t="str">
        <x:v>https://hotwheels.fandom.com/wiki/BMW_M_Roadster</x:v>
      </x:c>
    </x:row>
    <x:row r="198">
      <x:c r="A198" s="80" t="str">
        <x:v>Não</x:v>
      </x:c>
      <x:c r="B198" s="80" t="str">
        <x:v>2 — Completar aos poucos</x:v>
      </x:c>
      <x:c r="C198" s="81" t="n">
        <x:v>2000</x:v>
      </x:c>
      <x:c r="D198" s="80" t="str">
        <x:v>BMW M Roadster</x:v>
      </x:c>
      <x:c r="E198" s="80" t="str">
        <x:v>BMW M Roadster</x:v>
      </x:c>
      <x:c r="F198" s="82" t="str">
        <x:v>Mainline</x:v>
      </x:c>
      <x:c r="G198" s="80" t="str"/>
      <x:c r="H198" s="80" t="str">
        <x:v>100</x:v>
      </x:c>
      <x:c r="I198" s="83" t="str">
        <x:v>27067</x:v>
      </x:c>
      <x:c r="J198" s="80" t="str">
        <x:v>Red</x:v>
      </x:c>
      <x:c r="K198" s="82" t="str">
        <x:v>Black HW Logo</x:v>
      </x:c>
      <x:c r="L198" s="82" t="str">
        <x:v>5SP</x:v>
      </x:c>
      <x:c r="M198" s="82" t="str">
        <x:v>Black / Metal</x:v>
      </x:c>
      <x:c r="N198" s="82" t="str">
        <x:v>Clear</x:v>
      </x:c>
      <x:c r="O198" s="82" t="str">
        <x:v>Black</x:v>
      </x:c>
      <x:c r="P198" s="82" t="str">
        <x:v>Malaysia</x:v>
      </x:c>
      <x:c r="Q198" s="82" t="str"/>
      <x:c r="R198" s="82" t="str">
        <x:v>Mainline</x:v>
      </x:c>
      <x:c r="S198" s="82" t="str">
        <x:v>Incomum</x:v>
      </x:c>
      <x:c r="T198" s="82" t="str">
        <x:v>Lançado</x:v>
      </x:c>
      <x:c r="U198" s="82" t="str"/>
      <x:c r="V198" s="80" t="str">
        <x:v>Coleção principal (~1:64)</x:v>
      </x:c>
      <x:c r="W198" s="82" t="str">
        <x:v>https://hotwheels.fandom.com/wiki/BMW_M_Roadster</x:v>
      </x:c>
      <x:c r="X198" s="82" t="str">
        <x:v>https://hotwheels.fandom.com/wiki/BMW_M_Roadster</x:v>
      </x:c>
    </x:row>
    <x:row r="199">
      <x:c r="A199" s="80" t="str">
        <x:v>Não</x:v>
      </x:c>
      <x:c r="B199" s="80" t="str">
        <x:v>2 — Completar aos poucos</x:v>
      </x:c>
      <x:c r="C199" s="81" t="n">
        <x:v>2000</x:v>
      </x:c>
      <x:c r="D199" s="80" t="str">
        <x:v>BMW M Roadster</x:v>
      </x:c>
      <x:c r="E199" s="80" t="str">
        <x:v>BMW M Roadster</x:v>
      </x:c>
      <x:c r="F199" s="82" t="str">
        <x:v>Mainline</x:v>
      </x:c>
      <x:c r="G199" s="80" t="str"/>
      <x:c r="H199" s="80" t="str">
        <x:v>100</x:v>
      </x:c>
      <x:c r="I199" s="83" t="str">
        <x:v>27067</x:v>
      </x:c>
      <x:c r="J199" s="80" t="str">
        <x:v>Red</x:v>
      </x:c>
      <x:c r="K199" s="82" t="str">
        <x:v>Black HW Logo</x:v>
      </x:c>
      <x:c r="L199" s="82" t="str">
        <x:v>5DOT</x:v>
      </x:c>
      <x:c r="M199" s="82" t="str">
        <x:v>Black / Metal</x:v>
      </x:c>
      <x:c r="N199" s="82" t="str">
        <x:v>Clear</x:v>
      </x:c>
      <x:c r="O199" s="82" t="str">
        <x:v>Black</x:v>
      </x:c>
      <x:c r="P199" s="82" t="str">
        <x:v>Malaysia</x:v>
      </x:c>
      <x:c r="Q199" s="82" t="str"/>
      <x:c r="R199" s="82" t="str">
        <x:v>Mainline</x:v>
      </x:c>
      <x:c r="S199" s="82" t="str">
        <x:v>Incomum</x:v>
      </x:c>
      <x:c r="T199" s="82" t="str">
        <x:v>Lançado</x:v>
      </x:c>
      <x:c r="U199" s="82" t="str"/>
      <x:c r="V199" s="80" t="str">
        <x:v>Coleção principal (~1:64)</x:v>
      </x:c>
      <x:c r="W199" s="82" t="str">
        <x:v>https://hotwheels.fandom.com/wiki/BMW_M_Roadster</x:v>
      </x:c>
      <x:c r="X199" s="82" t="str">
        <x:v>https://hotwheels.fandom.com/wiki/BMW_M_Roadster</x:v>
      </x:c>
    </x:row>
    <x:row r="200">
      <x:c r="A200" s="80" t="str">
        <x:v>Não</x:v>
      </x:c>
      <x:c r="B200" s="80" t="str">
        <x:v>2 — Completar aos poucos</x:v>
      </x:c>
      <x:c r="C200" s="81" t="n">
        <x:v>1999</x:v>
      </x:c>
      <x:c r="D200" s="80" t="str">
        <x:v>BMW 850i</x:v>
      </x:c>
      <x:c r="E200" s="80" t="str">
        <x:v>BMW 850i</x:v>
      </x:c>
      <x:c r="F200" s="82" t="str">
        <x:v>Mainline</x:v>
      </x:c>
      <x:c r="G200" s="80" t="str"/>
      <x:c r="H200" s="80" t="str">
        <x:v>1093</x:v>
      </x:c>
      <x:c r="I200" s="83" t="str">
        <x:v>24107</x:v>
      </x:c>
      <x:c r="J200" s="80" t="str">
        <x:v>Metallic Light Gold</x:v>
      </x:c>
      <x:c r="K200" s="82" t="str">
        <x:v>Black HW Logo on Hood</x:v>
      </x:c>
      <x:c r="L200" s="82" t="str">
        <x:v>LW</x:v>
      </x:c>
      <x:c r="M200" s="82" t="str">
        <x:v>Gold / Plastic</x:v>
      </x:c>
      <x:c r="N200" s="82" t="str">
        <x:v>Black-Tinted</x:v>
      </x:c>
      <x:c r="O200" s="82" t="str">
        <x:v>Black</x:v>
      </x:c>
      <x:c r="P200" s="82" t="str">
        <x:v>Malaysia</x:v>
      </x:c>
      <x:c r="Q200" s="82" t="str"/>
      <x:c r="R200" s="82" t="str">
        <x:v>Mainline</x:v>
      </x:c>
      <x:c r="S200" s="82" t="str">
        <x:v>Rara</x:v>
      </x:c>
      <x:c r="T200" s="82" t="str">
        <x:v>Lançado</x:v>
      </x:c>
      <x:c r="U200" s="82" t="str"/>
      <x:c r="V200" s="80" t="str">
        <x:v>Coleção principal (~1:64)</x:v>
      </x:c>
      <x:c r="W200" s="82" t="str">
        <x:v>https://hotwheels.fandom.com/wiki/BMW_850i</x:v>
      </x:c>
      <x:c r="X200" s="82" t="str">
        <x:v>https://hotwheels.fandom.com/wiki/BMW_850i</x:v>
      </x:c>
    </x:row>
    <x:row r="201">
      <x:c r="A201" s="80" t="str">
        <x:v>Não</x:v>
      </x:c>
      <x:c r="B201" s="80" t="str">
        <x:v>2 — Completar aos poucos</x:v>
      </x:c>
      <x:c r="C201" s="81" t="n">
        <x:v>1999</x:v>
      </x:c>
      <x:c r="D201" s="80" t="str">
        <x:v>BMW 850i</x:v>
      </x:c>
      <x:c r="E201" s="80" t="str">
        <x:v>BMW 850i</x:v>
      </x:c>
      <x:c r="F201" s="82" t="str">
        <x:v>Tri-Level Parking Garage</x:v>
      </x:c>
      <x:c r="G201" s="80" t="str"/>
      <x:c r="H201" s="80" t="str">
        <x:v>Hot Wheels World</x:v>
      </x:c>
      <x:c r="I201" s="83" t="str">
        <x:v>65687</x:v>
      </x:c>
      <x:c r="J201" s="80" t="str">
        <x:v>Pearl Yellow</x:v>
      </x:c>
      <x:c r="K201" s="82" t="str">
        <x:v>Silver, Green &amp; Black Stripes, "Beverly Hills, CA" and "Klausner Tuning" on Sides</x:v>
      </x:c>
      <x:c r="L201" s="82" t="str">
        <x:v>Gold LW</x:v>
      </x:c>
      <x:c r="M201" s="82" t="str">
        <x:v>Black / Plastic</x:v>
      </x:c>
      <x:c r="N201" s="82" t="str">
        <x:v>Black-Tinted</x:v>
      </x:c>
      <x:c r="O201" s="82" t="str">
        <x:v>Black</x:v>
      </x:c>
      <x:c r="P201" s="82" t="str"/>
      <x:c r="Q201" s="82" t="str"/>
      <x:c r="R201" s="82" t="str">
        <x:v>Temática / multipack</x:v>
      </x:c>
      <x:c r="S201" s="82" t="str">
        <x:v>Rara</x:v>
      </x:c>
      <x:c r="T201" s="82" t="str">
        <x:v>Lançado</x:v>
      </x:c>
      <x:c r="U201" s="82" t="str">
        <x:v>similar to California Dreamin 5-Pack</x:v>
      </x:c>
      <x:c r="V201" s="80" t="str">
        <x:v>Coleção principal (~1:64)</x:v>
      </x:c>
      <x:c r="W201" s="82" t="str">
        <x:v>https://hotwheels.fandom.com/wiki/BMW_850i</x:v>
      </x:c>
      <x:c r="X201" s="82" t="str">
        <x:v>https://hotwheels.fandom.com/wiki/BMW_850i</x:v>
      </x:c>
    </x:row>
    <x:row r="202">
      <x:c r="A202" s="80" t="str">
        <x:v>Não</x:v>
      </x:c>
      <x:c r="B202" s="80" t="str">
        <x:v>2 — Completar aos poucos</x:v>
      </x:c>
      <x:c r="C202" s="81" t="n">
        <x:v>1998</x:v>
      </x:c>
      <x:c r="D202" s="80" t="str">
        <x:v>BMW M Roadster</x:v>
      </x:c>
      <x:c r="E202" s="80" t="str">
        <x:v>BMW M Roadster</x:v>
      </x:c>
      <x:c r="F202" s="82" t="str">
        <x:v>Mainline</x:v>
      </x:c>
      <x:c r="G202" s="80" t="str"/>
      <x:c r="H202" s="80" t="str">
        <x:v>890</x:v>
      </x:c>
      <x:c r="I202" s="83" t="str">
        <x:v>19561</x:v>
      </x:c>
      <x:c r="J202" s="80" t="str">
        <x:v>White</x:v>
      </x:c>
      <x:c r="K202" s="82" t="str">
        <x:v>2 Black Racing Stripes, Black reverse "ROADSTER", Red "Nicolas Leasing"</x:v>
      </x:c>
      <x:c r="L202" s="82" t="str">
        <x:v>3SP</x:v>
      </x:c>
      <x:c r="M202" s="82" t="str">
        <x:v>Unpainted / Metal</x:v>
      </x:c>
      <x:c r="N202" s="82" t="str">
        <x:v>Smoke tint</x:v>
      </x:c>
      <x:c r="O202" s="82" t="str">
        <x:v>Red</x:v>
      </x:c>
      <x:c r="P202" s="82" t="str">
        <x:v>Malaysia</x:v>
      </x:c>
      <x:c r="Q202" s="82" t="str"/>
      <x:c r="R202" s="82" t="str">
        <x:v>Mainline</x:v>
      </x:c>
      <x:c r="S202" s="82" t="str">
        <x:v>Rara</x:v>
      </x:c>
      <x:c r="T202" s="82" t="str">
        <x:v>Lançado</x:v>
      </x:c>
      <x:c r="U202" s="82" t="str"/>
      <x:c r="V202" s="80" t="str">
        <x:v>Coleção principal (~1:64)</x:v>
      </x:c>
      <x:c r="W202" s="82" t="str">
        <x:v>https://hotwheels.fandom.com/wiki/BMW_M_Roadster</x:v>
      </x:c>
      <x:c r="X202" s="82" t="str">
        <x:v>https://hotwheels.fandom.com/wiki/BMW_M_Roadster</x:v>
      </x:c>
    </x:row>
    <x:row r="203">
      <x:c r="A203" s="80" t="str">
        <x:v>Não</x:v>
      </x:c>
      <x:c r="B203" s="80" t="str">
        <x:v>2 — Completar aos poucos</x:v>
      </x:c>
      <x:c r="C203" s="81" t="n">
        <x:v>1998</x:v>
      </x:c>
      <x:c r="D203" s="80" t="str">
        <x:v>BMW M Roadster</x:v>
      </x:c>
      <x:c r="E203" s="80" t="str">
        <x:v>BMW M Roadster</x:v>
      </x:c>
      <x:c r="F203" s="82" t="str">
        <x:v>Mainline</x:v>
      </x:c>
      <x:c r="G203" s="80" t="str"/>
      <x:c r="H203" s="80" t="str">
        <x:v>890</x:v>
      </x:c>
      <x:c r="I203" s="83" t="str">
        <x:v>19561</x:v>
      </x:c>
      <x:c r="J203" s="80" t="str">
        <x:v>White</x:v>
      </x:c>
      <x:c r="K203" s="82" t="str">
        <x:v>2 Black Racing Stripes, Black reverse "ROADSTER", Red "Nicolas Leasing"</x:v>
      </x:c>
      <x:c r="L203" s="82" t="str">
        <x:v>3SP</x:v>
      </x:c>
      <x:c r="M203" s="82" t="str">
        <x:v>Unpainted / / / Metal</x:v>
      </x:c>
      <x:c r="N203" s="82" t="str">
        <x:v>Tinted</x:v>
      </x:c>
      <x:c r="O203" s="82" t="str">
        <x:v>Red</x:v>
      </x:c>
      <x:c r="P203" s="82" t="str">
        <x:v>Malaysia</x:v>
      </x:c>
      <x:c r="Q203" s="82" t="str"/>
      <x:c r="R203" s="82" t="str">
        <x:v>Mainline</x:v>
      </x:c>
      <x:c r="S203" s="82" t="str">
        <x:v>Rara</x:v>
      </x:c>
      <x:c r="T203" s="82" t="str">
        <x:v>Lançado</x:v>
      </x:c>
      <x:c r="U203" s="82" t="str"/>
      <x:c r="V203" s="80" t="str">
        <x:v>Coleção principal (~1:64)</x:v>
      </x:c>
      <x:c r="W203" s="82" t="str">
        <x:v>https://hotwheels.fandom.com/wiki/BMW_M_Roadster</x:v>
      </x:c>
      <x:c r="X203" s="82" t="str">
        <x:v>https://hotwheels.fandom.com/wiki/BMW_M_Roadster</x:v>
      </x:c>
    </x:row>
    <x:row r="204">
      <x:c r="A204" s="80" t="str">
        <x:v>Não</x:v>
      </x:c>
      <x:c r="B204" s="80" t="str">
        <x:v>2 — Completar aos poucos</x:v>
      </x:c>
      <x:c r="C204" s="81" t="n">
        <x:v>1998</x:v>
      </x:c>
      <x:c r="D204" s="80" t="str">
        <x:v>BMW M Roadster</x:v>
      </x:c>
      <x:c r="E204" s="80" t="str">
        <x:v>BMW M Roadster</x:v>
      </x:c>
      <x:c r="F204" s="82" t="str">
        <x:v>Showroom Specials 5-Pack</x:v>
      </x:c>
      <x:c r="G204" s="80" t="str"/>
      <x:c r="H204" s="80" t="str"/>
      <x:c r="I204" s="83" t="str">
        <x:v>18833</x:v>
      </x:c>
      <x:c r="J204" s="80" t="str">
        <x:v>White</x:v>
      </x:c>
      <x:c r="K204" s="82" t="str">
        <x:v>2 Black Racing Stripes, Black reverse "ROADSTER", Red "Nicolas Leasing"</x:v>
      </x:c>
      <x:c r="L204" s="82" t="str">
        <x:v>3SP</x:v>
      </x:c>
      <x:c r="M204" s="82" t="str">
        <x:v>Unpainted / Metal</x:v>
      </x:c>
      <x:c r="N204" s="82" t="str">
        <x:v>Smoke tint</x:v>
      </x:c>
      <x:c r="O204" s="82" t="str">
        <x:v>Red</x:v>
      </x:c>
      <x:c r="P204" s="82" t="str">
        <x:v>Thailand</x:v>
      </x:c>
      <x:c r="Q204" s="82" t="str"/>
      <x:c r="R204" s="82" t="str">
        <x:v>Temática / multipack</x:v>
      </x:c>
      <x:c r="S204" s="82" t="str">
        <x:v>Rara</x:v>
      </x:c>
      <x:c r="T204" s="82" t="str">
        <x:v>Lançado</x:v>
      </x:c>
      <x:c r="U204" s="82" t="str"/>
      <x:c r="V204" s="80" t="str">
        <x:v>Coleção principal (~1:64)</x:v>
      </x:c>
      <x:c r="W204" s="82" t="str">
        <x:v>https://hotwheels.fandom.com/wiki/BMW_M_Roadster</x:v>
      </x:c>
      <x:c r="X204" s="82" t="str">
        <x:v>https://hotwheels.fandom.com/wiki/BMW_M_Roadster</x:v>
      </x:c>
    </x:row>
    <x:row r="205">
      <x:c r="A205" s="80" t="str">
        <x:v>Não</x:v>
      </x:c>
      <x:c r="B205" s="80" t="str">
        <x:v>2 — Completar aos poucos</x:v>
      </x:c>
      <x:c r="C205" s="81" t="n">
        <x:v>1998</x:v>
      </x:c>
      <x:c r="D205" s="80" t="str">
        <x:v>BMW M Roadster</x:v>
      </x:c>
      <x:c r="E205" s="80" t="str">
        <x:v>BMW M Roadster</x:v>
      </x:c>
      <x:c r="F205" s="82" t="str">
        <x:v>Showroom Specials 5-Pack</x:v>
      </x:c>
      <x:c r="G205" s="80" t="str"/>
      <x:c r="H205" s="80" t="str"/>
      <x:c r="I205" s="83" t="str">
        <x:v>18833</x:v>
      </x:c>
      <x:c r="J205" s="80" t="str">
        <x:v>White</x:v>
      </x:c>
      <x:c r="K205" s="82" t="str">
        <x:v>2 Black Racing Stripes, Black reverse "ROADSTER", Red "Nicolas Leasing"</x:v>
      </x:c>
      <x:c r="L205" s="82" t="str">
        <x:v>3SP</x:v>
      </x:c>
      <x:c r="M205" s="82" t="str">
        <x:v>Unpainted / / / Metal</x:v>
      </x:c>
      <x:c r="N205" s="82" t="str">
        <x:v>Tinted</x:v>
      </x:c>
      <x:c r="O205" s="82" t="str">
        <x:v>Red</x:v>
      </x:c>
      <x:c r="P205" s="82" t="str">
        <x:v>Thailand</x:v>
      </x:c>
      <x:c r="Q205" s="82" t="str"/>
      <x:c r="R205" s="82" t="str">
        <x:v>Temática / multipack</x:v>
      </x:c>
      <x:c r="S205" s="82" t="str">
        <x:v>Rara</x:v>
      </x:c>
      <x:c r="T205" s="82" t="str">
        <x:v>Lançado</x:v>
      </x:c>
      <x:c r="U205" s="82" t="str"/>
      <x:c r="V205" s="80" t="str">
        <x:v>Coleção principal (~1:64)</x:v>
      </x:c>
      <x:c r="W205" s="82" t="str">
        <x:v>https://hotwheels.fandom.com/wiki/BMW_M_Roadster</x:v>
      </x:c>
      <x:c r="X205" s="82" t="str">
        <x:v>https://hotwheels.fandom.com/wiki/BMW_M_Roadster</x:v>
      </x:c>
    </x:row>
    <x:row r="206">
      <x:c r="A206" s="80" t="str">
        <x:v>Não</x:v>
      </x:c>
      <x:c r="B206" s="80" t="str">
        <x:v>2 — Completar aos poucos</x:v>
      </x:c>
      <x:c r="C206" s="81" t="n">
        <x:v>1997</x:v>
      </x:c>
      <x:c r="D206" s="80" t="str">
        <x:v>BMW 325i</x:v>
      </x:c>
      <x:c r="E206" s="80" t="str">
        <x:v>BMW 325i</x:v>
      </x:c>
      <x:c r="F206" s="82" t="str">
        <x:v>Mainline</x:v>
      </x:c>
      <x:c r="G206" s="80" t="str"/>
      <x:c r="H206" s="80" t="str">
        <x:v>603</x:v>
      </x:c>
      <x:c r="I206" s="83" t="str">
        <x:v>95509</x:v>
      </x:c>
      <x:c r="J206" s="80" t="str">
        <x:v>Yellow</x:v>
      </x:c>
      <x:c r="K206" s="82" t="str">
        <x:v>Red, black tampos on sides and hood, HW logo Black</x:v>
      </x:c>
      <x:c r="L206" s="82" t="str">
        <x:v>LW</x:v>
      </x:c>
      <x:c r="M206" s="82" t="str">
        <x:v>Grey / Metal</x:v>
      </x:c>
      <x:c r="N206" s="82" t="str">
        <x:v>Clear</x:v>
      </x:c>
      <x:c r="O206" s="82" t="str">
        <x:v>Black</x:v>
      </x:c>
      <x:c r="P206" s="82" t="str">
        <x:v>China</x:v>
      </x:c>
      <x:c r="Q206" s="82" t="str"/>
      <x:c r="R206" s="82" t="str">
        <x:v>Mainline</x:v>
      </x:c>
      <x:c r="S206" s="82" t="str">
        <x:v>Rara</x:v>
      </x:c>
      <x:c r="T206" s="82" t="str">
        <x:v>Lançado</x:v>
      </x:c>
      <x:c r="U206" s="82" t="str">
        <x:v>Doors open</x:v>
      </x:c>
      <x:c r="V206" s="80" t="str">
        <x:v>Coleção principal (~1:64)</x:v>
      </x:c>
      <x:c r="W206" s="82" t="str">
        <x:v>https://hotwheels.fandom.com/wiki/BMW_325i</x:v>
      </x:c>
      <x:c r="X206" s="82" t="str">
        <x:v>https://hotwheels.fandom.com/wiki/BMW_325i</x:v>
      </x:c>
    </x:row>
    <x:row r="207">
      <x:c r="A207" s="80" t="str">
        <x:v>Não</x:v>
      </x:c>
      <x:c r="B207" s="80" t="str">
        <x:v>2 — Completar aos poucos</x:v>
      </x:c>
      <x:c r="C207" s="81" t="n">
        <x:v>1997</x:v>
      </x:c>
      <x:c r="D207" s="80" t="str">
        <x:v>BMW 850i</x:v>
      </x:c>
      <x:c r="E207" s="80" t="str">
        <x:v>BMW 850i</x:v>
      </x:c>
      <x:c r="F207" s="82" t="str">
        <x:v>California Dreamin'</x:v>
      </x:c>
      <x:c r="G207" s="80" t="str"/>
      <x:c r="H207" s="80" t="str">
        <x:v>5pk</x:v>
      </x:c>
      <x:c r="I207" s="83" t="str">
        <x:v>17492</x:v>
      </x:c>
      <x:c r="J207" s="80" t="str">
        <x:v>Pearl Yellow</x:v>
      </x:c>
      <x:c r="K207" s="82" t="str">
        <x:v>Silver, Green &amp; Black Stripes, "Beverly Hills, CA" and "Klausner Tuning" on Sides</x:v>
      </x:c>
      <x:c r="L207" s="82" t="str">
        <x:v>Gold LW</x:v>
      </x:c>
      <x:c r="M207" s="82" t="str">
        <x:v>Black / Plastic</x:v>
      </x:c>
      <x:c r="N207" s="82" t="str">
        <x:v>Black-Tinted</x:v>
      </x:c>
      <x:c r="O207" s="82" t="str">
        <x:v>Black</x:v>
      </x:c>
      <x:c r="P207" s="82" t="str">
        <x:v>Malaysia</x:v>
      </x:c>
      <x:c r="Q207" s="82" t="str"/>
      <x:c r="R207" s="82" t="str">
        <x:v>Mainline</x:v>
      </x:c>
      <x:c r="S207" s="82" t="str">
        <x:v>Rara</x:v>
      </x:c>
      <x:c r="T207" s="82" t="str">
        <x:v>Lançado</x:v>
      </x:c>
      <x:c r="U207" s="82" t="str"/>
      <x:c r="V207" s="80" t="str">
        <x:v>Coleção principal (~1:64)</x:v>
      </x:c>
      <x:c r="W207" s="82" t="str">
        <x:v>https://hotwheels.fandom.com/wiki/BMW_850i</x:v>
      </x:c>
      <x:c r="X207" s="82" t="str">
        <x:v>https://hotwheels.fandom.com/wiki/BMW_850i</x:v>
      </x:c>
    </x:row>
    <x:row r="208">
      <x:c r="A208" s="80" t="str">
        <x:v>Não</x:v>
      </x:c>
      <x:c r="B208" s="80" t="str">
        <x:v>2 — Completar aos poucos</x:v>
      </x:c>
      <x:c r="C208" s="81" t="n">
        <x:v>1997</x:v>
      </x:c>
      <x:c r="D208" s="80" t="str">
        <x:v>BMW 850i</x:v>
      </x:c>
      <x:c r="E208" s="80" t="str">
        <x:v>BMW 850i</x:v>
      </x:c>
      <x:c r="F208" s="82" t="str">
        <x:v>California Dreamin'</x:v>
      </x:c>
      <x:c r="G208" s="80" t="str"/>
      <x:c r="H208" s="80" t="str">
        <x:v>5pk</x:v>
      </x:c>
      <x:c r="I208" s="83" t="str">
        <x:v>17492</x:v>
      </x:c>
      <x:c r="J208" s="80" t="str">
        <x:v>Pearl Yellow</x:v>
      </x:c>
      <x:c r="K208" s="82" t="str">
        <x:v>Silver, Green &amp; Black Stripes, "Beverly Hills, CA" and "Klausner Tuning" on Sides</x:v>
      </x:c>
      <x:c r="L208" s="82" t="str">
        <x:v>Gold 3SP</x:v>
      </x:c>
      <x:c r="M208" s="82" t="str">
        <x:v>Black / Plastic</x:v>
      </x:c>
      <x:c r="N208" s="82" t="str">
        <x:v>Black-Tinted</x:v>
      </x:c>
      <x:c r="O208" s="82" t="str">
        <x:v>Black</x:v>
      </x:c>
      <x:c r="P208" s="82" t="str">
        <x:v>Thailand</x:v>
      </x:c>
      <x:c r="Q208" s="82" t="str"/>
      <x:c r="R208" s="82" t="str">
        <x:v>Mainline</x:v>
      </x:c>
      <x:c r="S208" s="82" t="str">
        <x:v>Rara</x:v>
      </x:c>
      <x:c r="T208" s="82" t="str">
        <x:v>Lançado</x:v>
      </x:c>
      <x:c r="U208" s="82" t="str"/>
      <x:c r="V208" s="80" t="str">
        <x:v>Coleção principal (~1:64)</x:v>
      </x:c>
      <x:c r="W208" s="82" t="str">
        <x:v>https://hotwheels.fandom.com/wiki/BMW_850i</x:v>
      </x:c>
      <x:c r="X208" s="82" t="str">
        <x:v>https://hotwheels.fandom.com/wiki/BMW_850i</x:v>
      </x:c>
    </x:row>
    <x:row r="209">
      <x:c r="A209" s="80" t="str">
        <x:v>Não</x:v>
      </x:c>
      <x:c r="B209" s="80" t="str">
        <x:v>2 — Completar aos poucos</x:v>
      </x:c>
      <x:c r="C209" s="81" t="n">
        <x:v>1997</x:v>
      </x:c>
      <x:c r="D209" s="80" t="str">
        <x:v>BMW 850i (Corgi)</x:v>
      </x:c>
      <x:c r="E209" s="80" t="str">
        <x:v>BMW 850i</x:v>
      </x:c>
      <x:c r="F209" s="82" t="str">
        <x:v>Backpack 5-Pack</x:v>
      </x:c>
      <x:c r="G209" s="80" t="str"/>
      <x:c r="H209" s="80" t="str"/>
      <x:c r="I209" s="83" t="str"/>
      <x:c r="J209" s="80" t="str">
        <x:v>Red</x:v>
      </x:c>
      <x:c r="K209" s="82" t="str">
        <x:v>None</x:v>
      </x:c>
      <x:c r="L209" s="82" t="str">
        <x:v>5SP</x:v>
      </x:c>
      <x:c r="M209" s="82" t="str">
        <x:v>Gray / / / Plastic</x:v>
      </x:c>
      <x:c r="N209" s="82" t="str">
        <x:v>Clear</x:v>
      </x:c>
      <x:c r="O209" s="82" t="str">
        <x:v>Tan</x:v>
      </x:c>
      <x:c r="P209" s="82" t="str">
        <x:v>China</x:v>
      </x:c>
      <x:c r="Q209" s="82" t="str"/>
      <x:c r="R209" s="82" t="str">
        <x:v>Temática / multipack</x:v>
      </x:c>
      <x:c r="S209" s="82" t="str">
        <x:v>Rara</x:v>
      </x:c>
      <x:c r="T209" s="82" t="str">
        <x:v>Lançado</x:v>
      </x:c>
      <x:c r="U209" s="82" t="str">
        <x:v>Rare</x:v>
      </x:c>
      <x:c r="V209" s="80" t="str">
        <x:v>Coleção principal (~1:64)</x:v>
      </x:c>
      <x:c r="W209" s="82" t="str">
        <x:v>https://hotwheels.fandom.com/wiki/BMW_850i_(Corgi)</x:v>
      </x:c>
      <x:c r="X209" s="82" t="str">
        <x:v>https://hotwheels.fandom.com/wiki/BMW_850i_(Corgi)</x:v>
      </x:c>
    </x:row>
    <x:row r="210">
      <x:c r="A210" s="80" t="str">
        <x:v>Não</x:v>
      </x:c>
      <x:c r="B210" s="80" t="str">
        <x:v>2 — Completar aos poucos</x:v>
      </x:c>
      <x:c r="C210" s="81" t="n">
        <x:v>1997</x:v>
      </x:c>
      <x:c r="D210" s="80" t="str">
        <x:v>BMW 850i (Corgi)</x:v>
      </x:c>
      <x:c r="E210" s="80" t="str">
        <x:v>BMW 850i</x:v>
      </x:c>
      <x:c r="F210" s="82" t="str">
        <x:v>Street Racers / 1/4</x:v>
      </x:c>
      <x:c r="G210" s="80" t="str"/>
      <x:c r="H210" s="80" t="str"/>
      <x:c r="I210" s="83" t="str">
        <x:v>94360</x:v>
      </x:c>
      <x:c r="J210" s="80" t="str">
        <x:v>White</x:v>
      </x:c>
      <x:c r="K210" s="82" t="str">
        <x:v>Black Red &amp; Yellow checkers on side and hood</x:v>
      </x:c>
      <x:c r="L210" s="82" t="str">
        <x:v>LW</x:v>
      </x:c>
      <x:c r="M210" s="82" t="str">
        <x:v>Black / / / Plastic</x:v>
      </x:c>
      <x:c r="N210" s="82" t="str">
        <x:v>Clear</x:v>
      </x:c>
      <x:c r="O210" s="82" t="str">
        <x:v>Red</x:v>
      </x:c>
      <x:c r="P210" s="82" t="str">
        <x:v>China</x:v>
      </x:c>
      <x:c r="Q210" s="82" t="str"/>
      <x:c r="R210" s="82" t="str">
        <x:v>Mainline</x:v>
      </x:c>
      <x:c r="S210" s="82" t="str">
        <x:v>Rara</x:v>
      </x:c>
      <x:c r="T210" s="82" t="str">
        <x:v>Lançado</x:v>
      </x:c>
      <x:c r="U210" s="82" t="str">
        <x:v>European Only</x:v>
      </x:c>
      <x:c r="V210" s="80" t="str">
        <x:v>Coleção principal (~1:64)</x:v>
      </x:c>
      <x:c r="W210" s="82" t="str">
        <x:v>https://hotwheels.fandom.com/wiki/BMW_850i_(Corgi)</x:v>
      </x:c>
      <x:c r="X210" s="82" t="str">
        <x:v>https://hotwheels.fandom.com/wiki/BMW_850i_(Corgi)</x:v>
      </x:c>
    </x:row>
    <x:row r="211">
      <x:c r="A211" s="80" t="str">
        <x:v>Não</x:v>
      </x:c>
      <x:c r="B211" s="80" t="str">
        <x:v>2 — Completar aos poucos</x:v>
      </x:c>
      <x:c r="C211" s="81" t="n">
        <x:v>1997</x:v>
      </x:c>
      <x:c r="D211" s="80" t="str">
        <x:v>BMW M Roadster</x:v>
      </x:c>
      <x:c r="E211" s="80" t="str">
        <x:v>BMW M Roadster</x:v>
      </x:c>
      <x:c r="F211" s="82" t="str">
        <x:v>First Editions 6/12</x:v>
      </x:c>
      <x:c r="G211" s="80" t="str"/>
      <x:c r="H211" s="80" t="str">
        <x:v>518</x:v>
      </x:c>
      <x:c r="I211" s="83" t="str">
        <x:v>16671</x:v>
      </x:c>
      <x:c r="J211" s="80" t="str">
        <x:v>Silver</x:v>
      </x:c>
      <x:c r="K211" s="82" t="str">
        <x:v>Blue, Light Blue, Red Stripes</x:v>
      </x:c>
      <x:c r="L211" s="82" t="str">
        <x:v>5SP</x:v>
      </x:c>
      <x:c r="M211" s="82" t="str">
        <x:v>Unpainted / Metal</x:v>
      </x:c>
      <x:c r="N211" s="82" t="str">
        <x:v>Clear</x:v>
      </x:c>
      <x:c r="O211" s="82" t="str">
        <x:v>Red</x:v>
      </x:c>
      <x:c r="P211" s="82" t="str">
        <x:v>Malaysia</x:v>
      </x:c>
      <x:c r="Q211" s="82" t="str"/>
      <x:c r="R211" s="82" t="str">
        <x:v>Mainline</x:v>
      </x:c>
      <x:c r="S211" s="82" t="str">
        <x:v>Rara</x:v>
      </x:c>
      <x:c r="T211" s="82" t="str">
        <x:v>Lançado</x:v>
      </x:c>
      <x:c r="U211" s="82" t="str">
        <x:v>Also carded as "BMW Z3 Roadster"</x:v>
      </x:c>
      <x:c r="V211" s="80" t="str">
        <x:v>Coleção principal (~1:64)</x:v>
      </x:c>
      <x:c r="W211" s="82" t="str">
        <x:v>https://hotwheels.fandom.com/wiki/BMW_M_Roadster</x:v>
      </x:c>
      <x:c r="X211" s="82" t="str">
        <x:v>https://hotwheels.fandom.com/wiki/BMW_M_Roadster</x:v>
      </x:c>
    </x:row>
    <x:row r="212">
      <x:c r="A212" s="80" t="str">
        <x:v>Não</x:v>
      </x:c>
      <x:c r="B212" s="80" t="str">
        <x:v>2 — Completar aos poucos</x:v>
      </x:c>
      <x:c r="C212" s="81" t="n">
        <x:v>1997</x:v>
      </x:c>
      <x:c r="D212" s="80" t="str">
        <x:v>BMW M Roadster</x:v>
      </x:c>
      <x:c r="E212" s="80" t="str">
        <x:v>BMW M Roadster</x:v>
      </x:c>
      <x:c r="F212" s="82" t="str">
        <x:v>First Editions 6/12</x:v>
      </x:c>
      <x:c r="G212" s="80" t="str"/>
      <x:c r="H212" s="80" t="str">
        <x:v>518</x:v>
      </x:c>
      <x:c r="I212" s="83" t="str">
        <x:v>16671</x:v>
      </x:c>
      <x:c r="J212" s="80" t="str">
        <x:v>Silver</x:v>
      </x:c>
      <x:c r="K212" s="82" t="str">
        <x:v>Blue, Light Blue, Red Stripes</x:v>
      </x:c>
      <x:c r="L212" s="82" t="str">
        <x:v>3SP</x:v>
      </x:c>
      <x:c r="M212" s="82" t="str">
        <x:v>Unpainted / Metal</x:v>
      </x:c>
      <x:c r="N212" s="82" t="str">
        <x:v>Clear</x:v>
      </x:c>
      <x:c r="O212" s="82" t="str">
        <x:v>Red</x:v>
      </x:c>
      <x:c r="P212" s="82" t="str">
        <x:v>Malaysia</x:v>
      </x:c>
      <x:c r="Q212" s="82" t="str"/>
      <x:c r="R212" s="82" t="str">
        <x:v>Mainline</x:v>
      </x:c>
      <x:c r="S212" s="82" t="str">
        <x:v>Rara</x:v>
      </x:c>
      <x:c r="T212" s="82" t="str">
        <x:v>Lançado</x:v>
      </x:c>
      <x:c r="U212" s="82" t="str">
        <x:v>Also carded as "BMW Z3 Roadster"</x:v>
      </x:c>
      <x:c r="V212" s="80" t="str">
        <x:v>Coleção principal (~1:64)</x:v>
      </x:c>
      <x:c r="W212" s="82" t="str">
        <x:v>https://hotwheels.fandom.com/wiki/BMW_M_Roadster</x:v>
      </x:c>
      <x:c r="X212" s="82" t="str">
        <x:v>https://hotwheels.fandom.com/wiki/BMW_M_Roadster</x:v>
      </x:c>
    </x:row>
    <x:row r="213">
      <x:c r="A213" s="80" t="str">
        <x:v>Não</x:v>
      </x:c>
      <x:c r="B213" s="80" t="str">
        <x:v>2 — Completar aos poucos</x:v>
      </x:c>
      <x:c r="C213" s="81" t="n">
        <x:v>1997</x:v>
      </x:c>
      <x:c r="D213" s="80" t="str">
        <x:v>BMW M3 (Corgi)</x:v>
      </x:c>
      <x:c r="E213" s="80" t="str">
        <x:v>BMW M3</x:v>
      </x:c>
      <x:c r="F213" s="82" t="str">
        <x:v>Racing / 2/4</x:v>
      </x:c>
      <x:c r="G213" s="80" t="str"/>
      <x:c r="H213" s="80" t="str"/>
      <x:c r="I213" s="83" t="str">
        <x:v>95517</x:v>
      </x:c>
      <x:c r="J213" s="80" t="str">
        <x:v>White</x:v>
      </x:c>
      <x:c r="K213" s="82" t="str">
        <x:v>Blue &amp; Red Stripes and '3'</x:v>
      </x:c>
      <x:c r="L213" s="82" t="str">
        <x:v>LW</x:v>
      </x:c>
      <x:c r="M213" s="82" t="str">
        <x:v>Black / / / Plastic</x:v>
      </x:c>
      <x:c r="N213" s="82" t="str">
        <x:v>Clear</x:v>
      </x:c>
      <x:c r="O213" s="82" t="str">
        <x:v>Black</x:v>
      </x:c>
      <x:c r="P213" s="82" t="str">
        <x:v>China</x:v>
      </x:c>
      <x:c r="Q213" s="82" t="str"/>
      <x:c r="R213" s="82" t="str">
        <x:v>Outra linha</x:v>
      </x:c>
      <x:c r="S213" s="82" t="str">
        <x:v>Rara</x:v>
      </x:c>
      <x:c r="T213" s="82" t="str">
        <x:v>Lançado</x:v>
      </x:c>
      <x:c r="U213" s="82" t="str"/>
      <x:c r="V213" s="80" t="str">
        <x:v>Coleção principal (~1:64)</x:v>
      </x:c>
      <x:c r="W213" s="82" t="str">
        <x:v>https://hotwheels.fandom.com/wiki/BMW_M3_(Corgi)</x:v>
      </x:c>
      <x:c r="X213" s="82" t="str">
        <x:v>https://hotwheels.fandom.com/wiki/BMW_M3_(Corgi)</x:v>
      </x:c>
    </x:row>
    <x:row r="214">
      <x:c r="A214" s="80" t="str">
        <x:v>Não</x:v>
      </x:c>
      <x:c r="B214" s="80" t="str">
        <x:v>2 — Completar aos poucos</x:v>
      </x:c>
      <x:c r="C214" s="81" t="n">
        <x:v>1996</x:v>
      </x:c>
      <x:c r="D214" s="80" t="str">
        <x:v>BMW 850i (Corgi)</x:v>
      </x:c>
      <x:c r="E214" s="80" t="str">
        <x:v>BMW 850i</x:v>
      </x:c>
      <x:c r="F214" s="82" t="str">
        <x:v>FAO Schwarz Gold Series III</x:v>
      </x:c>
      <x:c r="G214" s="80" t="str"/>
      <x:c r="H214" s="80" t="str"/>
      <x:c r="I214" s="83" t="str">
        <x:v>16020</x:v>
      </x:c>
      <x:c r="J214" s="80" t="str">
        <x:v>Black</x:v>
      </x:c>
      <x:c r="K214" s="82" t="str">
        <x:v>None</x:v>
      </x:c>
      <x:c r="L214" s="82" t="str">
        <x:v>Gold 5SP</x:v>
      </x:c>
      <x:c r="M214" s="82" t="str">
        <x:v>Gray / / / Plastic</x:v>
      </x:c>
      <x:c r="N214" s="82" t="str">
        <x:v>Clear</x:v>
      </x:c>
      <x:c r="O214" s="82" t="str">
        <x:v>Tan</x:v>
      </x:c>
      <x:c r="P214" s="82" t="str">
        <x:v>China</x:v>
      </x:c>
      <x:c r="Q214" s="82" t="str"/>
      <x:c r="R214" s="82" t="str">
        <x:v>Outra linha</x:v>
      </x:c>
      <x:c r="S214" s="82" t="str">
        <x:v>Rara</x:v>
      </x:c>
      <x:c r="T214" s="82" t="str">
        <x:v>Lançado</x:v>
      </x:c>
      <x:c r="U214" s="82" t="str"/>
      <x:c r="V214" s="80" t="str">
        <x:v>Coleção principal (~1:64)</x:v>
      </x:c>
      <x:c r="W214" s="82" t="str">
        <x:v>https://hotwheels.fandom.com/wiki/BMW_850i_(Corgi)</x:v>
      </x:c>
      <x:c r="X214" s="82" t="str">
        <x:v>https://hotwheels.fandom.com/wiki/BMW_850i_(Corgi)</x:v>
      </x:c>
    </x:row>
    <x:row r="215">
      <x:c r="A215" s="80" t="str">
        <x:v>Não</x:v>
      </x:c>
      <x:c r="B215" s="80" t="str">
        <x:v>2 — Completar aos poucos</x:v>
      </x:c>
      <x:c r="C215" s="81" t="n">
        <x:v>1996</x:v>
      </x:c>
      <x:c r="D215" s="80" t="str">
        <x:v>BMW 850i (Corgi)</x:v>
      </x:c>
      <x:c r="E215" s="80" t="str">
        <x:v>BMW 850i</x:v>
      </x:c>
      <x:c r="F215" s="82" t="str">
        <x:v>Mainline</x:v>
      </x:c>
      <x:c r="G215" s="80" t="str"/>
      <x:c r="H215" s="80" t="str">
        <x:v>498</x:v>
      </x:c>
      <x:c r="I215" s="83" t="str">
        <x:v>16305</x:v>
      </x:c>
      <x:c r="J215" s="80" t="str">
        <x:v>Metalflake Silver</x:v>
      </x:c>
      <x:c r="K215" s="82" t="str">
        <x:v>Detail tampos, Yellow HW logo on rear window</x:v>
      </x:c>
      <x:c r="L215" s="82" t="str">
        <x:v>5SP</x:v>
      </x:c>
      <x:c r="M215" s="82" t="str">
        <x:v>Black / / / Plastic</x:v>
      </x:c>
      <x:c r="N215" s="82" t="str">
        <x:v>Clear</x:v>
      </x:c>
      <x:c r="O215" s="82" t="str">
        <x:v>Red</x:v>
      </x:c>
      <x:c r="P215" s="82" t="str">
        <x:v>China</x:v>
      </x:c>
      <x:c r="Q215" s="82" t="str"/>
      <x:c r="R215" s="82" t="str">
        <x:v>Mainline</x:v>
      </x:c>
      <x:c r="S215" s="82" t="str">
        <x:v>Rara</x:v>
      </x:c>
      <x:c r="T215" s="82" t="str">
        <x:v>Lançado</x:v>
      </x:c>
      <x:c r="U215" s="82" t="str"/>
      <x:c r="V215" s="80" t="str">
        <x:v>Coleção principal (~1:64)</x:v>
      </x:c>
      <x:c r="W215" s="82" t="str">
        <x:v>https://hotwheels.fandom.com/wiki/BMW_850i_(Corgi)</x:v>
      </x:c>
      <x:c r="X215" s="82" t="str">
        <x:v>https://hotwheels.fandom.com/wiki/BMW_850i_(Corgi)</x:v>
      </x:c>
    </x:row>
    <x:row r="216">
      <x:c r="A216" s="80" t="str">
        <x:v>Não</x:v>
      </x:c>
      <x:c r="B216" s="80" t="str">
        <x:v>2 — Completar aos poucos</x:v>
      </x:c>
      <x:c r="C216" s="81" t="n">
        <x:v>1996</x:v>
      </x:c>
      <x:c r="D216" s="80" t="str">
        <x:v>BMW 850i (Corgi)</x:v>
      </x:c>
      <x:c r="E216" s="80" t="str">
        <x:v>BMW 850i</x:v>
      </x:c>
      <x:c r="F216" s="82" t="str">
        <x:v>Mainline</x:v>
      </x:c>
      <x:c r="G216" s="80" t="str"/>
      <x:c r="H216" s="80" t="str">
        <x:v>498</x:v>
      </x:c>
      <x:c r="I216" s="83" t="str">
        <x:v>16305</x:v>
      </x:c>
      <x:c r="J216" s="80" t="str">
        <x:v>Metalflake Silver</x:v>
      </x:c>
      <x:c r="K216" s="82" t="str">
        <x:v>Detail tampos, Yellow HW logo on rear window</x:v>
      </x:c>
      <x:c r="L216" s="82" t="str">
        <x:v>LW</x:v>
      </x:c>
      <x:c r="M216" s="82" t="str">
        <x:v>Black / / / Plastic</x:v>
      </x:c>
      <x:c r="N216" s="82" t="str">
        <x:v>Clear</x:v>
      </x:c>
      <x:c r="O216" s="82" t="str">
        <x:v>Red</x:v>
      </x:c>
      <x:c r="P216" s="82" t="str">
        <x:v>China</x:v>
      </x:c>
      <x:c r="Q216" s="82" t="str"/>
      <x:c r="R216" s="82" t="str">
        <x:v>Mainline</x:v>
      </x:c>
      <x:c r="S216" s="82" t="str">
        <x:v>Rara</x:v>
      </x:c>
      <x:c r="T216" s="82" t="str">
        <x:v>Lançado</x:v>
      </x:c>
      <x:c r="U216" s="82" t="str"/>
      <x:c r="V216" s="80" t="str">
        <x:v>Coleção principal (~1:64)</x:v>
      </x:c>
      <x:c r="W216" s="82" t="str">
        <x:v>https://hotwheels.fandom.com/wiki/BMW_850i_(Corgi)</x:v>
      </x:c>
      <x:c r="X216" s="82" t="str">
        <x:v>https://hotwheels.fandom.com/wiki/BMW_850i_(Corgi)</x:v>
      </x:c>
    </x:row>
    <x:row r="217">
      <x:c r="A217" s="80" t="str">
        <x:v>Não</x:v>
      </x:c>
      <x:c r="B217" s="80" t="str">
        <x:v>2 — Completar aos poucos</x:v>
      </x:c>
      <x:c r="C217" s="81" t="n">
        <x:v>1996</x:v>
      </x:c>
      <x:c r="D217" s="80" t="str">
        <x:v>BMW M1</x:v>
      </x:c>
      <x:c r="E217" s="80" t="str">
        <x:v>BMW M1</x:v>
      </x:c>
      <x:c r="F217" s="82" t="str">
        <x:v>Mainline</x:v>
      </x:c>
      <x:c r="G217" s="80" t="str"/>
      <x:c r="H217" s="80" t="str">
        <x:v>473</x:v>
      </x:c>
      <x:c r="I217" s="83" t="str">
        <x:v>15963</x:v>
      </x:c>
      <x:c r="J217" s="80" t="str">
        <x:v>Metalflake Aqua</x:v>
      </x:c>
      <x:c r="K217" s="82" t="str">
        <x:v>Highlighted grill &amp; taillights</x:v>
      </x:c>
      <x:c r="L217" s="82" t="str">
        <x:v>5SP</x:v>
      </x:c>
      <x:c r="M217" s="82" t="str">
        <x:v>Aqua / Metal</x:v>
      </x:c>
      <x:c r="N217" s="82" t="str">
        <x:v>Smoke tint</x:v>
      </x:c>
      <x:c r="O217" s="82" t="str">
        <x:v>Gray</x:v>
      </x:c>
      <x:c r="P217" s="82" t="str">
        <x:v>China</x:v>
      </x:c>
      <x:c r="Q217" s="82" t="str"/>
      <x:c r="R217" s="82" t="str">
        <x:v>Mainline</x:v>
      </x:c>
      <x:c r="S217" s="82" t="str">
        <x:v>Rara</x:v>
      </x:c>
      <x:c r="T217" s="82" t="str">
        <x:v>Lançado</x:v>
      </x:c>
      <x:c r="U217" s="82" t="str">
        <x:v>Named Street Beast</x:v>
      </x:c>
      <x:c r="V217" s="80" t="str">
        <x:v>Coleção principal (~1:64)</x:v>
      </x:c>
      <x:c r="W217" s="82" t="str">
        <x:v>https://hotwheels.fandom.com/wiki/BMW_M1</x:v>
      </x:c>
      <x:c r="X217" s="82" t="str">
        <x:v>https://hotwheels.fandom.com/wiki/BMW_M1</x:v>
      </x:c>
    </x:row>
    <x:row r="218">
      <x:c r="A218" s="80" t="str">
        <x:v>Não</x:v>
      </x:c>
      <x:c r="B218" s="80" t="str">
        <x:v>2 — Completar aos poucos</x:v>
      </x:c>
      <x:c r="C218" s="81" t="n">
        <x:v>1996</x:v>
      </x:c>
      <x:c r="D218" s="80" t="str">
        <x:v>BMW M1</x:v>
      </x:c>
      <x:c r="E218" s="80" t="str">
        <x:v>BMW M1</x:v>
      </x:c>
      <x:c r="F218" s="82" t="str">
        <x:v>Mainline</x:v>
      </x:c>
      <x:c r="G218" s="80" t="str"/>
      <x:c r="H218" s="80" t="str">
        <x:v>473</x:v>
      </x:c>
      <x:c r="I218" s="83" t="str">
        <x:v>15963</x:v>
      </x:c>
      <x:c r="J218" s="80" t="str">
        <x:v>Metalflake Silver &amp; Metalflake Dark Grey</x:v>
      </x:c>
      <x:c r="K218" s="82" t="str">
        <x:v>Red HW logo on windshield</x:v>
      </x:c>
      <x:c r="L218" s="82" t="str">
        <x:v>5SP</x:v>
      </x:c>
      <x:c r="M218" s="82" t="str">
        <x:v>Metalflake Dark Grey / Metal</x:v>
      </x:c>
      <x:c r="N218" s="82" t="str">
        <x:v>Clear</x:v>
      </x:c>
      <x:c r="O218" s="82" t="str">
        <x:v>Black</x:v>
      </x:c>
      <x:c r="P218" s="82" t="str">
        <x:v>China</x:v>
      </x:c>
      <x:c r="Q218" s="82" t="str"/>
      <x:c r="R218" s="82" t="str">
        <x:v>Mainline</x:v>
      </x:c>
      <x:c r="S218" s="82" t="str">
        <x:v>Rara</x:v>
      </x:c>
      <x:c r="T218" s="82" t="str">
        <x:v>Lançado</x:v>
      </x:c>
      <x:c r="U218" s="82" t="str">
        <x:v>Card can be named BMW M1 or Street Beast</x:v>
      </x:c>
      <x:c r="V218" s="80" t="str">
        <x:v>Coleção principal (~1:64)</x:v>
      </x:c>
      <x:c r="W218" s="82" t="str">
        <x:v>https://hotwheels.fandom.com/wiki/BMW_M1</x:v>
      </x:c>
      <x:c r="X218" s="82" t="str">
        <x:v>https://hotwheels.fandom.com/wiki/BMW_M1</x:v>
      </x:c>
    </x:row>
    <x:row r="219">
      <x:c r="A219" s="80" t="str">
        <x:v>Não</x:v>
      </x:c>
      <x:c r="B219" s="80" t="str">
        <x:v>2 — Completar aos poucos</x:v>
      </x:c>
      <x:c r="C219" s="81" t="n">
        <x:v>1996</x:v>
      </x:c>
      <x:c r="D219" s="80" t="str">
        <x:v>BMW M1</x:v>
      </x:c>
      <x:c r="E219" s="80" t="str">
        <x:v>BMW M1</x:v>
      </x:c>
      <x:c r="F219" s="82" t="str">
        <x:v>Mainline</x:v>
      </x:c>
      <x:c r="G219" s="80" t="str"/>
      <x:c r="H219" s="80" t="str">
        <x:v>473</x:v>
      </x:c>
      <x:c r="I219" s="83" t="str">
        <x:v>15963</x:v>
      </x:c>
      <x:c r="J219" s="80" t="str">
        <x:v>Metallic Aqua</x:v>
      </x:c>
      <x:c r="K219" s="82" t="str">
        <x:v>Highlighted grill &amp; taillights</x:v>
      </x:c>
      <x:c r="L219" s="82" t="str">
        <x:v>5SP</x:v>
      </x:c>
      <x:c r="M219" s="82" t="str">
        <x:v>Aqua / / / Metal</x:v>
      </x:c>
      <x:c r="N219" s="82" t="str">
        <x:v>Black tint</x:v>
      </x:c>
      <x:c r="O219" s="82" t="str">
        <x:v>Gray</x:v>
      </x:c>
      <x:c r="P219" s="82" t="str">
        <x:v>China</x:v>
      </x:c>
      <x:c r="Q219" s="82" t="str"/>
      <x:c r="R219" s="82" t="str">
        <x:v>Mainline</x:v>
      </x:c>
      <x:c r="S219" s="82" t="str">
        <x:v>Rara</x:v>
      </x:c>
      <x:c r="T219" s="82" t="str">
        <x:v>Lançado</x:v>
      </x:c>
      <x:c r="U219" s="82" t="str">
        <x:v>Named Street Beast</x:v>
      </x:c>
      <x:c r="V219" s="80" t="str">
        <x:v>Coleção principal (~1:64)</x:v>
      </x:c>
      <x:c r="W219" s="82" t="str">
        <x:v>https://hotwheels.fandom.com/wiki/BMW_M1</x:v>
      </x:c>
      <x:c r="X219" s="82" t="str">
        <x:v>https://hotwheels.fandom.com/wiki/BMW_M1</x:v>
      </x:c>
    </x:row>
    <x:row r="220">
      <x:c r="A220" s="80" t="str">
        <x:v>Não</x:v>
      </x:c>
      <x:c r="B220" s="80" t="str">
        <x:v>2 — Completar aos poucos</x:v>
      </x:c>
      <x:c r="C220" s="81" t="n">
        <x:v>1996</x:v>
      </x:c>
      <x:c r="D220" s="80" t="str">
        <x:v>BMW M3 (Corgi)</x:v>
      </x:c>
      <x:c r="E220" s="80" t="str">
        <x:v>BMW M3</x:v>
      </x:c>
      <x:c r="F220" s="82" t="str">
        <x:v>FAO Schwarz Gold Series III</x:v>
      </x:c>
      <x:c r="G220" s="80" t="str"/>
      <x:c r="H220" s="80" t="str"/>
      <x:c r="I220" s="83" t="str">
        <x:v>16020</x:v>
      </x:c>
      <x:c r="J220" s="80" t="str">
        <x:v>Black</x:v>
      </x:c>
      <x:c r="K220" s="82" t="str">
        <x:v>Detailed lights, Grill, Rear Tailights &amp; Gold HW logo in window</x:v>
      </x:c>
      <x:c r="L220" s="82" t="str">
        <x:v>Gold 5SP</x:v>
      </x:c>
      <x:c r="M220" s="82" t="str">
        <x:v>Black / / / Plastic</x:v>
      </x:c>
      <x:c r="N220" s="82" t="str">
        <x:v>Clear</x:v>
      </x:c>
      <x:c r="O220" s="82" t="str">
        <x:v>Beige</x:v>
      </x:c>
      <x:c r="P220" s="82" t="str">
        <x:v>China</x:v>
      </x:c>
      <x:c r="Q220" s="82" t="str"/>
      <x:c r="R220" s="82" t="str">
        <x:v>Outra linha</x:v>
      </x:c>
      <x:c r="S220" s="82" t="str">
        <x:v>Rara</x:v>
      </x:c>
      <x:c r="T220" s="82" t="str">
        <x:v>Lançado</x:v>
      </x:c>
      <x:c r="U220" s="82" t="str"/>
      <x:c r="V220" s="80" t="str">
        <x:v>Coleção principal (~1:64)</x:v>
      </x:c>
      <x:c r="W220" s="82" t="str">
        <x:v>https://hotwheels.fandom.com/wiki/BMW_M3_(Corgi)</x:v>
      </x:c>
      <x:c r="X220" s="82" t="str">
        <x:v>https://hotwheels.fandom.com/wiki/BMW_M3_(Corgi)</x:v>
      </x:c>
    </x:row>
    <x:row r="221">
      <x:c r="A221" s="80" t="str">
        <x:v>Não</x:v>
      </x:c>
      <x:c r="B221" s="80" t="str">
        <x:v>2 — Completar aos poucos</x:v>
      </x:c>
      <x:c r="C221" s="81" t="n">
        <x:v>1995</x:v>
      </x:c>
      <x:c r="D221" s="80" t="str">
        <x:v>BMW 323</x:v>
      </x:c>
      <x:c r="E221" s="80" t="str">
        <x:v>BMW 323</x:v>
      </x:c>
      <x:c r="F221" s="82" t="str">
        <x:v>3 Level Parking Garage</x:v>
      </x:c>
      <x:c r="G221" s="80" t="str"/>
      <x:c r="H221" s="80" t="str"/>
      <x:c r="I221" s="83" t="str">
        <x:v>2592</x:v>
      </x:c>
      <x:c r="J221" s="80" t="str">
        <x:v>Blue</x:v>
      </x:c>
      <x:c r="K221" s="82" t="str">
        <x:v>Red Stripe</x:v>
      </x:c>
      <x:c r="L221" s="82" t="str">
        <x:v>BW</x:v>
      </x:c>
      <x:c r="M221" s="82" t="str">
        <x:v>Black / Plastic</x:v>
      </x:c>
      <x:c r="N221" s="82" t="str">
        <x:v>Clear</x:v>
      </x:c>
      <x:c r="O221" s="82" t="str">
        <x:v>Tan</x:v>
      </x:c>
      <x:c r="P221" s="82" t="str"/>
      <x:c r="Q221" s="82" t="str"/>
      <x:c r="R221" s="82" t="str">
        <x:v>Outra linha</x:v>
      </x:c>
      <x:c r="S221" s="82" t="str">
        <x:v>Rara</x:v>
      </x:c>
      <x:c r="T221" s="82" t="str">
        <x:v>Lançado</x:v>
      </x:c>
      <x:c r="U221" s="82" t="str"/>
      <x:c r="V221" s="80" t="str">
        <x:v>Coleção principal (~1:64)</x:v>
      </x:c>
      <x:c r="W221" s="82" t="str">
        <x:v>https://hotwheels.fandom.com/wiki/BMW_323</x:v>
      </x:c>
      <x:c r="X221" s="82" t="str">
        <x:v>https://hotwheels.fandom.com/wiki/BMW_323</x:v>
      </x:c>
    </x:row>
    <x:row r="222">
      <x:c r="A222" s="80" t="str">
        <x:v>Não</x:v>
      </x:c>
      <x:c r="B222" s="80" t="str">
        <x:v>2 — Completar aos poucos</x:v>
      </x:c>
      <x:c r="C222" s="81" t="n">
        <x:v>1995</x:v>
      </x:c>
      <x:c r="D222" s="80" t="str">
        <x:v>BMW 850i</x:v>
      </x:c>
      <x:c r="E222" s="80" t="str">
        <x:v>BMW 850i</x:v>
      </x:c>
      <x:c r="F222" s="82" t="str">
        <x:v>Gold Medal Speed</x:v>
      </x:c>
      <x:c r="G222" s="80" t="str"/>
      <x:c r="H222" s="80" t="str">
        <x:v>255</x:v>
      </x:c>
      <x:c r="I222" s="83" t="str">
        <x:v>13581</x:v>
      </x:c>
      <x:c r="J222" s="80" t="str">
        <x:v>Metallic Dark Blue</x:v>
      </x:c>
      <x:c r="K222" s="82" t="str">
        <x:v>Black HW Logo on Rear Window</x:v>
      </x:c>
      <x:c r="L222" s="82" t="str">
        <x:v>Gold 3SP</x:v>
      </x:c>
      <x:c r="M222" s="82" t="str">
        <x:v>Black / Plastic</x:v>
      </x:c>
      <x:c r="N222" s="82" t="str">
        <x:v>Clear</x:v>
      </x:c>
      <x:c r="O222" s="82" t="str">
        <x:v>Red</x:v>
      </x:c>
      <x:c r="P222" s="82" t="str">
        <x:v>Malaysia</x:v>
      </x:c>
      <x:c r="Q222" s="82" t="str"/>
      <x:c r="R222" s="82" t="str">
        <x:v>Mainline</x:v>
      </x:c>
      <x:c r="S222" s="82" t="str">
        <x:v>Rara</x:v>
      </x:c>
      <x:c r="T222" s="82" t="str">
        <x:v>Lançado</x:v>
      </x:c>
      <x:c r="U222" s="82" t="str"/>
      <x:c r="V222" s="80" t="str">
        <x:v>Coleção principal (~1:64)</x:v>
      </x:c>
      <x:c r="W222" s="82" t="str">
        <x:v>https://hotwheels.fandom.com/wiki/BMW_850i</x:v>
      </x:c>
      <x:c r="X222" s="82" t="str">
        <x:v>https://hotwheels.fandom.com/wiki/BMW_850i</x:v>
      </x:c>
    </x:row>
    <x:row r="223">
      <x:c r="A223" s="80" t="str">
        <x:v>Não</x:v>
      </x:c>
      <x:c r="B223" s="80" t="str">
        <x:v>2 — Completar aos poucos</x:v>
      </x:c>
      <x:c r="C223" s="81" t="n">
        <x:v>1995</x:v>
      </x:c>
      <x:c r="D223" s="80" t="str">
        <x:v>BMW 850i</x:v>
      </x:c>
      <x:c r="E223" s="80" t="str">
        <x:v>BMW 850i</x:v>
      </x:c>
      <x:c r="F223" s="82" t="str">
        <x:v>Gold Medal Speed</x:v>
      </x:c>
      <x:c r="G223" s="80" t="str"/>
      <x:c r="H223" s="80" t="str">
        <x:v>255</x:v>
      </x:c>
      <x:c r="I223" s="83" t="str">
        <x:v>13581</x:v>
      </x:c>
      <x:c r="J223" s="80" t="str">
        <x:v>Metallic Dark Blue</x:v>
      </x:c>
      <x:c r="K223" s="82" t="str">
        <x:v>Black HW Logo on Rear Window</x:v>
      </x:c>
      <x:c r="L223" s="82" t="str">
        <x:v>Gold LW</x:v>
      </x:c>
      <x:c r="M223" s="82" t="str">
        <x:v>Black / Plastic</x:v>
      </x:c>
      <x:c r="N223" s="82" t="str">
        <x:v>Clear</x:v>
      </x:c>
      <x:c r="O223" s="82" t="str">
        <x:v>Red</x:v>
      </x:c>
      <x:c r="P223" s="82" t="str">
        <x:v>Malaysia</x:v>
      </x:c>
      <x:c r="Q223" s="82" t="str"/>
      <x:c r="R223" s="82" t="str">
        <x:v>Mainline</x:v>
      </x:c>
      <x:c r="S223" s="82" t="str">
        <x:v>Rara</x:v>
      </x:c>
      <x:c r="T223" s="82" t="str">
        <x:v>Lançado</x:v>
      </x:c>
      <x:c r="U223" s="82" t="str"/>
      <x:c r="V223" s="80" t="str">
        <x:v>Coleção principal (~1:64)</x:v>
      </x:c>
      <x:c r="W223" s="82" t="str">
        <x:v>https://hotwheels.fandom.com/wiki/BMW_850i</x:v>
      </x:c>
      <x:c r="X223" s="82" t="str">
        <x:v>https://hotwheels.fandom.com/wiki/BMW_850i</x:v>
      </x:c>
    </x:row>
    <x:row r="224">
      <x:c r="A224" s="80" t="str">
        <x:v>Não</x:v>
      </x:c>
      <x:c r="B224" s="80" t="str">
        <x:v>2 — Completar aos poucos</x:v>
      </x:c>
      <x:c r="C224" s="81" t="n">
        <x:v>1995</x:v>
      </x:c>
      <x:c r="D224" s="80" t="str">
        <x:v>BMW 850i</x:v>
      </x:c>
      <x:c r="E224" s="80" t="str">
        <x:v>BMW 850i</x:v>
      </x:c>
      <x:c r="F224" s="82" t="str">
        <x:v>Mainline</x:v>
      </x:c>
      <x:c r="G224" s="80" t="str"/>
      <x:c r="H224" s="80" t="str">
        <x:v>255</x:v>
      </x:c>
      <x:c r="I224" s="83" t="str">
        <x:v>13581</x:v>
      </x:c>
      <x:c r="J224" s="80" t="str">
        <x:v>Metallic Dark Blue</x:v>
      </x:c>
      <x:c r="K224" s="82" t="str">
        <x:v>Black HW Logo on Rear Window</x:v>
      </x:c>
      <x:c r="L224" s="82" t="str">
        <x:v>5SP</x:v>
      </x:c>
      <x:c r="M224" s="82" t="str">
        <x:v>Black / Plastic</x:v>
      </x:c>
      <x:c r="N224" s="82" t="str">
        <x:v>Clear</x:v>
      </x:c>
      <x:c r="O224" s="82" t="str">
        <x:v>Red</x:v>
      </x:c>
      <x:c r="P224" s="82" t="str">
        <x:v>Malaysia</x:v>
      </x:c>
      <x:c r="Q224" s="82" t="str"/>
      <x:c r="R224" s="82" t="str">
        <x:v>Mainline</x:v>
      </x:c>
      <x:c r="S224" s="82" t="str">
        <x:v>Rara</x:v>
      </x:c>
      <x:c r="T224" s="82" t="str">
        <x:v>Lançado</x:v>
      </x:c>
      <x:c r="U224" s="82" t="str"/>
      <x:c r="V224" s="80" t="str">
        <x:v>Coleção principal (~1:64)</x:v>
      </x:c>
      <x:c r="W224" s="82" t="str">
        <x:v>https://hotwheels.fandom.com/wiki/BMW_850i</x:v>
      </x:c>
      <x:c r="X224" s="82" t="str">
        <x:v>https://hotwheels.fandom.com/wiki/BMW_850i</x:v>
      </x:c>
    </x:row>
    <x:row r="225">
      <x:c r="A225" s="80" t="str">
        <x:v>Não</x:v>
      </x:c>
      <x:c r="B225" s="80" t="str">
        <x:v>2 — Completar aos poucos</x:v>
      </x:c>
      <x:c r="C225" s="81" t="n">
        <x:v>1994</x:v>
      </x:c>
      <x:c r="D225" s="80" t="str">
        <x:v>BMW 850i</x:v>
      </x:c>
      <x:c r="E225" s="80" t="str">
        <x:v>BMW 850i</x:v>
      </x:c>
      <x:c r="F225" s="82" t="str">
        <x:v>Gold Medal Speed</x:v>
      </x:c>
      <x:c r="G225" s="80" t="str"/>
      <x:c r="H225" s="80" t="str">
        <x:v>255</x:v>
      </x:c>
      <x:c r="I225" s="83" t="str">
        <x:v>13581</x:v>
      </x:c>
      <x:c r="J225" s="80" t="str">
        <x:v>Metallic Dark Blue</x:v>
      </x:c>
      <x:c r="K225" s="82" t="str">
        <x:v>Red HW Logo on Rear Window</x:v>
      </x:c>
      <x:c r="L225" s="82" t="str">
        <x:v>Gold UH</x:v>
      </x:c>
      <x:c r="M225" s="82" t="str">
        <x:v>Black / Plastic</x:v>
      </x:c>
      <x:c r="N225" s="82" t="str">
        <x:v>Grey-Tinted</x:v>
      </x:c>
      <x:c r="O225" s="82" t="str">
        <x:v>Red</x:v>
      </x:c>
      <x:c r="P225" s="82" t="str">
        <x:v>Malaysia</x:v>
      </x:c>
      <x:c r="Q225" s="82" t="str"/>
      <x:c r="R225" s="82" t="str">
        <x:v>Mainline</x:v>
      </x:c>
      <x:c r="S225" s="82" t="str">
        <x:v>Rara</x:v>
      </x:c>
      <x:c r="T225" s="82" t="str">
        <x:v>Lançado</x:v>
      </x:c>
      <x:c r="U225" s="82" t="str"/>
      <x:c r="V225" s="80" t="str">
        <x:v>Coleção principal (~1:64)</x:v>
      </x:c>
      <x:c r="W225" s="82" t="str">
        <x:v>https://hotwheels.fandom.com/wiki/BMW_850i</x:v>
      </x:c>
      <x:c r="X225" s="82" t="str">
        <x:v>https://hotwheels.fandom.com/wiki/BMW_850i</x:v>
      </x:c>
    </x:row>
    <x:row r="226">
      <x:c r="A226" s="80" t="str">
        <x:v>Não</x:v>
      </x:c>
      <x:c r="B226" s="80" t="str">
        <x:v>2 — Completar aos poucos</x:v>
      </x:c>
      <x:c r="C226" s="81" t="n">
        <x:v>1994</x:v>
      </x:c>
      <x:c r="D226" s="80" t="str">
        <x:v>BMW 850i</x:v>
      </x:c>
      <x:c r="E226" s="80" t="str">
        <x:v>BMW 850i</x:v>
      </x:c>
      <x:c r="F226" s="82" t="str">
        <x:v>Gold Medal Speed</x:v>
      </x:c>
      <x:c r="G226" s="80" t="str"/>
      <x:c r="H226" s="80" t="str">
        <x:v>255</x:v>
      </x:c>
      <x:c r="I226" s="83" t="str">
        <x:v>13581</x:v>
      </x:c>
      <x:c r="J226" s="80" t="str">
        <x:v>Metallic Dark Blue</x:v>
      </x:c>
      <x:c r="K226" s="82" t="str">
        <x:v>Red HW Logo on Rear Window</x:v>
      </x:c>
      <x:c r="L226" s="82" t="str">
        <x:v>Gold UH</x:v>
      </x:c>
      <x:c r="M226" s="82" t="str">
        <x:v>Black / Plastic</x:v>
      </x:c>
      <x:c r="N226" s="82" t="str">
        <x:v>Clear</x:v>
      </x:c>
      <x:c r="O226" s="82" t="str">
        <x:v>Red</x:v>
      </x:c>
      <x:c r="P226" s="82" t="str">
        <x:v>Malaysia</x:v>
      </x:c>
      <x:c r="Q226" s="82" t="str"/>
      <x:c r="R226" s="82" t="str">
        <x:v>Mainline</x:v>
      </x:c>
      <x:c r="S226" s="82" t="str">
        <x:v>Rara</x:v>
      </x:c>
      <x:c r="T226" s="82" t="str">
        <x:v>Lançado</x:v>
      </x:c>
      <x:c r="U226" s="82" t="str"/>
      <x:c r="V226" s="80" t="str">
        <x:v>Coleção principal (~1:64)</x:v>
      </x:c>
      <x:c r="W226" s="82" t="str">
        <x:v>https://hotwheels.fandom.com/wiki/BMW_850i</x:v>
      </x:c>
      <x:c r="X226" s="82" t="str">
        <x:v>https://hotwheels.fandom.com/wiki/BMW_850i</x:v>
      </x:c>
    </x:row>
    <x:row r="227">
      <x:c r="A227" s="80" t="str">
        <x:v>Não</x:v>
      </x:c>
      <x:c r="B227" s="80" t="str">
        <x:v>2 — Completar aos poucos</x:v>
      </x:c>
      <x:c r="C227" s="81" t="n">
        <x:v>1994</x:v>
      </x:c>
      <x:c r="D227" s="80" t="str">
        <x:v>BMW 850i</x:v>
      </x:c>
      <x:c r="E227" s="80" t="str">
        <x:v>BMW 850i</x:v>
      </x:c>
      <x:c r="F227" s="82" t="str">
        <x:v>Mainline</x:v>
      </x:c>
      <x:c r="G227" s="80" t="str"/>
      <x:c r="H227" s="80" t="str">
        <x:v>255</x:v>
      </x:c>
      <x:c r="I227" s="83" t="str">
        <x:v>13581</x:v>
      </x:c>
      <x:c r="J227" s="80" t="str">
        <x:v>Metallic Dark Blue</x:v>
      </x:c>
      <x:c r="K227" s="82" t="str">
        <x:v>Red HW Logo on Rear Window</x:v>
      </x:c>
      <x:c r="L227" s="82" t="str">
        <x:v>UH</x:v>
      </x:c>
      <x:c r="M227" s="82" t="str">
        <x:v>Black / Plastic</x:v>
      </x:c>
      <x:c r="N227" s="82" t="str">
        <x:v>Grey-Tinted</x:v>
      </x:c>
      <x:c r="O227" s="82" t="str">
        <x:v>Red</x:v>
      </x:c>
      <x:c r="P227" s="82" t="str">
        <x:v>Malaysia</x:v>
      </x:c>
      <x:c r="Q227" s="82" t="str"/>
      <x:c r="R227" s="82" t="str">
        <x:v>Mainline</x:v>
      </x:c>
      <x:c r="S227" s="82" t="str">
        <x:v>Rara</x:v>
      </x:c>
      <x:c r="T227" s="82" t="str">
        <x:v>Lançado</x:v>
      </x:c>
      <x:c r="U227" s="82" t="str"/>
      <x:c r="V227" s="80" t="str">
        <x:v>Coleção principal (~1:64)</x:v>
      </x:c>
      <x:c r="W227" s="82" t="str">
        <x:v>https://hotwheels.fandom.com/wiki/BMW_850i</x:v>
      </x:c>
      <x:c r="X227" s="82" t="str">
        <x:v>https://hotwheels.fandom.com/wiki/BMW_850i</x:v>
      </x:c>
    </x:row>
    <x:row r="228">
      <x:c r="A228" s="80" t="str">
        <x:v>Não</x:v>
      </x:c>
      <x:c r="B228" s="80" t="str">
        <x:v>2 — Completar aos poucos</x:v>
      </x:c>
      <x:c r="C228" s="81" t="n">
        <x:v>1994</x:v>
      </x:c>
      <x:c r="D228" s="80" t="str">
        <x:v>BMW 850i (Corgi)</x:v>
      </x:c>
      <x:c r="E228" s="80" t="str">
        <x:v>BMW 850i</x:v>
      </x:c>
      <x:c r="F228" s="82" t="str">
        <x:v>Auto City</x:v>
      </x:c>
      <x:c r="G228" s="80" t="str"/>
      <x:c r="H228" s="80" t="str"/>
      <x:c r="I228" s="83" t="str">
        <x:v>93182</x:v>
      </x:c>
      <x:c r="J228" s="80" t="str">
        <x:v>White</x:v>
      </x:c>
      <x:c r="K228" s="82" t="str">
        <x:v>BMW logo on hood</x:v>
      </x:c>
      <x:c r="L228" s="82" t="str">
        <x:v>Corgi1</x:v>
      </x:c>
      <x:c r="M228" s="82" t="str">
        <x:v>Black / / / Plastic</x:v>
      </x:c>
      <x:c r="N228" s="82" t="str">
        <x:v>Clear</x:v>
      </x:c>
      <x:c r="O228" s="82" t="str">
        <x:v>Black</x:v>
      </x:c>
      <x:c r="P228" s="82" t="str">
        <x:v>China</x:v>
      </x:c>
      <x:c r="Q228" s="82" t="str"/>
      <x:c r="R228" s="82" t="str">
        <x:v>Outra linha</x:v>
      </x:c>
      <x:c r="S228" s="82" t="str">
        <x:v>Rara</x:v>
      </x:c>
      <x:c r="T228" s="82" t="str">
        <x:v>Lançado</x:v>
      </x:c>
      <x:c r="U228" s="82" t="str"/>
      <x:c r="V228" s="80" t="str">
        <x:v>Coleção principal (~1:64)</x:v>
      </x:c>
      <x:c r="W228" s="82" t="str">
        <x:v>https://hotwheels.fandom.com/wiki/BMW_850i_(Corgi)</x:v>
      </x:c>
      <x:c r="X228" s="82" t="str">
        <x:v>https://hotwheels.fandom.com/wiki/BMW_850i_(Corgi)</x:v>
      </x:c>
    </x:row>
    <x:row r="229">
      <x:c r="A229" s="80" t="str">
        <x:v>Não</x:v>
      </x:c>
      <x:c r="B229" s="80" t="str">
        <x:v>2 — Completar aos poucos</x:v>
      </x:c>
      <x:c r="C229" s="81" t="n">
        <x:v>1994</x:v>
      </x:c>
      <x:c r="D229" s="80" t="str">
        <x:v>BMW 850i (Corgi)</x:v>
      </x:c>
      <x:c r="E229" s="80" t="str">
        <x:v>BMW 850i</x:v>
      </x:c>
      <x:c r="F229" s="82" t="str">
        <x:v>Car Wash</x:v>
      </x:c>
      <x:c r="G229" s="80" t="str"/>
      <x:c r="H229" s="80" t="str"/>
      <x:c r="I229" s="83" t="str"/>
      <x:c r="J229" s="80" t="str">
        <x:v>Black</x:v>
      </x:c>
      <x:c r="K229" s="82" t="str">
        <x:v>White BMW logo</x:v>
      </x:c>
      <x:c r="L229" s="82" t="str">
        <x:v>Corgi1</x:v>
      </x:c>
      <x:c r="M229" s="82" t="str">
        <x:v>Black / / / Plastic</x:v>
      </x:c>
      <x:c r="N229" s="82" t="str">
        <x:v>Clear</x:v>
      </x:c>
      <x:c r="O229" s="82" t="str">
        <x:v>Black</x:v>
      </x:c>
      <x:c r="P229" s="82" t="str">
        <x:v>China</x:v>
      </x:c>
      <x:c r="Q229" s="82" t="str"/>
      <x:c r="R229" s="82" t="str">
        <x:v>Outra linha</x:v>
      </x:c>
      <x:c r="S229" s="82" t="str">
        <x:v>Rara</x:v>
      </x:c>
      <x:c r="T229" s="82" t="str">
        <x:v>Lançado</x:v>
      </x:c>
      <x:c r="U229" s="82" t="str"/>
      <x:c r="V229" s="80" t="str">
        <x:v>Coleção principal (~1:64)</x:v>
      </x:c>
      <x:c r="W229" s="82" t="str">
        <x:v>https://hotwheels.fandom.com/wiki/BMW_850i_(Corgi)</x:v>
      </x:c>
      <x:c r="X229" s="82" t="str">
        <x:v>https://hotwheels.fandom.com/wiki/BMW_850i_(Corgi)</x:v>
      </x:c>
    </x:row>
    <x:row r="230">
      <x:c r="A230" s="80" t="str">
        <x:v>Não</x:v>
      </x:c>
      <x:c r="B230" s="80" t="str">
        <x:v>2 — Completar aos poucos</x:v>
      </x:c>
      <x:c r="C230" s="81" t="n">
        <x:v>1994</x:v>
      </x:c>
      <x:c r="D230" s="80" t="str">
        <x:v>BMW 850i (Corgi)</x:v>
      </x:c>
      <x:c r="E230" s="80" t="str">
        <x:v>BMW 850i</x:v>
      </x:c>
      <x:c r="F230" s="82" t="str">
        <x:v>Emergency Services 7-Pack</x:v>
      </x:c>
      <x:c r="G230" s="80" t="str"/>
      <x:c r="H230" s="80" t="str"/>
      <x:c r="I230" s="83" t="str">
        <x:v>93414</x:v>
      </x:c>
      <x:c r="J230" s="80" t="str">
        <x:v>White &amp; Green</x:v>
      </x:c>
      <x:c r="K230" s="82" t="str">
        <x:v>"Polizei" on sides, hood &amp; trunk, 878 on roof</x:v>
      </x:c>
      <x:c r="L230" s="82" t="str">
        <x:v>Corgi1</x:v>
      </x:c>
      <x:c r="M230" s="82" t="str">
        <x:v>Black / / / Plastic</x:v>
      </x:c>
      <x:c r="N230" s="82" t="str">
        <x:v>Clear</x:v>
      </x:c>
      <x:c r="O230" s="82" t="str">
        <x:v>Black</x:v>
      </x:c>
      <x:c r="P230" s="82" t="str">
        <x:v>China</x:v>
      </x:c>
      <x:c r="Q230" s="82" t="str"/>
      <x:c r="R230" s="82" t="str">
        <x:v>Outra linha</x:v>
      </x:c>
      <x:c r="S230" s="82" t="str">
        <x:v>Rara</x:v>
      </x:c>
      <x:c r="T230" s="82" t="str">
        <x:v>Lançado</x:v>
      </x:c>
      <x:c r="U230" s="82" t="str">
        <x:v>Light Bar on roof</x:v>
      </x:c>
      <x:c r="V230" s="80" t="str">
        <x:v>Coleção principal (~1:64)</x:v>
      </x:c>
      <x:c r="W230" s="82" t="str">
        <x:v>https://hotwheels.fandom.com/wiki/BMW_850i_(Corgi)</x:v>
      </x:c>
      <x:c r="X230" s="82" t="str">
        <x:v>https://hotwheels.fandom.com/wiki/BMW_850i_(Corgi)</x:v>
      </x:c>
    </x:row>
    <x:row r="231">
      <x:c r="A231" s="80" t="str">
        <x:v>Não</x:v>
      </x:c>
      <x:c r="B231" s="80" t="str">
        <x:v>2 — Completar aos poucos</x:v>
      </x:c>
      <x:c r="C231" s="81" t="n">
        <x:v>1994</x:v>
      </x:c>
      <x:c r="D231" s="80" t="str">
        <x:v>BMW M3 (Corgi)</x:v>
      </x:c>
      <x:c r="E231" s="80" t="str">
        <x:v>BMW M3</x:v>
      </x:c>
      <x:c r="F231" s="82" t="str">
        <x:v>Auto-City</x:v>
      </x:c>
      <x:c r="G231" s="80" t="str"/>
      <x:c r="H231" s="80" t="str"/>
      <x:c r="I231" s="83" t="str">
        <x:v>93182</x:v>
      </x:c>
      <x:c r="J231" s="80" t="str"/>
      <x:c r="K231" s="82" t="str"/>
      <x:c r="L231" s="82" t="str"/>
      <x:c r="M231" s="82" t="str"/>
      <x:c r="N231" s="82" t="str"/>
      <x:c r="O231" s="82" t="str"/>
      <x:c r="P231" s="82" t="str"/>
      <x:c r="Q231" s="82" t="str"/>
      <x:c r="R231" s="82" t="str">
        <x:v>Outra linha</x:v>
      </x:c>
      <x:c r="S231" s="82" t="str">
        <x:v>Rara</x:v>
      </x:c>
      <x:c r="T231" s="82" t="str">
        <x:v>Lançado</x:v>
      </x:c>
      <x:c r="U231" s="82" t="str"/>
      <x:c r="V231" s="80" t="str">
        <x:v>Coleção principal (~1:64)</x:v>
      </x:c>
      <x:c r="W231" s="82" t="str">
        <x:v>https://hotwheels.fandom.com/wiki/BMW</x:v>
      </x:c>
      <x:c r="X231" s="82" t="str">
        <x:v>https://hotwheels.fandom.com/wiki/BMW_M3_(Corgi)</x:v>
      </x:c>
    </x:row>
    <x:row r="232">
      <x:c r="A232" s="80" t="str">
        <x:v>Não</x:v>
      </x:c>
      <x:c r="B232" s="80" t="str">
        <x:v>2 — Completar aos poucos</x:v>
      </x:c>
      <x:c r="C232" s="81" t="n">
        <x:v>1994</x:v>
      </x:c>
      <x:c r="D232" s="80" t="str">
        <x:v>BMW M3 (Corgi)</x:v>
      </x:c>
      <x:c r="E232" s="80" t="str">
        <x:v>BMW M3</x:v>
      </x:c>
      <x:c r="F232" s="82" t="str">
        <x:v>City 10-Pack</x:v>
      </x:c>
      <x:c r="G232" s="80" t="str"/>
      <x:c r="H232" s="80" t="str"/>
      <x:c r="I232" s="83" t="str">
        <x:v>93200</x:v>
      </x:c>
      <x:c r="J232" s="80" t="str">
        <x:v>Blue</x:v>
      </x:c>
      <x:c r="K232" s="82" t="str">
        <x:v>BMW logo</x:v>
      </x:c>
      <x:c r="L232" s="82" t="str">
        <x:v>Corgi</x:v>
      </x:c>
      <x:c r="M232" s="82" t="str">
        <x:v>Black / / / Plastic</x:v>
      </x:c>
      <x:c r="N232" s="82" t="str">
        <x:v>Clear</x:v>
      </x:c>
      <x:c r="O232" s="82" t="str">
        <x:v>Neon green</x:v>
      </x:c>
      <x:c r="P232" s="82" t="str">
        <x:v>China</x:v>
      </x:c>
      <x:c r="Q232" s="82" t="str"/>
      <x:c r="R232" s="82" t="str">
        <x:v>Outra linha</x:v>
      </x:c>
      <x:c r="S232" s="82" t="str">
        <x:v>Rara</x:v>
      </x:c>
      <x:c r="T232" s="82" t="str">
        <x:v>Lançado</x:v>
      </x:c>
      <x:c r="U232" s="82" t="str"/>
      <x:c r="V232" s="80" t="str">
        <x:v>Coleção principal (~1:64)</x:v>
      </x:c>
      <x:c r="W232" s="82" t="str">
        <x:v>https://hotwheels.fandom.com/wiki/BMW_M3_(Corgi)</x:v>
      </x:c>
      <x:c r="X232" s="82" t="str">
        <x:v>https://hotwheels.fandom.com/wiki/BMW_M3_(Corgi)</x:v>
      </x:c>
    </x:row>
    <x:row r="233">
      <x:c r="A233" s="80" t="str">
        <x:v>Não</x:v>
      </x:c>
      <x:c r="B233" s="80" t="str">
        <x:v>2 — Completar aos poucos</x:v>
      </x:c>
      <x:c r="C233" s="81" t="n">
        <x:v>1993</x:v>
      </x:c>
      <x:c r="D233" s="80" t="str">
        <x:v>BMW 323</x:v>
      </x:c>
      <x:c r="E233" s="80" t="str">
        <x:v>BMW 323</x:v>
      </x:c>
      <x:c r="F233" s="82" t="str">
        <x:v>Tattoo Machines</x:v>
      </x:c>
      <x:c r="G233" s="80" t="str"/>
      <x:c r="H233" s="80" t="str"/>
      <x:c r="I233" s="83" t="str">
        <x:v>3492</x:v>
      </x:c>
      <x:c r="J233" s="80" t="str">
        <x:v>Metalflake Pink</x:v>
      </x:c>
      <x:c r="K233" s="82" t="str">
        <x:v>Black &amp; White Skulls, Green &amp; Black Snakes</x:v>
      </x:c>
      <x:c r="L233" s="82" t="str">
        <x:v>BW</x:v>
      </x:c>
      <x:c r="M233" s="82" t="str">
        <x:v>Black / Plastic</x:v>
      </x:c>
      <x:c r="N233" s="82" t="str">
        <x:v>Clear</x:v>
      </x:c>
      <x:c r="O233" s="82" t="str">
        <x:v>Tan</x:v>
      </x:c>
      <x:c r="P233" s="82" t="str">
        <x:v>China</x:v>
      </x:c>
      <x:c r="Q233" s="82" t="str"/>
      <x:c r="R233" s="82" t="str">
        <x:v>Outra linha</x:v>
      </x:c>
      <x:c r="S233" s="82" t="str">
        <x:v>Rara</x:v>
      </x:c>
      <x:c r="T233" s="82" t="str">
        <x:v>Lançado</x:v>
      </x:c>
      <x:c r="U233" s="82" t="str">
        <x:v>Named Skull Rider</x:v>
      </x:c>
      <x:c r="V233" s="80" t="str">
        <x:v>Coleção principal (~1:64)</x:v>
      </x:c>
      <x:c r="W233" s="82" t="str">
        <x:v>https://hotwheels.fandom.com/wiki/BMW_323</x:v>
      </x:c>
      <x:c r="X233" s="82" t="str">
        <x:v>https://hotwheels.fandom.com/wiki/BMW_323</x:v>
      </x:c>
    </x:row>
    <x:row r="234">
      <x:c r="A234" s="80" t="str">
        <x:v>Não</x:v>
      </x:c>
      <x:c r="B234" s="80" t="str">
        <x:v>2 — Completar aos poucos</x:v>
      </x:c>
      <x:c r="C234" s="81" t="n">
        <x:v>1993</x:v>
      </x:c>
      <x:c r="D234" s="80" t="str">
        <x:v>BMW 850i</x:v>
      </x:c>
      <x:c r="E234" s="80" t="str">
        <x:v>BMW 850i</x:v>
      </x:c>
      <x:c r="F234" s="82" t="str">
        <x:v>Mainline</x:v>
      </x:c>
      <x:c r="G234" s="80" t="str"/>
      <x:c r="H234" s="80" t="str">
        <x:v>149</x:v>
      </x:c>
      <x:c r="I234" s="83" t="str">
        <x:v>5667</x:v>
      </x:c>
      <x:c r="J234" s="80" t="str">
        <x:v>Blue</x:v>
      </x:c>
      <x:c r="K234" s="82" t="str">
        <x:v>White Pinstripes with Pink, Blue &amp; Yellow Graphics on Sides &amp; Hood</x:v>
      </x:c>
      <x:c r="L234" s="82" t="str">
        <x:v>CHO</x:v>
      </x:c>
      <x:c r="M234" s="82" t="str">
        <x:v>Blue / Plastic</x:v>
      </x:c>
      <x:c r="N234" s="82" t="str">
        <x:v>Clear</x:v>
      </x:c>
      <x:c r="O234" s="82" t="str">
        <x:v>Tan</x:v>
      </x:c>
      <x:c r="P234" s="82" t="str">
        <x:v>Malaysia</x:v>
      </x:c>
      <x:c r="Q234" s="82" t="str"/>
      <x:c r="R234" s="82" t="str">
        <x:v>Mainline</x:v>
      </x:c>
      <x:c r="S234" s="82" t="str">
        <x:v>Rara</x:v>
      </x:c>
      <x:c r="T234" s="82" t="str">
        <x:v>Lançado</x:v>
      </x:c>
      <x:c r="U234" s="82" t="str"/>
      <x:c r="V234" s="80" t="str">
        <x:v>Coleção principal (~1:64)</x:v>
      </x:c>
      <x:c r="W234" s="82" t="str">
        <x:v>https://hotwheels.fandom.com/wiki/BMW_850i</x:v>
      </x:c>
      <x:c r="X234" s="82" t="str">
        <x:v>https://hotwheels.fandom.com/wiki/BMW_850i</x:v>
      </x:c>
    </x:row>
    <x:row r="235">
      <x:c r="A235" s="80" t="str">
        <x:v>Não</x:v>
      </x:c>
      <x:c r="B235" s="80" t="str">
        <x:v>2 — Completar aos poucos</x:v>
      </x:c>
      <x:c r="C235" s="81" t="n">
        <x:v>1993</x:v>
      </x:c>
      <x:c r="D235" s="80" t="str">
        <x:v>BMW 850i</x:v>
      </x:c>
      <x:c r="E235" s="80" t="str">
        <x:v>BMW 850i</x:v>
      </x:c>
      <x:c r="F235" s="82" t="str">
        <x:v>Mainline</x:v>
      </x:c>
      <x:c r="G235" s="80" t="str"/>
      <x:c r="H235" s="80" t="str">
        <x:v>149</x:v>
      </x:c>
      <x:c r="I235" s="83" t="str">
        <x:v>5667</x:v>
      </x:c>
      <x:c r="J235" s="80" t="str">
        <x:v>Blue</x:v>
      </x:c>
      <x:c r="K235" s="82" t="str">
        <x:v>White Pinstripes with Pink, Blue &amp; Yellow Graphics on Sides &amp; Hood</x:v>
      </x:c>
      <x:c r="L235" s="82" t="str">
        <x:v>LIW</x:v>
      </x:c>
      <x:c r="M235" s="82" t="str">
        <x:v>Blue / Plastic</x:v>
      </x:c>
      <x:c r="N235" s="82" t="str">
        <x:v>Clear</x:v>
      </x:c>
      <x:c r="O235" s="82" t="str">
        <x:v>Tan</x:v>
      </x:c>
      <x:c r="P235" s="82" t="str">
        <x:v>Malaysia</x:v>
      </x:c>
      <x:c r="Q235" s="82" t="str"/>
      <x:c r="R235" s="82" t="str">
        <x:v>Mainline</x:v>
      </x:c>
      <x:c r="S235" s="82" t="str">
        <x:v>Rara</x:v>
      </x:c>
      <x:c r="T235" s="82" t="str">
        <x:v>Lançado</x:v>
      </x:c>
      <x:c r="U235" s="82" t="str"/>
      <x:c r="V235" s="80" t="str">
        <x:v>Coleção principal (~1:64)</x:v>
      </x:c>
      <x:c r="W235" s="82" t="str">
        <x:v>https://hotwheels.fandom.com/wiki/BMW_850i</x:v>
      </x:c>
      <x:c r="X235" s="82" t="str">
        <x:v>https://hotwheels.fandom.com/wiki/BMW_850i</x:v>
      </x:c>
    </x:row>
    <x:row r="236">
      <x:c r="A236" s="80" t="str">
        <x:v>Não</x:v>
      </x:c>
      <x:c r="B236" s="80" t="str">
        <x:v>2 — Completar aos poucos</x:v>
      </x:c>
      <x:c r="C236" s="81" t="n">
        <x:v>1993</x:v>
      </x:c>
      <x:c r="D236" s="80" t="str">
        <x:v>BMW M1</x:v>
      </x:c>
      <x:c r="E236" s="80" t="str">
        <x:v>BMW M1</x:v>
      </x:c>
      <x:c r="F236" s="82" t="str">
        <x:v>Tattoo Machines</x:v>
      </x:c>
      <x:c r="G236" s="80" t="str"/>
      <x:c r="H236" s="80" t="str"/>
      <x:c r="I236" s="83" t="str">
        <x:v>3501</x:v>
      </x:c>
      <x:c r="J236" s="80" t="str">
        <x:v>Metalflake Blue-Gray</x:v>
      </x:c>
      <x:c r="K236" s="82" t="str">
        <x:v>Purple, Blue &amp; Red dogs</x:v>
      </x:c>
      <x:c r="L236" s="82" t="str">
        <x:v>BW</x:v>
      </x:c>
      <x:c r="M236" s="82" t="str">
        <x:v>Black / Metal</x:v>
      </x:c>
      <x:c r="N236" s="82" t="str">
        <x:v>Smoke tint</x:v>
      </x:c>
      <x:c r="O236" s="82" t="str">
        <x:v>Black</x:v>
      </x:c>
      <x:c r="P236" s="82" t="str">
        <x:v>China</x:v>
      </x:c>
      <x:c r="Q236" s="82" t="str"/>
      <x:c r="R236" s="82" t="str">
        <x:v>Outra linha</x:v>
      </x:c>
      <x:c r="S236" s="82" t="str">
        <x:v>Rara</x:v>
      </x:c>
      <x:c r="T236" s="82" t="str">
        <x:v>Lançado</x:v>
      </x:c>
      <x:c r="U236" s="82" t="str">
        <x:v>Named Street Dog</x:v>
      </x:c>
      <x:c r="V236" s="80" t="str">
        <x:v>Coleção principal (~1:64)</x:v>
      </x:c>
      <x:c r="W236" s="82" t="str">
        <x:v>https://hotwheels.fandom.com/wiki/BMW_M1</x:v>
      </x:c>
      <x:c r="X236" s="82" t="str">
        <x:v>https://hotwheels.fandom.com/wiki/BMW_M1</x:v>
      </x:c>
    </x:row>
    <x:row r="237">
      <x:c r="A237" s="80" t="str">
        <x:v>Não</x:v>
      </x:c>
      <x:c r="B237" s="80" t="str">
        <x:v>2 — Completar aos poucos</x:v>
      </x:c>
      <x:c r="C237" s="81" t="n">
        <x:v>1993</x:v>
      </x:c>
      <x:c r="D237" s="80" t="str">
        <x:v>BMW M1</x:v>
      </x:c>
      <x:c r="E237" s="80" t="str">
        <x:v>BMW M1</x:v>
      </x:c>
      <x:c r="F237" s="82" t="str">
        <x:v>Tattoo Machines</x:v>
      </x:c>
      <x:c r="G237" s="80" t="str"/>
      <x:c r="H237" s="80" t="str"/>
      <x:c r="I237" s="83" t="str">
        <x:v>3501</x:v>
      </x:c>
      <x:c r="J237" s="80" t="str">
        <x:v>Metallic Blue</x:v>
      </x:c>
      <x:c r="K237" s="82" t="str">
        <x:v>Purple, Blue &amp; Red dogs</x:v>
      </x:c>
      <x:c r="L237" s="82" t="str">
        <x:v>BW</x:v>
      </x:c>
      <x:c r="M237" s="82" t="str">
        <x:v>Black / / / Metal</x:v>
      </x:c>
      <x:c r="N237" s="82" t="str">
        <x:v>Grey tint</x:v>
      </x:c>
      <x:c r="O237" s="82" t="str">
        <x:v>Black</x:v>
      </x:c>
      <x:c r="P237" s="82" t="str">
        <x:v>China</x:v>
      </x:c>
      <x:c r="Q237" s="82" t="str"/>
      <x:c r="R237" s="82" t="str">
        <x:v>Outra linha</x:v>
      </x:c>
      <x:c r="S237" s="82" t="str">
        <x:v>Rara</x:v>
      </x:c>
      <x:c r="T237" s="82" t="str">
        <x:v>Lançado</x:v>
      </x:c>
      <x:c r="U237" s="82" t="str">
        <x:v>Named Street Dog</x:v>
      </x:c>
      <x:c r="V237" s="80" t="str">
        <x:v>Coleção principal (~1:64)</x:v>
      </x:c>
      <x:c r="W237" s="82" t="str">
        <x:v>https://hotwheels.fandom.com/wiki/BMW_M1</x:v>
      </x:c>
      <x:c r="X237" s="82" t="str">
        <x:v>https://hotwheels.fandom.com/wiki/BMW_M1</x:v>
      </x:c>
    </x:row>
    <x:row r="238">
      <x:c r="A238" s="80" t="str">
        <x:v>Não</x:v>
      </x:c>
      <x:c r="B238" s="80" t="str">
        <x:v>2 — Completar aos poucos</x:v>
      </x:c>
      <x:c r="C238" s="81" t="n">
        <x:v>1992</x:v>
      </x:c>
      <x:c r="D238" s="80" t="str">
        <x:v>BMW 323</x:v>
      </x:c>
      <x:c r="E238" s="80" t="str">
        <x:v>BMW 323</x:v>
      </x:c>
      <x:c r="F238" s="82" t="str">
        <x:v>1992 Hot Wheels</x:v>
      </x:c>
      <x:c r="G238" s="80" t="str"/>
      <x:c r="H238" s="80" t="str">
        <x:v>150</x:v>
      </x:c>
      <x:c r="I238" s="83" t="str">
        <x:v>9726</x:v>
      </x:c>
      <x:c r="J238" s="80" t="str">
        <x:v>Black</x:v>
      </x:c>
      <x:c r="K238" s="82" t="str">
        <x:v>Blue &amp; Red stripes with White "M3" tampo on sides</x:v>
      </x:c>
      <x:c r="L238" s="82" t="str">
        <x:v>HO</x:v>
      </x:c>
      <x:c r="M238" s="82" t="str">
        <x:v>Black / Plastic</x:v>
      </x:c>
      <x:c r="N238" s="82" t="str">
        <x:v>Clear</x:v>
      </x:c>
      <x:c r="O238" s="82" t="str">
        <x:v>Tan</x:v>
      </x:c>
      <x:c r="P238" s="82" t="str">
        <x:v>Malaysia</x:v>
      </x:c>
      <x:c r="Q238" s="82" t="str"/>
      <x:c r="R238" s="82" t="str">
        <x:v>Mainline</x:v>
      </x:c>
      <x:c r="S238" s="82" t="str">
        <x:v>Rara</x:v>
      </x:c>
      <x:c r="T238" s="82" t="str">
        <x:v>Lançado</x:v>
      </x:c>
      <x:c r="U238" s="82" t="str">
        <x:v>Chrome Plastic grille</x:v>
      </x:c>
      <x:c r="V238" s="80" t="str">
        <x:v>Coleção principal (~1:64)</x:v>
      </x:c>
      <x:c r="W238" s="82" t="str">
        <x:v>https://hotwheels.fandom.com/wiki/BMW_323</x:v>
      </x:c>
      <x:c r="X238" s="82" t="str">
        <x:v>https://hotwheels.fandom.com/wiki/BMW_323</x:v>
      </x:c>
    </x:row>
    <x:row r="239">
      <x:c r="A239" s="80" t="str">
        <x:v>Não</x:v>
      </x:c>
      <x:c r="B239" s="80" t="str">
        <x:v>2 — Completar aos poucos</x:v>
      </x:c>
      <x:c r="C239" s="81" t="n">
        <x:v>1992</x:v>
      </x:c>
      <x:c r="D239" s="80" t="str">
        <x:v>BMW 850i</x:v>
      </x:c>
      <x:c r="E239" s="80" t="str">
        <x:v>BMW 850i</x:v>
      </x:c>
      <x:c r="F239" s="82" t="str">
        <x:v>Getty Gas Station Promotional</x:v>
      </x:c>
      <x:c r="G239" s="80" t="str"/>
      <x:c r="H239" s="80" t="str"/>
      <x:c r="I239" s="83" t="str">
        <x:v>None</x:v>
      </x:c>
      <x:c r="J239" s="80" t="str">
        <x:v>Red</x:v>
      </x:c>
      <x:c r="K239" s="82" t="str">
        <x:v>Yellow &amp; White Stripes on Hood &amp; Roof, Getty Logo on Hood</x:v>
      </x:c>
      <x:c r="L239" s="82" t="str">
        <x:v>BW</x:v>
      </x:c>
      <x:c r="M239" s="82" t="str">
        <x:v>Red / Plastic</x:v>
      </x:c>
      <x:c r="N239" s="82" t="str">
        <x:v>Clear</x:v>
      </x:c>
      <x:c r="O239" s="82" t="str">
        <x:v>Black</x:v>
      </x:c>
      <x:c r="P239" s="82" t="str">
        <x:v>Malaysia</x:v>
      </x:c>
      <x:c r="Q239" s="82" t="str"/>
      <x:c r="R239" s="82" t="str">
        <x:v>Outra linha</x:v>
      </x:c>
      <x:c r="S239" s="82" t="str">
        <x:v>Rara</x:v>
      </x:c>
      <x:c r="T239" s="82" t="str">
        <x:v>Lançado</x:v>
      </x:c>
      <x:c r="U239" s="82" t="str">
        <x:v>Released Only in Baggie.</x:v>
      </x:c>
      <x:c r="V239" s="80" t="str">
        <x:v>Coleção principal (~1:64)</x:v>
      </x:c>
      <x:c r="W239" s="82" t="str">
        <x:v>https://hotwheels.fandom.com/wiki/BMW_850i</x:v>
      </x:c>
      <x:c r="X239" s="82" t="str">
        <x:v>https://hotwheels.fandom.com/wiki/BMW_850i</x:v>
      </x:c>
    </x:row>
    <x:row r="240">
      <x:c r="A240" s="80" t="str">
        <x:v>Não</x:v>
      </x:c>
      <x:c r="B240" s="80" t="str">
        <x:v>2 — Completar aos poucos</x:v>
      </x:c>
      <x:c r="C240" s="81" t="n">
        <x:v>1991</x:v>
      </x:c>
      <x:c r="D240" s="80" t="str">
        <x:v>BMW 323</x:v>
      </x:c>
      <x:c r="E240" s="80" t="str">
        <x:v>BMW 323</x:v>
      </x:c>
      <x:c r="F240" s="82" t="str">
        <x:v>1991 Hot Wheels</x:v>
      </x:c>
      <x:c r="G240" s="80" t="str"/>
      <x:c r="H240" s="80" t="str">
        <x:v>150</x:v>
      </x:c>
      <x:c r="I240" s="83" t="str">
        <x:v>9726</x:v>
      </x:c>
      <x:c r="J240" s="80" t="str">
        <x:v>Black</x:v>
      </x:c>
      <x:c r="K240" s="82" t="str">
        <x:v>Blue &amp; Red stripes with White "M3" tampo on sides</x:v>
      </x:c>
      <x:c r="L240" s="82" t="str">
        <x:v>BW</x:v>
      </x:c>
      <x:c r="M240" s="82" t="str">
        <x:v>Black / Plastic</x:v>
      </x:c>
      <x:c r="N240" s="82" t="str">
        <x:v>Clear</x:v>
      </x:c>
      <x:c r="O240" s="82" t="str">
        <x:v>Tan</x:v>
      </x:c>
      <x:c r="P240" s="82" t="str">
        <x:v>Malaysia</x:v>
      </x:c>
      <x:c r="Q240" s="82" t="str"/>
      <x:c r="R240" s="82" t="str">
        <x:v>Mainline</x:v>
      </x:c>
      <x:c r="S240" s="82" t="str">
        <x:v>Rara</x:v>
      </x:c>
      <x:c r="T240" s="82" t="str">
        <x:v>Lançado</x:v>
      </x:c>
      <x:c r="U240" s="82" t="str">
        <x:v>Chrome Plastic grille</x:v>
      </x:c>
      <x:c r="V240" s="80" t="str">
        <x:v>Coleção principal (~1:64)</x:v>
      </x:c>
      <x:c r="W240" s="82" t="str">
        <x:v>https://hotwheels.fandom.com/wiki/BMW_323</x:v>
      </x:c>
      <x:c r="X240" s="82" t="str">
        <x:v>https://hotwheels.fandom.com/wiki/BMW_323</x:v>
      </x:c>
    </x:row>
    <x:row r="241">
      <x:c r="A241" s="80" t="str">
        <x:v>Não</x:v>
      </x:c>
      <x:c r="B241" s="80" t="str">
        <x:v>2 — Completar aos poucos</x:v>
      </x:c>
      <x:c r="C241" s="81" t="n">
        <x:v>1991</x:v>
      </x:c>
      <x:c r="D241" s="80" t="str">
        <x:v>BMW 850i</x:v>
      </x:c>
      <x:c r="E241" s="80" t="str">
        <x:v>BMW 850i</x:v>
      </x:c>
      <x:c r="F241" s="82" t="str">
        <x:v>Mainline</x:v>
      </x:c>
      <x:c r="G241" s="80" t="str"/>
      <x:c r="H241" s="80" t="str">
        <x:v>149</x:v>
      </x:c>
      <x:c r="I241" s="83" t="str">
        <x:v>5667</x:v>
      </x:c>
      <x:c r="J241" s="80" t="str">
        <x:v>Blue</x:v>
      </x:c>
      <x:c r="K241" s="82" t="str">
        <x:v>White Pinstripes with Pink, Blue &amp; Yellow Graphics on Sides &amp; Hood</x:v>
      </x:c>
      <x:c r="L241" s="82" t="str">
        <x:v>UH</x:v>
      </x:c>
      <x:c r="M241" s="82" t="str">
        <x:v>Blue / Plastic</x:v>
      </x:c>
      <x:c r="N241" s="82" t="str">
        <x:v>Clear</x:v>
      </x:c>
      <x:c r="O241" s="82" t="str">
        <x:v>Tan</x:v>
      </x:c>
      <x:c r="P241" s="82" t="str">
        <x:v>Malaysia</x:v>
      </x:c>
      <x:c r="Q241" s="82" t="str"/>
      <x:c r="R241" s="82" t="str">
        <x:v>Mainline</x:v>
      </x:c>
      <x:c r="S241" s="82" t="str">
        <x:v>Rara</x:v>
      </x:c>
      <x:c r="T241" s="82" t="str">
        <x:v>Lançado</x:v>
      </x:c>
      <x:c r="U241" s="82" t="str"/>
      <x:c r="V241" s="80" t="str">
        <x:v>Coleção principal (~1:64)</x:v>
      </x:c>
      <x:c r="W241" s="82" t="str">
        <x:v>https://hotwheels.fandom.com/wiki/BMW_850i</x:v>
      </x:c>
      <x:c r="X241" s="82" t="str">
        <x:v>https://hotwheels.fandom.com/wiki/BMW_850i</x:v>
      </x:c>
    </x:row>
    <x:row r="242">
      <x:c r="A242" s="80" t="str">
        <x:v>Não</x:v>
      </x:c>
      <x:c r="B242" s="80" t="str">
        <x:v>2 — Completar aos poucos</x:v>
      </x:c>
      <x:c r="C242" s="81" t="n">
        <x:v>1991</x:v>
      </x:c>
      <x:c r="D242" s="80" t="str">
        <x:v>BMW 850i</x:v>
      </x:c>
      <x:c r="E242" s="80" t="str">
        <x:v>BMW 850i</x:v>
      </x:c>
      <x:c r="F242" s="82" t="str">
        <x:v>Mainline</x:v>
      </x:c>
      <x:c r="G242" s="80" t="str"/>
      <x:c r="H242" s="80" t="str"/>
      <x:c r="I242" s="83" t="str">
        <x:v>5667</x:v>
      </x:c>
      <x:c r="J242" s="80" t="str">
        <x:v>Blue</x:v>
      </x:c>
      <x:c r="K242" s="82" t="str">
        <x:v>White Pinstripes with Pink, Blue &amp; Yellow Graphics on Sides &amp; Hood</x:v>
      </x:c>
      <x:c r="L242" s="82" t="str">
        <x:v>BW</x:v>
      </x:c>
      <x:c r="M242" s="82" t="str">
        <x:v>Blue / Plastic</x:v>
      </x:c>
      <x:c r="N242" s="82" t="str">
        <x:v>Clear</x:v>
      </x:c>
      <x:c r="O242" s="82" t="str">
        <x:v>Tan</x:v>
      </x:c>
      <x:c r="P242" s="82" t="str">
        <x:v>Malaysia</x:v>
      </x:c>
      <x:c r="Q242" s="82" t="str"/>
      <x:c r="R242" s="82" t="str">
        <x:v>Mainline</x:v>
      </x:c>
      <x:c r="S242" s="82" t="str">
        <x:v>Rara</x:v>
      </x:c>
      <x:c r="T242" s="82" t="str">
        <x:v>Lançado</x:v>
      </x:c>
      <x:c r="U242" s="82" t="str">
        <x:v>International</x:v>
      </x:c>
      <x:c r="V242" s="80" t="str">
        <x:v>Coleção principal (~1:64)</x:v>
      </x:c>
      <x:c r="W242" s="82" t="str">
        <x:v>https://hotwheels.fandom.com/wiki/BMW_850i</x:v>
      </x:c>
      <x:c r="X242" s="82" t="str">
        <x:v>https://hotwheels.fandom.com/wiki/BMW_850i</x:v>
      </x:c>
    </x:row>
    <x:row r="243">
      <x:c r="A243" s="80" t="str">
        <x:v>Não</x:v>
      </x:c>
      <x:c r="B243" s="80" t="str">
        <x:v>2 — Completar aos poucos</x:v>
      </x:c>
      <x:c r="C243" s="81" t="n">
        <x:v>1991</x:v>
      </x:c>
      <x:c r="D243" s="80" t="str">
        <x:v>BMW M1</x:v>
      </x:c>
      <x:c r="E243" s="80" t="str">
        <x:v>BMW M1</x:v>
      </x:c>
      <x:c r="F243" s="82" t="str">
        <x:v>Heroes on Hot Wheels VHS Pack</x:v>
      </x:c>
      <x:c r="G243" s="80" t="str"/>
      <x:c r="H243" s="80" t="str"/>
      <x:c r="I243" s="83" t="str"/>
      <x:c r="J243" s="80" t="str">
        <x:v>Yellow</x:v>
      </x:c>
      <x:c r="K243" s="82" t="str">
        <x:v>Purple, Blue &amp; Orange on top</x:v>
      </x:c>
      <x:c r="L243" s="82" t="str">
        <x:v>UH</x:v>
      </x:c>
      <x:c r="M243" s="82" t="str">
        <x:v>ZAMAC</x:v>
      </x:c>
      <x:c r="N243" s="82" t="str">
        <x:v>Black</x:v>
      </x:c>
      <x:c r="O243" s="82" t="str">
        <x:v>Black</x:v>
      </x:c>
      <x:c r="P243" s="82" t="str">
        <x:v>Malaysia</x:v>
      </x:c>
      <x:c r="Q243" s="82" t="str"/>
      <x:c r="R243" s="82" t="str">
        <x:v>Outra linha</x:v>
      </x:c>
      <x:c r="S243" s="82" t="str">
        <x:v>Rara</x:v>
      </x:c>
      <x:c r="T243" s="82" t="str">
        <x:v>Lançado</x:v>
      </x:c>
      <x:c r="U243" s="82" t="str">
        <x:v>Also available loose at the Mattel Toy Club</x:v>
      </x:c>
      <x:c r="V243" s="80" t="str">
        <x:v>Coleção principal (~1:64)</x:v>
      </x:c>
      <x:c r="W243" s="82" t="str">
        <x:v>https://hotwheels.fandom.com/wiki/BMW_M1</x:v>
      </x:c>
      <x:c r="X243" s="82" t="str">
        <x:v>https://hotwheels.fandom.com/wiki/BMW_M1</x:v>
      </x:c>
    </x:row>
    <x:row r="244">
      <x:c r="A244" s="80" t="str">
        <x:v>Não</x:v>
      </x:c>
      <x:c r="B244" s="80" t="str">
        <x:v>2 — Completar aos poucos</x:v>
      </x:c>
      <x:c r="C244" s="81" t="n">
        <x:v>1990</x:v>
      </x:c>
      <x:c r="D244" s="80" t="str">
        <x:v>BMW 323</x:v>
      </x:c>
      <x:c r="E244" s="80" t="str">
        <x:v>BMW 323</x:v>
      </x:c>
      <x:c r="F244" s="82" t="str">
        <x:v>1990 Hot Wheels</x:v>
      </x:c>
      <x:c r="G244" s="80" t="str"/>
      <x:c r="H244" s="80" t="str">
        <x:v>150</x:v>
      </x:c>
      <x:c r="I244" s="83" t="str">
        <x:v>9726</x:v>
      </x:c>
      <x:c r="J244" s="80" t="str">
        <x:v>Black</x:v>
      </x:c>
      <x:c r="K244" s="82" t="str">
        <x:v>Blue &amp; Red stripes with White "M3" tampo on sides</x:v>
      </x:c>
      <x:c r="L244" s="82" t="str">
        <x:v>UH</x:v>
      </x:c>
      <x:c r="M244" s="82" t="str">
        <x:v>Black / Plastic</x:v>
      </x:c>
      <x:c r="N244" s="82" t="str">
        <x:v>Clear</x:v>
      </x:c>
      <x:c r="O244" s="82" t="str">
        <x:v>Tan</x:v>
      </x:c>
      <x:c r="P244" s="82" t="str">
        <x:v>Malaysia</x:v>
      </x:c>
      <x:c r="Q244" s="82" t="str"/>
      <x:c r="R244" s="82" t="str">
        <x:v>Mainline</x:v>
      </x:c>
      <x:c r="S244" s="82" t="str">
        <x:v>Rara</x:v>
      </x:c>
      <x:c r="T244" s="82" t="str">
        <x:v>Lançado</x:v>
      </x:c>
      <x:c r="U244" s="82" t="str">
        <x:v>Rare version: With "BMW" cast into license plate on rear</x:v>
      </x:c>
      <x:c r="V244" s="80" t="str">
        <x:v>Coleção principal (~1:64)</x:v>
      </x:c>
      <x:c r="W244" s="82" t="str">
        <x:v>https://hotwheels.fandom.com/wiki/BMW_323</x:v>
      </x:c>
      <x:c r="X244" s="82" t="str">
        <x:v>https://hotwheels.fandom.com/wiki/BMW_323</x:v>
      </x:c>
    </x:row>
    <x:row r="245">
      <x:c r="A245" s="80" t="str">
        <x:v>Não</x:v>
      </x:c>
      <x:c r="B245" s="80" t="str">
        <x:v>2 — Completar aos poucos</x:v>
      </x:c>
      <x:c r="C245" s="81" t="n">
        <x:v>1990</x:v>
      </x:c>
      <x:c r="D245" s="80" t="str">
        <x:v>BMW 323</x:v>
      </x:c>
      <x:c r="E245" s="80" t="str">
        <x:v>BMW 323</x:v>
      </x:c>
      <x:c r="F245" s="82" t="str">
        <x:v>California Customs</x:v>
      </x:c>
      <x:c r="G245" s="80" t="str"/>
      <x:c r="H245" s="80" t="str"/>
      <x:c r="I245" s="83" t="str">
        <x:v>2100</x:v>
      </x:c>
      <x:c r="J245" s="80" t="str">
        <x:v>Two-Tone White &amp; Blue</x:v>
      </x:c>
      <x:c r="K245" s="82" t="str">
        <x:v>Pink &amp; Yellow lightning tampo on sides</x:v>
      </x:c>
      <x:c r="L245" s="82" t="str">
        <x:v>TW</x:v>
      </x:c>
      <x:c r="M245" s="82" t="str">
        <x:v>Light Blue / Plastic</x:v>
      </x:c>
      <x:c r="N245" s="82" t="str">
        <x:v>Clear</x:v>
      </x:c>
      <x:c r="O245" s="82" t="str">
        <x:v>Light Blue</x:v>
      </x:c>
      <x:c r="P245" s="82" t="str">
        <x:v>Malaysia</x:v>
      </x:c>
      <x:c r="Q245" s="82" t="str"/>
      <x:c r="R245" s="82" t="str">
        <x:v>Outra linha</x:v>
      </x:c>
      <x:c r="S245" s="82" t="str">
        <x:v>Rara</x:v>
      </x:c>
      <x:c r="T245" s="82" t="str">
        <x:v>Lançado</x:v>
      </x:c>
      <x:c r="U245" s="82" t="str">
        <x:v>Extra disk &amp; stickers provided</x:v>
      </x:c>
      <x:c r="V245" s="80" t="str">
        <x:v>Coleção principal (~1:64)</x:v>
      </x:c>
      <x:c r="W245" s="82" t="str">
        <x:v>https://hotwheels.fandom.com/wiki/BMW_323</x:v>
      </x:c>
      <x:c r="X245" s="82" t="str">
        <x:v>https://hotwheels.fandom.com/wiki/BMW_323</x:v>
      </x:c>
    </x:row>
    <x:row r="246">
      <x:c r="A246" s="80" t="str">
        <x:v>Não</x:v>
      </x:c>
      <x:c r="B246" s="80" t="str">
        <x:v>2 — Completar aos poucos</x:v>
      </x:c>
      <x:c r="C246" s="81" t="n">
        <x:v>1990</x:v>
      </x:c>
      <x:c r="D246" s="80" t="str">
        <x:v>BMW M1</x:v>
      </x:c>
      <x:c r="E246" s="80" t="str">
        <x:v>BMW M1</x:v>
      </x:c>
      <x:c r="F246" s="82" t="str">
        <x:v>Color Racers II</x:v>
      </x:c>
      <x:c r="G246" s="80" t="str"/>
      <x:c r="H246" s="80" t="str"/>
      <x:c r="I246" s="83" t="str">
        <x:v>3487</x:v>
      </x:c>
      <x:c r="J246" s="80" t="str">
        <x:v>Brown</x:v>
      </x:c>
      <x:c r="K246" s="82" t="str">
        <x:v>no tampo</x:v>
      </x:c>
      <x:c r="L246" s="82" t="str">
        <x:v>BW</x:v>
      </x:c>
      <x:c r="M246" s="82" t="str">
        <x:v>Grey / Metal</x:v>
      </x:c>
      <x:c r="N246" s="82" t="str">
        <x:v>Black</x:v>
      </x:c>
      <x:c r="O246" s="82" t="str">
        <x:v>Black</x:v>
      </x:c>
      <x:c r="P246" s="82" t="str">
        <x:v>Malaysia</x:v>
      </x:c>
      <x:c r="Q246" s="82" t="str"/>
      <x:c r="R246" s="82" t="str">
        <x:v>Outra linha</x:v>
      </x:c>
      <x:c r="S246" s="82" t="str">
        <x:v>Rara</x:v>
      </x:c>
      <x:c r="T246" s="82" t="str">
        <x:v>Lançado</x:v>
      </x:c>
      <x:c r="U246" s="82" t="str">
        <x:v>Named Wind SplitterAppears on Automagic II card as well &amp; Automagic</x:v>
      </x:c>
      <x:c r="V246" s="80" t="str">
        <x:v>Coleção principal (~1:64)</x:v>
      </x:c>
      <x:c r="W246" s="82" t="str">
        <x:v>https://hotwheels.fandom.com/wiki/BMW_M1</x:v>
      </x:c>
      <x:c r="X246" s="82" t="str">
        <x:v>https://hotwheels.fandom.com/wiki/BMW_M1</x:v>
      </x:c>
    </x:row>
    <x:row r="247">
      <x:c r="A247" s="80" t="str">
        <x:v>Não</x:v>
      </x:c>
      <x:c r="B247" s="80" t="str">
        <x:v>2 — Completar aos poucos</x:v>
      </x:c>
      <x:c r="C247" s="81" t="n">
        <x:v>1989</x:v>
      </x:c>
      <x:c r="D247" s="80" t="str">
        <x:v>BMW M1</x:v>
      </x:c>
      <x:c r="E247" s="80" t="str">
        <x:v>BMW M1</x:v>
      </x:c>
      <x:c r="F247" s="82" t="str">
        <x:v>Automagic III</x:v>
      </x:c>
      <x:c r="G247" s="80" t="str"/>
      <x:c r="H247" s="80" t="str"/>
      <x:c r="I247" s="83" t="str">
        <x:v>7283</x:v>
      </x:c>
      <x:c r="J247" s="80" t="str">
        <x:v>Pink</x:v>
      </x:c>
      <x:c r="K247" s="82" t="str">
        <x:v>White Lightining</x:v>
      </x:c>
      <x:c r="L247" s="82" t="str">
        <x:v>BW</x:v>
      </x:c>
      <x:c r="M247" s="82" t="str">
        <x:v>Unpainted / Metal</x:v>
      </x:c>
      <x:c r="N247" s="82" t="str">
        <x:v>Blue tint</x:v>
      </x:c>
      <x:c r="O247" s="82" t="str">
        <x:v>Black</x:v>
      </x:c>
      <x:c r="P247" s="82" t="str">
        <x:v>Malaysia</x:v>
      </x:c>
      <x:c r="Q247" s="82" t="str"/>
      <x:c r="R247" s="82" t="str">
        <x:v>Outra linha</x:v>
      </x:c>
      <x:c r="S247" s="82" t="str">
        <x:v>Rara</x:v>
      </x:c>
      <x:c r="T247" s="82" t="str">
        <x:v>Lançado</x:v>
      </x:c>
      <x:c r="U247" s="82" t="str">
        <x:v>Appears in a Color Racers 3-Pack</x:v>
      </x:c>
      <x:c r="V247" s="80" t="str">
        <x:v>Coleção principal (~1:64)</x:v>
      </x:c>
      <x:c r="W247" s="82" t="str">
        <x:v>https://hotwheels.fandom.com/wiki/BMW_M1</x:v>
      </x:c>
      <x:c r="X247" s="82" t="str">
        <x:v>https://hotwheels.fandom.com/wiki/BMW_M1</x:v>
      </x:c>
    </x:row>
    <x:row r="248">
      <x:c r="A248" s="80" t="str">
        <x:v>Não</x:v>
      </x:c>
      <x:c r="B248" s="80" t="str">
        <x:v>2 — Completar aos poucos</x:v>
      </x:c>
      <x:c r="C248" s="81" t="n">
        <x:v>1985</x:v>
      </x:c>
      <x:c r="D248" s="80" t="str">
        <x:v>BMW M1</x:v>
      </x:c>
      <x:c r="E248" s="80" t="str">
        <x:v>BMW M1</x:v>
      </x:c>
      <x:c r="F248" s="82" t="str">
        <x:v>Ultra Hots</x:v>
      </x:c>
      <x:c r="G248" s="80" t="str"/>
      <x:c r="H248" s="80" t="str"/>
      <x:c r="I248" s="83" t="str">
        <x:v>9539</x:v>
      </x:c>
      <x:c r="J248" s="80" t="str">
        <x:v>Metalflake Aqua</x:v>
      </x:c>
      <x:c r="K248" s="82" t="str">
        <x:v>Yellow &amp; Black lightning bolts</x:v>
      </x:c>
      <x:c r="L248" s="82" t="str">
        <x:v>UH</x:v>
      </x:c>
      <x:c r="M248" s="82" t="str">
        <x:v>Black painted / Metal</x:v>
      </x:c>
      <x:c r="N248" s="82" t="str">
        <x:v>Black</x:v>
      </x:c>
      <x:c r="O248" s="82" t="str">
        <x:v>Black</x:v>
      </x:c>
      <x:c r="P248" s="82" t="str">
        <x:v>Malaysia</x:v>
      </x:c>
      <x:c r="Q248" s="82" t="str"/>
      <x:c r="R248" s="82" t="str">
        <x:v>Outra linha</x:v>
      </x:c>
      <x:c r="S248" s="82" t="str">
        <x:v>Rara</x:v>
      </x:c>
      <x:c r="T248" s="82" t="str">
        <x:v>Lançado</x:v>
      </x:c>
      <x:c r="U248" s="82" t="str">
        <x:v>Named Wind Splitter</x:v>
      </x:c>
      <x:c r="V248" s="80" t="str">
        <x:v>Coleção principal (~1:64)</x:v>
      </x:c>
      <x:c r="W248" s="82" t="str">
        <x:v>https://hotwheels.fandom.com/wiki/BMW_M1</x:v>
      </x:c>
      <x:c r="X248" s="82" t="str">
        <x:v>https://hotwheels.fandom.com/wiki/BMW_M1</x:v>
      </x:c>
    </x:row>
    <x:row r="249">
      <x:c r="A249" s="80" t="str">
        <x:v>Não</x:v>
      </x:c>
      <x:c r="B249" s="80" t="str">
        <x:v>2 — Completar aos poucos</x:v>
      </x:c>
      <x:c r="C249" s="81" t="n">
        <x:v>1985</x:v>
      </x:c>
      <x:c r="D249" s="80" t="str">
        <x:v>BMW M1</x:v>
      </x:c>
      <x:c r="E249" s="80" t="str">
        <x:v>BMW M1</x:v>
      </x:c>
      <x:c r="F249" s="82" t="str">
        <x:v>Ultra Hots</x:v>
      </x:c>
      <x:c r="G249" s="80" t="str"/>
      <x:c r="H249" s="80" t="str"/>
      <x:c r="I249" s="83" t="str">
        <x:v>9539</x:v>
      </x:c>
      <x:c r="J249" s="80" t="str">
        <x:v>Spectraflame Green</x:v>
      </x:c>
      <x:c r="K249" s="82" t="str">
        <x:v>Yellow &amp; Black lightning bolts</x:v>
      </x:c>
      <x:c r="L249" s="82" t="str">
        <x:v>UH</x:v>
      </x:c>
      <x:c r="M249" s="82" t="str">
        <x:v>Black painted / Metal</x:v>
      </x:c>
      <x:c r="N249" s="82" t="str">
        <x:v>Black</x:v>
      </x:c>
      <x:c r="O249" s="82" t="str">
        <x:v>Black</x:v>
      </x:c>
      <x:c r="P249" s="82" t="str">
        <x:v>Malaysia</x:v>
      </x:c>
      <x:c r="Q249" s="82" t="str"/>
      <x:c r="R249" s="82" t="str">
        <x:v>Outra linha</x:v>
      </x:c>
      <x:c r="S249" s="82" t="str">
        <x:v>Rara</x:v>
      </x:c>
      <x:c r="T249" s="82" t="str">
        <x:v>Lançado</x:v>
      </x:c>
      <x:c r="U249" s="82" t="str">
        <x:v>Named Wind Splitter</x:v>
      </x:c>
      <x:c r="V249" s="80" t="str">
        <x:v>Coleção principal (~1:64)</x:v>
      </x:c>
      <x:c r="W249" s="82" t="str">
        <x:v>https://hotwheels.fandom.com/wiki/BMW_M1</x:v>
      </x:c>
      <x:c r="X249" s="82" t="str">
        <x:v>https://hotwheels.fandom.com/wiki/BMW_M1</x:v>
      </x:c>
    </x:row>
    <x:row r="250">
      <x:c r="A250" s="80" t="str">
        <x:v>Não</x:v>
      </x:c>
      <x:c r="B250" s="80" t="str">
        <x:v>2 — Completar aos poucos</x:v>
      </x:c>
      <x:c r="C250" s="81" t="n">
        <x:v>1985</x:v>
      </x:c>
      <x:c r="D250" s="80" t="str">
        <x:v>BMW M1</x:v>
      </x:c>
      <x:c r="E250" s="80" t="str">
        <x:v>BMW M1</x:v>
      </x:c>
      <x:c r="F250" s="82" t="str">
        <x:v>Ultra Hots Gift Pack</x:v>
      </x:c>
      <x:c r="G250" s="80" t="str"/>
      <x:c r="H250" s="80" t="str"/>
      <x:c r="I250" s="83" t="str">
        <x:v>9416</x:v>
      </x:c>
      <x:c r="J250" s="80" t="str">
        <x:v>Spectraflame Green</x:v>
      </x:c>
      <x:c r="K250" s="82" t="str">
        <x:v>Yellow &amp; Black lightning bolts</x:v>
      </x:c>
      <x:c r="L250" s="82" t="str">
        <x:v>UH</x:v>
      </x:c>
      <x:c r="M250" s="82" t="str">
        <x:v>Black painted / Metal</x:v>
      </x:c>
      <x:c r="N250" s="82" t="str">
        <x:v>Black</x:v>
      </x:c>
      <x:c r="O250" s="82" t="str">
        <x:v>Black</x:v>
      </x:c>
      <x:c r="P250" s="82" t="str">
        <x:v>Malaysia</x:v>
      </x:c>
      <x:c r="Q250" s="82" t="str"/>
      <x:c r="R250" s="82" t="str">
        <x:v>Outra linha</x:v>
      </x:c>
      <x:c r="S250" s="82" t="str">
        <x:v>Rara</x:v>
      </x:c>
      <x:c r="T250" s="82" t="str">
        <x:v>Lançado</x:v>
      </x:c>
      <x:c r="U250" s="82" t="str">
        <x:v>Named Wind Splitter</x:v>
      </x:c>
      <x:c r="V250" s="80" t="str">
        <x:v>Coleção principal (~1:64)</x:v>
      </x:c>
      <x:c r="W250" s="82" t="str">
        <x:v>https://hotwheels.fandom.com/wiki/BMW_M1</x:v>
      </x:c>
      <x:c r="X250" s="82" t="str">
        <x:v>https://hotwheels.fandom.com/wiki/BMW_M1</x:v>
      </x:c>
    </x:row>
    <x:row r="251">
      <x:c r="A251" s="80" t="str">
        <x:v>Não</x:v>
      </x:c>
      <x:c r="B251" s="80" t="str">
        <x:v>2 — Completar aos poucos</x:v>
      </x:c>
      <x:c r="C251" s="81" t="n">
        <x:v>1984</x:v>
      </x:c>
      <x:c r="D251" s="80" t="str">
        <x:v>BMW M1</x:v>
      </x:c>
      <x:c r="E251" s="80" t="str">
        <x:v>BMW M1</x:v>
      </x:c>
      <x:c r="F251" s="82" t="str">
        <x:v>Mainline</x:v>
      </x:c>
      <x:c r="G251" s="80" t="str"/>
      <x:c r="H251" s="80" t="str"/>
      <x:c r="I251" s="83" t="str">
        <x:v>3289</x:v>
      </x:c>
      <x:c r="J251" s="80" t="str">
        <x:v>Red</x:v>
      </x:c>
      <x:c r="K251" s="82" t="str">
        <x:v>White, Black &amp; Yellow stripes on top</x:v>
      </x:c>
      <x:c r="L251" s="82" t="str">
        <x:v>BW</x:v>
      </x:c>
      <x:c r="M251" s="82" t="str">
        <x:v>Red / Metal</x:v>
      </x:c>
      <x:c r="N251" s="82" t="str">
        <x:v>Clear</x:v>
      </x:c>
      <x:c r="O251" s="82" t="str">
        <x:v>Black</x:v>
      </x:c>
      <x:c r="P251" s="82" t="str">
        <x:v>France</x:v>
      </x:c>
      <x:c r="Q251" s="82" t="str"/>
      <x:c r="R251" s="82" t="str">
        <x:v>Mainline</x:v>
      </x:c>
      <x:c r="S251" s="82" t="str">
        <x:v>Rara</x:v>
      </x:c>
      <x:c r="T251" s="82" t="str">
        <x:v>Lançado</x:v>
      </x:c>
      <x:c r="U251" s="82" t="str">
        <x:v>France only</x:v>
      </x:c>
      <x:c r="V251" s="80" t="str">
        <x:v>Coleção principal (~1:64)</x:v>
      </x:c>
      <x:c r="W251" s="82" t="str">
        <x:v>https://hotwheels.fandom.com/wiki/BMW_M1</x:v>
      </x:c>
      <x:c r="X251" s="82" t="str">
        <x:v>https://hotwheels.fandom.com/wiki/BMW_M1</x:v>
      </x:c>
    </x:row>
    <x:row r="252">
      <x:c r="A252" s="80" t="str">
        <x:v>Não</x:v>
      </x:c>
      <x:c r="B252" s="80" t="str">
        <x:v>2 — Completar aos poucos</x:v>
      </x:c>
      <x:c r="C252" s="81" t="n">
        <x:v>1984</x:v>
      </x:c>
      <x:c r="D252" s="80" t="str">
        <x:v>BMW M1</x:v>
      </x:c>
      <x:c r="E252" s="80" t="str">
        <x:v>BMW M1</x:v>
      </x:c>
      <x:c r="F252" s="82" t="str">
        <x:v>Ultra Hots</x:v>
      </x:c>
      <x:c r="G252" s="80" t="str"/>
      <x:c r="H252" s="80" t="str"/>
      <x:c r="I252" s="83" t="str">
        <x:v>7296</x:v>
      </x:c>
      <x:c r="J252" s="80" t="str">
        <x:v>Metalflake Blue</x:v>
      </x:c>
      <x:c r="K252" s="82" t="str">
        <x:v>White &amp; Yellow lightning bolt</x:v>
      </x:c>
      <x:c r="L252" s="82" t="str">
        <x:v>UH</x:v>
      </x:c>
      <x:c r="M252" s="82" t="str">
        <x:v>Black painted / Metal</x:v>
      </x:c>
      <x:c r="N252" s="82" t="str">
        <x:v>Heavy smoke tint</x:v>
      </x:c>
      <x:c r="O252" s="82" t="str">
        <x:v>Black</x:v>
      </x:c>
      <x:c r="P252" s="82" t="str">
        <x:v>Hong Kong</x:v>
      </x:c>
      <x:c r="Q252" s="82" t="str"/>
      <x:c r="R252" s="82" t="str">
        <x:v>Outra linha</x:v>
      </x:c>
      <x:c r="S252" s="82" t="str">
        <x:v>Rara</x:v>
      </x:c>
      <x:c r="T252" s="82" t="str">
        <x:v>Lançado</x:v>
      </x:c>
      <x:c r="U252" s="82" t="str">
        <x:v>Named Wind Splitter</x:v>
      </x:c>
      <x:c r="V252" s="80" t="str">
        <x:v>Coleção principal (~1:64)</x:v>
      </x:c>
      <x:c r="W252" s="82" t="str">
        <x:v>https://hotwheels.fandom.com/wiki/BMW_M1</x:v>
      </x:c>
      <x:c r="X252" s="82" t="str">
        <x:v>https://hotwheels.fandom.com/wiki/BMW_M1</x:v>
      </x:c>
    </x:row>
    <x:row r="253">
      <x:c r="A253" s="80" t="str">
        <x:v>Não</x:v>
      </x:c>
      <x:c r="B253" s="80" t="str">
        <x:v>2 — Completar aos poucos</x:v>
      </x:c>
      <x:c r="C253" s="81" t="n">
        <x:v>1984</x:v>
      </x:c>
      <x:c r="D253" s="80" t="str">
        <x:v>BMW M1</x:v>
      </x:c>
      <x:c r="E253" s="80" t="str">
        <x:v>BMW M1</x:v>
      </x:c>
      <x:c r="F253" s="82" t="str">
        <x:v>Ultra Hots</x:v>
      </x:c>
      <x:c r="G253" s="80" t="str"/>
      <x:c r="H253" s="80" t="str"/>
      <x:c r="I253" s="83" t="str">
        <x:v>7296</x:v>
      </x:c>
      <x:c r="J253" s="80" t="str">
        <x:v>Metalflake Blue</x:v>
      </x:c>
      <x:c r="K253" s="82" t="str">
        <x:v>White &amp; Yellow lightning bolt</x:v>
      </x:c>
      <x:c r="L253" s="82" t="str">
        <x:v>UH</x:v>
      </x:c>
      <x:c r="M253" s="82" t="str">
        <x:v>Black painted / / / Metal</x:v>
      </x:c>
      <x:c r="N253" s="82" t="str">
        <x:v>Dark Smoke tint</x:v>
      </x:c>
      <x:c r="O253" s="82" t="str">
        <x:v>Black</x:v>
      </x:c>
      <x:c r="P253" s="82" t="str">
        <x:v>Hong Kong</x:v>
      </x:c>
      <x:c r="Q253" s="82" t="str"/>
      <x:c r="R253" s="82" t="str">
        <x:v>Outra linha</x:v>
      </x:c>
      <x:c r="S253" s="82" t="str">
        <x:v>Rara</x:v>
      </x:c>
      <x:c r="T253" s="82" t="str">
        <x:v>Lançado</x:v>
      </x:c>
      <x:c r="U253" s="82" t="str">
        <x:v>Known as Wind Splitter</x:v>
      </x:c>
      <x:c r="V253" s="80" t="str">
        <x:v>Coleção principal (~1:64)</x:v>
      </x:c>
      <x:c r="W253" s="82" t="str">
        <x:v>https://hotwheels.fandom.com/wiki/BMW_M1</x:v>
      </x:c>
      <x:c r="X253" s="82" t="str">
        <x:v>https://hotwheels.fandom.com/wiki/BMW_M1</x:v>
      </x:c>
    </x:row>
    <x:row r="254">
      <x:c r="A254" s="80" t="str">
        <x:v>Não</x:v>
      </x:c>
      <x:c r="B254" s="80" t="str">
        <x:v>2 — Completar aos poucos</x:v>
      </x:c>
      <x:c r="C254" s="81" t="n">
        <x:v>1984</x:v>
      </x:c>
      <x:c r="D254" s="80" t="str">
        <x:v>BMW M1</x:v>
      </x:c>
      <x:c r="E254" s="80" t="str">
        <x:v>BMW M1</x:v>
      </x:c>
      <x:c r="F254" s="82" t="str">
        <x:v>Ultra Hots</x:v>
      </x:c>
      <x:c r="G254" s="80" t="str"/>
      <x:c r="H254" s="80" t="str"/>
      <x:c r="I254" s="83" t="str">
        <x:v>7296</x:v>
      </x:c>
      <x:c r="J254" s="80" t="str">
        <x:v>Spectraflame Aqua</x:v>
      </x:c>
      <x:c r="K254" s="82" t="str">
        <x:v>White &amp; Yellow lightning bolt</x:v>
      </x:c>
      <x:c r="L254" s="82" t="str">
        <x:v>UH</x:v>
      </x:c>
      <x:c r="M254" s="82" t="str">
        <x:v>Black painted / Metal</x:v>
      </x:c>
      <x:c r="N254" s="82" t="str">
        <x:v>Heavy smoke tint</x:v>
      </x:c>
      <x:c r="O254" s="82" t="str">
        <x:v>Black</x:v>
      </x:c>
      <x:c r="P254" s="82" t="str">
        <x:v>Malaysia</x:v>
      </x:c>
      <x:c r="Q254" s="82" t="str"/>
      <x:c r="R254" s="82" t="str">
        <x:v>Outra linha</x:v>
      </x:c>
      <x:c r="S254" s="82" t="str">
        <x:v>Rara</x:v>
      </x:c>
      <x:c r="T254" s="82" t="str">
        <x:v>Lançado</x:v>
      </x:c>
      <x:c r="U254" s="82" t="str">
        <x:v>Named Wind Splitter</x:v>
      </x:c>
      <x:c r="V254" s="80" t="str">
        <x:v>Coleção principal (~1:64)</x:v>
      </x:c>
      <x:c r="W254" s="82" t="str">
        <x:v>https://hotwheels.fandom.com/wiki/BMW_M1</x:v>
      </x:c>
      <x:c r="X254" s="82" t="str">
        <x:v>https://hotwheels.fandom.com/wiki/BMW_M1</x:v>
      </x:c>
    </x:row>
    <x:row r="255">
      <x:c r="A255" s="80" t="str">
        <x:v>Não</x:v>
      </x:c>
      <x:c r="B255" s="80" t="str">
        <x:v>2 — Completar aos poucos</x:v>
      </x:c>
      <x:c r="C255" s="81" t="n">
        <x:v>1984</x:v>
      </x:c>
      <x:c r="D255" s="80" t="str">
        <x:v>BMW M1</x:v>
      </x:c>
      <x:c r="E255" s="80" t="str">
        <x:v>BMW M1</x:v>
      </x:c>
      <x:c r="F255" s="82" t="str">
        <x:v>Ultra Hots</x:v>
      </x:c>
      <x:c r="G255" s="80" t="str"/>
      <x:c r="H255" s="80" t="str"/>
      <x:c r="I255" s="83" t="str">
        <x:v>7296</x:v>
      </x:c>
      <x:c r="J255" s="80" t="str">
        <x:v>Spectraflame Aqua</x:v>
      </x:c>
      <x:c r="K255" s="82" t="str">
        <x:v>White &amp; Yellow lightning bolt</x:v>
      </x:c>
      <x:c r="L255" s="82" t="str">
        <x:v>UH</x:v>
      </x:c>
      <x:c r="M255" s="82" t="str">
        <x:v>Black painted / / / Metal</x:v>
      </x:c>
      <x:c r="N255" s="82" t="str">
        <x:v>Dark Smoke tint</x:v>
      </x:c>
      <x:c r="O255" s="82" t="str">
        <x:v>Black</x:v>
      </x:c>
      <x:c r="P255" s="82" t="str">
        <x:v>Malaysia</x:v>
      </x:c>
      <x:c r="Q255" s="82" t="str"/>
      <x:c r="R255" s="82" t="str">
        <x:v>Outra linha</x:v>
      </x:c>
      <x:c r="S255" s="82" t="str">
        <x:v>Rara</x:v>
      </x:c>
      <x:c r="T255" s="82" t="str">
        <x:v>Lançado</x:v>
      </x:c>
      <x:c r="U255" s="82" t="str">
        <x:v>Known as Wind Splitter</x:v>
      </x:c>
      <x:c r="V255" s="80" t="str">
        <x:v>Coleção principal (~1:64)</x:v>
      </x:c>
      <x:c r="W255" s="82" t="str">
        <x:v>https://hotwheels.fandom.com/wiki/BMW_M1</x:v>
      </x:c>
      <x:c r="X255" s="82" t="str">
        <x:v>https://hotwheels.fandom.com/wiki/BMW_M1</x:v>
      </x:c>
    </x:row>
    <x:row r="256">
      <x:c r="A256" s="80" t="str">
        <x:v>Não</x:v>
      </x:c>
      <x:c r="B256" s="80" t="str">
        <x:v>2 — Completar aos poucos</x:v>
      </x:c>
      <x:c r="C256" s="81" t="n">
        <x:v>1983</x:v>
      </x:c>
      <x:c r="D256" s="80" t="str">
        <x:v>BMW M1</x:v>
      </x:c>
      <x:c r="E256" s="80" t="str">
        <x:v>BMW M1</x:v>
      </x:c>
      <x:c r="F256" s="82" t="str">
        <x:v>Mainline</x:v>
      </x:c>
      <x:c r="G256" s="80" t="str"/>
      <x:c r="H256" s="80" t="str"/>
      <x:c r="I256" s="83" t="str">
        <x:v>3289</x:v>
      </x:c>
      <x:c r="J256" s="80" t="str">
        <x:v>Red</x:v>
      </x:c>
      <x:c r="K256" s="82" t="str">
        <x:v>White, Black &amp; Yellow stripes on top</x:v>
      </x:c>
      <x:c r="L256" s="82" t="str">
        <x:v>BW</x:v>
      </x:c>
      <x:c r="M256" s="82" t="str">
        <x:v>Red / / / Metal</x:v>
      </x:c>
      <x:c r="N256" s="82" t="str">
        <x:v>Clear</x:v>
      </x:c>
      <x:c r="O256" s="82" t="str">
        <x:v>Black</x:v>
      </x:c>
      <x:c r="P256" s="82" t="str">
        <x:v>France</x:v>
      </x:c>
      <x:c r="Q256" s="82" t="str"/>
      <x:c r="R256" s="82" t="str">
        <x:v>Mainline</x:v>
      </x:c>
      <x:c r="S256" s="82" t="str">
        <x:v>Rara</x:v>
      </x:c>
      <x:c r="T256" s="82" t="str">
        <x:v>Lançado</x:v>
      </x:c>
      <x:c r="U256" s="82" t="str">
        <x:v>France only</x:v>
      </x:c>
      <x:c r="V256" s="80" t="str">
        <x:v>Coleção principal (~1:64)</x:v>
      </x:c>
      <x:c r="W256" s="82" t="str">
        <x:v>https://hotwheels.fandom.com/wiki/BMW_M1</x:v>
      </x:c>
      <x:c r="X256" s="82" t="str">
        <x:v>https://hotwheels.fandom.com/wiki/BMW_M1</x:v>
      </x:c>
    </x:row>
    <x:row r="257">
      <x:c r="A257" s="80" t="str">
        <x:v>Não</x:v>
      </x:c>
      <x:c r="B257" s="80" t="str">
        <x:v>2 — Completar aos poucos</x:v>
      </x:c>
      <x:c r="C257" s="81" t="n">
        <x:v>1983</x:v>
      </x:c>
      <x:c r="D257" s="80" t="str">
        <x:v>BMW M1</x:v>
      </x:c>
      <x:c r="E257" s="80" t="str">
        <x:v>BMW M1</x:v>
      </x:c>
      <x:c r="F257" s="82" t="str">
        <x:v>Real Riders</x:v>
      </x:c>
      <x:c r="G257" s="80" t="str"/>
      <x:c r="H257" s="80" t="str"/>
      <x:c r="I257" s="83" t="str">
        <x:v>3289</x:v>
      </x:c>
      <x:c r="J257" s="80" t="str">
        <x:v>Red</x:v>
      </x:c>
      <x:c r="K257" s="82" t="str">
        <x:v>White, Black &amp; Yellow stripes on top</x:v>
      </x:c>
      <x:c r="L257" s="82" t="str">
        <x:v>Grey RR</x:v>
      </x:c>
      <x:c r="M257" s="82" t="str">
        <x:v>Red / / / Metal</x:v>
      </x:c>
      <x:c r="N257" s="82" t="str">
        <x:v>Clear</x:v>
      </x:c>
      <x:c r="O257" s="82" t="str">
        <x:v>Black</x:v>
      </x:c>
      <x:c r="P257" s="82" t="str">
        <x:v>Malaysia</x:v>
      </x:c>
      <x:c r="Q257" s="82" t="str"/>
      <x:c r="R257" s="82" t="str">
        <x:v>Premium</x:v>
      </x:c>
      <x:c r="S257" s="82" t="str">
        <x:v>Rara</x:v>
      </x:c>
      <x:c r="T257" s="82" t="str">
        <x:v>Lançado</x:v>
      </x:c>
      <x:c r="U257" s="82" t="str"/>
      <x:c r="V257" s="80" t="str">
        <x:v>Coleção principal (~1:64)</x:v>
      </x:c>
      <x:c r="W257" s="82" t="str">
        <x:v>https://hotwheels.fandom.com/wiki/BMW_M1</x:v>
      </x:c>
      <x:c r="X257" s="82" t="str">
        <x:v>https://hotwheels.fandom.com/wiki/BMW_M1</x:v>
      </x:c>
    </x:row>
    <x:row r="258">
      <x:c r="A258" s="80" t="str">
        <x:v>Não</x:v>
      </x:c>
      <x:c r="B258" s="80" t="str">
        <x:v>2 — Completar aos poucos</x:v>
      </x:c>
      <x:c r="C258" s="81" t="n">
        <x:v>1983</x:v>
      </x:c>
      <x:c r="D258" s="80" t="str">
        <x:v>BMW M1</x:v>
      </x:c>
      <x:c r="E258" s="80" t="str">
        <x:v>BMW M1</x:v>
      </x:c>
      <x:c r="F258" s="82" t="str">
        <x:v>Real Riders</x:v>
      </x:c>
      <x:c r="G258" s="80" t="str"/>
      <x:c r="H258" s="80" t="str"/>
      <x:c r="I258" s="83" t="str">
        <x:v>4364</x:v>
      </x:c>
      <x:c r="J258" s="80" t="str">
        <x:v>Red</x:v>
      </x:c>
      <x:c r="K258" s="82" t="str">
        <x:v>White, Black &amp; Yellow stripes on top</x:v>
      </x:c>
      <x:c r="L258" s="82" t="str">
        <x:v>GYGTRR</x:v>
      </x:c>
      <x:c r="M258" s="82" t="str">
        <x:v>Red / Metal</x:v>
      </x:c>
      <x:c r="N258" s="82" t="str">
        <x:v>Clear</x:v>
      </x:c>
      <x:c r="O258" s="82" t="str">
        <x:v>Black</x:v>
      </x:c>
      <x:c r="P258" s="82" t="str">
        <x:v>Malaysia</x:v>
      </x:c>
      <x:c r="Q258" s="82" t="str"/>
      <x:c r="R258" s="82" t="str">
        <x:v>Premium</x:v>
      </x:c>
      <x:c r="S258" s="82" t="str">
        <x:v>Rara</x:v>
      </x:c>
      <x:c r="T258" s="82" t="str">
        <x:v>Lançado</x:v>
      </x:c>
      <x:c r="U258" s="82" t="str"/>
      <x:c r="V258" s="80" t="str">
        <x:v>Coleção principal (~1:64)</x:v>
      </x:c>
      <x:c r="W258" s="82" t="str">
        <x:v>https://hotwheels.fandom.com/wiki/BMW_M1</x:v>
      </x:c>
      <x:c r="X258" s="82" t="str">
        <x:v>https://hotwheels.fandom.com/wiki/BMW_M1</x:v>
      </x:c>
    </x:row>
    <x:row r="259">
      <x:c r="A259" s="80" t="str">
        <x:v>Não</x:v>
      </x:c>
      <x:c r="B259" s="80" t="str">
        <x:v>3 — Caça de longo prazo</x:v>
      </x:c>
      <x:c r="C259" s="81" t="n">
        <x:v>2026</x:v>
      </x:c>
      <x:c r="D259" s="80" t="str">
        <x:v>'92 BMW M3</x:v>
      </x:c>
      <x:c r="E259" s="80" t="str">
        <x:v>'92 BMW M3</x:v>
      </x:c>
      <x:c r="F259" s="82" t="str">
        <x:v>Car Culture: Power Trip 0/5</x:v>
      </x:c>
      <x:c r="G259" s="80" t="str"/>
      <x:c r="H259" s="80" t="str"/>
      <x:c r="I259" s="83" t="str">
        <x:v>JKF32</x:v>
      </x:c>
      <x:c r="J259" s="80" t="str">
        <x:v>Gold</x:v>
      </x:c>
      <x:c r="K259" s="82" t="str">
        <x:v>Detailed headlights and taillights</x:v>
      </x:c>
      <x:c r="L259" s="82" t="str">
        <x:v>Gold Satin RREURO</x:v>
      </x:c>
      <x:c r="M259" s="82" t="str">
        <x:v>Gold / Metal</x:v>
      </x:c>
      <x:c r="N259" s="82" t="str">
        <x:v>Smoke tint</x:v>
      </x:c>
      <x:c r="O259" s="82" t="str">
        <x:v>Gold</x:v>
      </x:c>
      <x:c r="P259" s="82" t="str">
        <x:v>Thailand</x:v>
      </x:c>
      <x:c r="Q259" s="82" t="str">
        <x:v>Chase</x:v>
      </x:c>
      <x:c r="R259" s="82" t="str">
        <x:v>Premium</x:v>
      </x:c>
      <x:c r="S259" s="82" t="str">
        <x:v>Muito rara</x:v>
      </x:c>
      <x:c r="T259" s="82" t="str">
        <x:v>2026 — listado; confirmar disponibilidade</x:v>
      </x:c>
      <x:c r="U259" s="82" t="str">
        <x:v>Chase Base code(s): U49A, U50A</x:v>
      </x:c>
      <x:c r="V259" s="80" t="str">
        <x:v>Coleção principal (~1:64)</x:v>
      </x:c>
      <x:c r="W259" s="82" t="str">
        <x:v>https://hotwheels.fandom.com/wiki/%2792_BMW_M3</x:v>
      </x:c>
      <x:c r="X259" s="82" t="str">
        <x:v>https://hotwheels.fandom.com/wiki/%2792_BMW_M3</x:v>
      </x:c>
    </x:row>
    <x:row r="260">
      <x:c r="A260" s="80" t="str">
        <x:v>Não</x:v>
      </x:c>
      <x:c r="B260" s="80" t="str">
        <x:v>3 — Caça de longo prazo</x:v>
      </x:c>
      <x:c r="C260" s="81" t="n">
        <x:v>2026</x:v>
      </x:c>
      <x:c r="D260" s="80" t="str">
        <x:v>1991 BMW M3</x:v>
      </x:c>
      <x:c r="E260" s="80" t="str">
        <x:v>1991 BMW M3</x:v>
      </x:c>
      <x:c r="F260" s="82" t="str">
        <x:v>RLC Exclusive</x:v>
      </x:c>
      <x:c r="G260" s="80" t="str"/>
      <x:c r="H260" s="80" t="str"/>
      <x:c r="I260" s="83" t="str">
        <x:v>JJY68</x:v>
      </x:c>
      <x:c r="J260" s="80" t="str">
        <x:v>Spectraflame olive</x:v>
      </x:c>
      <x:c r="K260" s="82" t="str">
        <x:v>Detailed headlights, taillights and trim, "E30ENV" license plate</x:v>
      </x:c>
      <x:c r="L260" s="82" t="str">
        <x:v>Gold RR10SPM</x:v>
      </x:c>
      <x:c r="M260" s="82" t="str">
        <x:v>Matte black / Metal</x:v>
      </x:c>
      <x:c r="N260" s="82" t="str">
        <x:v>Light smoke tint</x:v>
      </x:c>
      <x:c r="O260" s="82" t="str">
        <x:v>Tan</x:v>
      </x:c>
      <x:c r="P260" s="82" t="str">
        <x:v>China</x:v>
      </x:c>
      <x:c r="Q260" s="82" t="str">
        <x:v>RLC / HWC</x:v>
      </x:c>
      <x:c r="R260" s="82" t="str">
        <x:v>RLC / HWC</x:v>
      </x:c>
      <x:c r="S260" s="82" t="str">
        <x:v>Muito rara</x:v>
      </x:c>
      <x:c r="T260" s="82" t="str">
        <x:v>2026 — listado; confirmar disponibilidade</x:v>
      </x:c>
      <x:c r="U260" s="82" t="str">
        <x:v>Production code(s): 3445EAA, 0086EAA</x:v>
      </x:c>
      <x:c r="V260" s="80" t="str">
        <x:v>Coleção principal (~1:64)</x:v>
      </x:c>
      <x:c r="W260" s="82" t="str">
        <x:v>https://hotwheels.fandom.com/wiki/1991_BMW_M3</x:v>
      </x:c>
      <x:c r="X260" s="82" t="str">
        <x:v>https://hotwheels.fandom.com/wiki/1991_BMW_M3</x:v>
      </x:c>
    </x:row>
    <x:row r="261">
      <x:c r="A261" s="80" t="str">
        <x:v>Não</x:v>
      </x:c>
      <x:c r="B261" s="80" t="str">
        <x:v>3 — Caça de longo prazo</x:v>
      </x:c>
      <x:c r="C261" s="81" t="n">
        <x:v>2025</x:v>
      </x:c>
      <x:c r="D261" s="80" t="str">
        <x:v>1995 BMW M3 LTW</x:v>
      </x:c>
      <x:c r="E261" s="80" t="str">
        <x:v>1995 BMW M3 LTW</x:v>
      </x:c>
      <x:c r="F261" s="82" t="str">
        <x:v>RLC Exclusive</x:v>
      </x:c>
      <x:c r="G261" s="80" t="str"/>
      <x:c r="H261" s="80" t="str"/>
      <x:c r="I261" s="83" t="str">
        <x:v>JCP08</x:v>
      </x:c>
      <x:c r="J261" s="80" t="str">
        <x:v>Spectraflame bright orange</x:v>
      </x:c>
      <x:c r="K261" s="82" t="str">
        <x:v>Detailed headlights, taillights, trim and engine, "MDRE1 E36" license plate</x:v>
      </x:c>
      <x:c r="L261" s="82" t="str">
        <x:v>RR10SPM</x:v>
      </x:c>
      <x:c r="M261" s="82" t="str">
        <x:v>Black / Metal detailed exhaust &amp; transmission</x:v>
      </x:c>
      <x:c r="N261" s="82" t="str">
        <x:v>Light Smoke tint</x:v>
      </x:c>
      <x:c r="O261" s="82" t="str">
        <x:v>Cool grey</x:v>
      </x:c>
      <x:c r="P261" s="82" t="str">
        <x:v>China</x:v>
      </x:c>
      <x:c r="Q261" s="82" t="str">
        <x:v>RLC / HWC</x:v>
      </x:c>
      <x:c r="R261" s="82" t="str">
        <x:v>RLC / HWC</x:v>
      </x:c>
      <x:c r="S261" s="82" t="str">
        <x:v>Muito rara</x:v>
      </x:c>
      <x:c r="T261" s="82" t="str">
        <x:v>Lançado</x:v>
      </x:c>
      <x:c r="U261" s="82" t="str">
        <x:v>Production code(s): 1555EAA, 1855EAA, 1885EAA, 1895EAA, 2065EAA, 2105EAA</x:v>
      </x:c>
      <x:c r="V261" s="80" t="str">
        <x:v>Coleção principal (~1:64)</x:v>
      </x:c>
      <x:c r="W261" s="82" t="str">
        <x:v>https://hotwheels.fandom.com/wiki/1995_BMW_M3_LTW</x:v>
      </x:c>
      <x:c r="X261" s="82" t="str">
        <x:v>https://hotwheels.fandom.com/wiki/1995_BMW_M3_LTW</x:v>
      </x:c>
    </x:row>
    <x:row r="262">
      <x:c r="A262" s="80" t="str">
        <x:v>Não</x:v>
      </x:c>
      <x:c r="B262" s="80" t="str">
        <x:v>3 — Caça de longo prazo</x:v>
      </x:c>
      <x:c r="C262" s="81" t="n">
        <x:v>2025</x:v>
      </x:c>
      <x:c r="D262" s="80" t="str">
        <x:v>2006 BMW M3</x:v>
      </x:c>
      <x:c r="E262" s="80" t="str">
        <x:v>2006 BMW M3</x:v>
      </x:c>
      <x:c r="F262" s="82" t="str">
        <x:v>RLC Exclusive</x:v>
      </x:c>
      <x:c r="G262" s="80" t="str"/>
      <x:c r="H262" s="80" t="str"/>
      <x:c r="I262" s="83" t="str">
        <x:v>JCP11</x:v>
      </x:c>
      <x:c r="J262" s="80" t="str">
        <x:v>Spectraflame red</x:v>
      </x:c>
      <x:c r="K262" s="82" t="str">
        <x:v>Detailed trim, headlights, taillights and engine, BMW M diagonals, Michelin, Eibach and Motul logos on doors, BMW M stripes, "3" on sides and hood, "LETSGO" Hot Wheels license plate</x:v>
      </x:c>
      <x:c r="L262" s="82" t="str">
        <x:v>Chrome rim, silver RR5SPM</x:v>
      </x:c>
      <x:c r="M262" s="82" t="str">
        <x:v>Matte black / Metal</x:v>
      </x:c>
      <x:c r="N262" s="82" t="str">
        <x:v>Light smoke tint</x:v>
      </x:c>
      <x:c r="O262" s="82" t="str">
        <x:v>Black</x:v>
      </x:c>
      <x:c r="P262" s="82" t="str">
        <x:v>China</x:v>
      </x:c>
      <x:c r="Q262" s="82" t="str">
        <x:v>RLC / HWC</x:v>
      </x:c>
      <x:c r="R262" s="82" t="str">
        <x:v>RLC / HWC</x:v>
      </x:c>
      <x:c r="S262" s="82" t="str">
        <x:v>Muito rara</x:v>
      </x:c>
      <x:c r="T262" s="82" t="str">
        <x:v>Lançado</x:v>
      </x:c>
      <x:c r="U262" s="82" t="str">
        <x:v>Production code(s): 2814EAA, 2824EAA, 2934EAA, 2944EAA, 2974EAA</x:v>
      </x:c>
      <x:c r="V262" s="80" t="str">
        <x:v>Coleção principal (~1:64)</x:v>
      </x:c>
      <x:c r="W262" s="82" t="str">
        <x:v>https://hotwheels.fandom.com/wiki/2006_BMW_M3</x:v>
      </x:c>
      <x:c r="X262" s="82" t="str">
        <x:v>https://hotwheels.fandom.com/wiki/2006_BMW_M3</x:v>
      </x:c>
    </x:row>
    <x:row r="263">
      <x:c r="A263" s="80" t="str">
        <x:v>Não</x:v>
      </x:c>
      <x:c r="B263" s="80" t="str">
        <x:v>3 — Caça de longo prazo</x:v>
      </x:c>
      <x:c r="C263" s="81" t="n">
        <x:v>2025</x:v>
      </x:c>
      <x:c r="D263" s="80" t="str">
        <x:v>BMW M3 Wagon</x:v>
      </x:c>
      <x:c r="E263" s="80" t="str">
        <x:v>BMW M3 Wagon</x:v>
      </x:c>
      <x:c r="F263" s="82" t="str">
        <x:v>HW Wagons 5/5</x:v>
      </x:c>
      <x:c r="G263" s="80" t="str"/>
      <x:c r="H263" s="80" t="str">
        <x:v>245/250</x:v>
      </x:c>
      <x:c r="I263" s="83" t="str">
        <x:v>JBC48</x:v>
      </x:c>
      <x:c r="J263" s="80" t="str">
        <x:v>Spectraflame green</x:v>
      </x:c>
      <x:c r="K263" s="82" t="str">
        <x:v>Gold accents, white hexagons, "TEAM HW", "91", Castrol logo, "FC", "ANDRIEU", "STANLEY" on sides, Hot Wheels logo on rear fender, TH logo on front fender</x:v>
      </x:c>
      <x:c r="L263" s="82" t="str">
        <x:v>Chrome Gold Rim, White RRA</x:v>
      </x:c>
      <x:c r="M263" s="82" t="str">
        <x:v>White / Plastic</x:v>
      </x:c>
      <x:c r="N263" s="82" t="str">
        <x:v>Smoke tint</x:v>
      </x:c>
      <x:c r="O263" s="82" t="str">
        <x:v>Black</x:v>
      </x:c>
      <x:c r="P263" s="82" t="str">
        <x:v>Malaysia</x:v>
      </x:c>
      <x:c r="Q263" s="82" t="str">
        <x:v>Super Treasure Hunt</x:v>
      </x:c>
      <x:c r="R263" s="82" t="str">
        <x:v>Mainline especial</x:v>
      </x:c>
      <x:c r="S263" s="82" t="str">
        <x:v>Muito rara</x:v>
      </x:c>
      <x:c r="T263" s="82" t="str">
        <x:v>Lançado</x:v>
      </x:c>
      <x:c r="U263" s="82" t="str">
        <x:v>Super Treasure Hunt Base code(s): U24N</x:v>
      </x:c>
      <x:c r="V263" s="80" t="str">
        <x:v>Coleção principal (~1:64)</x:v>
      </x:c>
      <x:c r="W263" s="82" t="str">
        <x:v>https://hotwheels.fandom.com/wiki/BMW_M3_Wagon</x:v>
      </x:c>
      <x:c r="X263" s="82" t="str">
        <x:v>https://hotwheels.fandom.com/wiki/BMW_M3_Wagon</x:v>
      </x:c>
    </x:row>
    <x:row r="264">
      <x:c r="A264" s="80" t="str">
        <x:v>Não</x:v>
      </x:c>
      <x:c r="B264" s="80" t="str">
        <x:v>3 — Caça de longo prazo</x:v>
      </x:c>
      <x:c r="C264" s="81" t="n">
        <x:v>2024</x:v>
      </x:c>
      <x:c r="D264" s="80" t="str">
        <x:v>BMW 507</x:v>
      </x:c>
      <x:c r="E264" s="80" t="str">
        <x:v>BMW 507</x:v>
      </x:c>
      <x:c r="F264" s="82" t="str">
        <x:v>HW Roadsters 4/5</x:v>
      </x:c>
      <x:c r="G264" s="80" t="str"/>
      <x:c r="H264" s="80" t="str">
        <x:v>067/250</x:v>
      </x:c>
      <x:c r="I264" s="83" t="str">
        <x:v>HTF32</x:v>
      </x:c>
      <x:c r="J264" s="80" t="str">
        <x:v>Spectraflame Gelb</x:v>
      </x:c>
      <x:c r="K264" s="82" t="str">
        <x:v>Detailed front and side trim, "822", BMW badging on sides, TH logo below number</x:v>
      </x:c>
      <x:c r="L264" s="82" t="str">
        <x:v>Chrome rim black SRR</x:v>
      </x:c>
      <x:c r="M264" s="82" t="str">
        <x:v>Chrome / Plastic</x:v>
      </x:c>
      <x:c r="N264" s="82" t="str">
        <x:v>Clear</x:v>
      </x:c>
      <x:c r="O264" s="82" t="str">
        <x:v>Black</x:v>
      </x:c>
      <x:c r="P264" s="82" t="str">
        <x:v>Malaysia</x:v>
      </x:c>
      <x:c r="Q264" s="82" t="str">
        <x:v>Super Treasure Hunt</x:v>
      </x:c>
      <x:c r="R264" s="82" t="str">
        <x:v>Mainline especial</x:v>
      </x:c>
      <x:c r="S264" s="82" t="str">
        <x:v>Muito rara</x:v>
      </x:c>
      <x:c r="T264" s="82" t="str">
        <x:v>Lançado</x:v>
      </x:c>
      <x:c r="U264" s="82" t="str">
        <x:v>Super Treasure Hunt Base code(s):</x:v>
      </x:c>
      <x:c r="V264" s="80" t="str">
        <x:v>Coleção principal (~1:64)</x:v>
      </x:c>
      <x:c r="W264" s="82" t="str">
        <x:v>https://hotwheels.fandom.com/wiki/BMW_507</x:v>
      </x:c>
      <x:c r="X264" s="82" t="str">
        <x:v>https://hotwheels.fandom.com/wiki/BMW_507</x:v>
      </x:c>
    </x:row>
    <x:row r="265">
      <x:c r="A265" s="80" t="str">
        <x:v>Não</x:v>
      </x:c>
      <x:c r="B265" s="80" t="str">
        <x:v>3 — Caça de longo prazo</x:v>
      </x:c>
      <x:c r="C265" s="81" t="n">
        <x:v>2023</x:v>
      </x:c>
      <x:c r="D265" s="80" t="str">
        <x:v>1991 BMW M3</x:v>
      </x:c>
      <x:c r="E265" s="80" t="str">
        <x:v>1991 BMW M3</x:v>
      </x:c>
      <x:c r="F265" s="82" t="str">
        <x:v>RLC Exclusive</x:v>
      </x:c>
      <x:c r="G265" s="80" t="str"/>
      <x:c r="H265" s="80" t="str"/>
      <x:c r="I265" s="83" t="str">
        <x:v>HNL25</x:v>
      </x:c>
      <x:c r="J265" s="80" t="str">
        <x:v>Spectraflame red</x:v>
      </x:c>
      <x:c r="K265" s="82" t="str">
        <x:v>Detailed front &amp; rear lights, "M3" on grille and truck, BMW logo on hood and trunk, "MMM3" on rear license plate with "Hot Wheels" for state location</x:v>
      </x:c>
      <x:c r="L265" s="82" t="str">
        <x:v>Gold D7RR</x:v>
      </x:c>
      <x:c r="M265" s="82" t="str">
        <x:v>Matte black / Metal</x:v>
      </x:c>
      <x:c r="N265" s="82" t="str">
        <x:v>Smoke tint</x:v>
      </x:c>
      <x:c r="O265" s="82" t="str">
        <x:v>Black</x:v>
      </x:c>
      <x:c r="P265" s="82" t="str">
        <x:v>China</x:v>
      </x:c>
      <x:c r="Q265" s="82" t="str">
        <x:v>RLC / HWC</x:v>
      </x:c>
      <x:c r="R265" s="82" t="str">
        <x:v>RLC / HWC</x:v>
      </x:c>
      <x:c r="S265" s="82" t="str">
        <x:v>Muito rara</x:v>
      </x:c>
      <x:c r="T265" s="82" t="str">
        <x:v>Lançado</x:v>
      </x:c>
      <x:c r="U265" s="82" t="str">
        <x:v>Production code(s): 1803EAA, 1873EAA, 1963EAA, 2023EAA</x:v>
      </x:c>
      <x:c r="V265" s="80" t="str">
        <x:v>Coleção principal (~1:64)</x:v>
      </x:c>
      <x:c r="W265" s="82" t="str">
        <x:v>https://hotwheels.fandom.com/wiki/1991_BMW_M3</x:v>
      </x:c>
      <x:c r="X265" s="82" t="str">
        <x:v>https://hotwheels.fandom.com/wiki/1991_BMW_M3</x:v>
      </x:c>
    </x:row>
    <x:row r="266">
      <x:c r="A266" s="80" t="str">
        <x:v>Não</x:v>
      </x:c>
      <x:c r="B266" s="80" t="str">
        <x:v>3 — Caça de longo prazo</x:v>
      </x:c>
      <x:c r="C266" s="81" t="n">
        <x:v>2023</x:v>
      </x:c>
      <x:c r="D266" s="80" t="str">
        <x:v>2001 BMW M5</x:v>
      </x:c>
      <x:c r="E266" s="80" t="str">
        <x:v>2001 BMW M5</x:v>
      </x:c>
      <x:c r="F266" s="82" t="str">
        <x:v>37th Annual Hot Wheels Collectors Convention / 3/3</x:v>
      </x:c>
      <x:c r="G266" s="80" t="str"/>
      <x:c r="H266" s="80" t="str"/>
      <x:c r="I266" s="83" t="str">
        <x:v>HNL08</x:v>
      </x:c>
      <x:c r="J266" s="80" t="str">
        <x:v>Spectraflame steel blue</x:v>
      </x:c>
      <x:c r="K266" s="82" t="str">
        <x:v>Detailed trim</x:v>
      </x:c>
      <x:c r="L266" s="82" t="str">
        <x:v>RR10SPM</x:v>
      </x:c>
      <x:c r="M266" s="82" t="str">
        <x:v>Black / / / Metal</x:v>
      </x:c>
      <x:c r="N266" s="82" t="str">
        <x:v>Smoke tint</x:v>
      </x:c>
      <x:c r="O266" s="82" t="str">
        <x:v>Black</x:v>
      </x:c>
      <x:c r="P266" s="82" t="str">
        <x:v>Thailand</x:v>
      </x:c>
      <x:c r="Q266" s="82" t="str">
        <x:v>Convenção</x:v>
      </x:c>
      <x:c r="R266" s="82" t="str">
        <x:v>RLC / HWC</x:v>
      </x:c>
      <x:c r="S266" s="82" t="str">
        <x:v>Muito rara</x:v>
      </x:c>
      <x:c r="T266" s="82" t="str">
        <x:v>Lançado</x:v>
      </x:c>
      <x:c r="U266" s="82" t="str">
        <x:v>Finale Car / Base code(s): S22</x:v>
      </x:c>
      <x:c r="V266" s="80" t="str">
        <x:v>Coleção principal (~1:64)</x:v>
      </x:c>
      <x:c r="W266" s="82" t="str">
        <x:v>https://hotwheels.fandom.com/wiki/2001_BMW_M5</x:v>
      </x:c>
      <x:c r="X266" s="82" t="str">
        <x:v>https://hotwheels.fandom.com/wiki/2001_BMW_M5</x:v>
      </x:c>
    </x:row>
    <x:row r="267">
      <x:c r="A267" s="80" t="str">
        <x:v>Não</x:v>
      </x:c>
      <x:c r="B267" s="80" t="str">
        <x:v>3 — Caça de longo prazo</x:v>
      </x:c>
      <x:c r="C267" s="81" t="n">
        <x:v>2023</x:v>
      </x:c>
      <x:c r="D267" s="80" t="str">
        <x:v>2001 BMW M5</x:v>
      </x:c>
      <x:c r="E267" s="80" t="str">
        <x:v>2001 BMW M5</x:v>
      </x:c>
      <x:c r="F267" s="82" t="str">
        <x:v>37th Annual Hot Wheels Collectors Convention 3/3</x:v>
      </x:c>
      <x:c r="G267" s="80" t="str"/>
      <x:c r="H267" s="80" t="str"/>
      <x:c r="I267" s="83" t="str">
        <x:v>HNL08</x:v>
      </x:c>
      <x:c r="J267" s="80" t="str">
        <x:v>Spectraflame steel blue</x:v>
      </x:c>
      <x:c r="K267" s="82" t="str">
        <x:v>Detailed trim</x:v>
      </x:c>
      <x:c r="L267" s="82" t="str">
        <x:v>Gray RR10SPM</x:v>
      </x:c>
      <x:c r="M267" s="82" t="str">
        <x:v>Black / Metal</x:v>
      </x:c>
      <x:c r="N267" s="82" t="str">
        <x:v>Smoke tint</x:v>
      </x:c>
      <x:c r="O267" s="82" t="str">
        <x:v>Black</x:v>
      </x:c>
      <x:c r="P267" s="82" t="str">
        <x:v>Thailand</x:v>
      </x:c>
      <x:c r="Q267" s="82" t="str">
        <x:v>Convenção</x:v>
      </x:c>
      <x:c r="R267" s="82" t="str">
        <x:v>RLC / HWC</x:v>
      </x:c>
      <x:c r="S267" s="82" t="str">
        <x:v>Muito rara</x:v>
      </x:c>
      <x:c r="T267" s="82" t="str">
        <x:v>Lançado</x:v>
      </x:c>
      <x:c r="U267" s="82" t="str">
        <x:v>Finale Car Base code(s): S22</x:v>
      </x:c>
      <x:c r="V267" s="80" t="str">
        <x:v>Coleção principal (~1:64)</x:v>
      </x:c>
      <x:c r="W267" s="82" t="str">
        <x:v>https://hotwheels.fandom.com/wiki/2001_BMW_M5</x:v>
      </x:c>
      <x:c r="X267" s="82" t="str">
        <x:v>https://hotwheels.fandom.com/wiki/2001_BMW_M5</x:v>
      </x:c>
    </x:row>
    <x:row r="268">
      <x:c r="A268" s="80" t="str">
        <x:v>Não</x:v>
      </x:c>
      <x:c r="B268" s="80" t="str">
        <x:v>3 — Caça de longo prazo</x:v>
      </x:c>
      <x:c r="C268" s="81" t="n">
        <x:v>2022</x:v>
      </x:c>
      <x:c r="D268" s="80" t="str">
        <x:v>'73 BMW 3.0 CSL Race Car</x:v>
      </x:c>
      <x:c r="E268" s="80" t="str">
        <x:v>'73 BMW 3.0 CSL Race Car</x:v>
      </x:c>
      <x:c r="F268" s="82" t="str">
        <x:v>Retro Racers 2/10</x:v>
      </x:c>
      <x:c r="G268" s="80" t="str"/>
      <x:c r="H268" s="80" t="str">
        <x:v>034/250</x:v>
      </x:c>
      <x:c r="I268" s="83" t="str">
        <x:v>HCY20</x:v>
      </x:c>
      <x:c r="J268" s="80" t="str">
        <x:v>Spectraflame Yellow</x:v>
      </x:c>
      <x:c r="K268" s="82" t="str">
        <x:v>Red &amp; black detailing, "73", Bilstein &amp; Castrol logos on side</x:v>
      </x:c>
      <x:c r="L268" s="82" t="str">
        <x:v>RR8SP</x:v>
      </x:c>
      <x:c r="M268" s="82" t="str">
        <x:v>Red / Plastic</x:v>
      </x:c>
      <x:c r="N268" s="82" t="str">
        <x:v>Smoke tint</x:v>
      </x:c>
      <x:c r="O268" s="82" t="str">
        <x:v>Black</x:v>
      </x:c>
      <x:c r="P268" s="82" t="str">
        <x:v>Malaysia</x:v>
      </x:c>
      <x:c r="Q268" s="82" t="str">
        <x:v>Super Treasure Hunt</x:v>
      </x:c>
      <x:c r="R268" s="82" t="str">
        <x:v>Mainline especial</x:v>
      </x:c>
      <x:c r="S268" s="82" t="str">
        <x:v>Muito rara</x:v>
      </x:c>
      <x:c r="T268" s="82" t="str">
        <x:v>Lançado</x:v>
      </x:c>
      <x:c r="U268" s="82" t="str">
        <x:v>Super Treasure Hunt Base code(s): P35</x:v>
      </x:c>
      <x:c r="V268" s="80" t="str">
        <x:v>Coleção principal (~1:64)</x:v>
      </x:c>
      <x:c r="W268" s="82" t="str">
        <x:v>https://hotwheels.fandom.com/wiki/%2773_BMW_3.0_CSL_Race_Car</x:v>
      </x:c>
      <x:c r="X268" s="82" t="str">
        <x:v>https://hotwheels.fandom.com/wiki/%2773_BMW_3.0_CSL_Race_Car</x:v>
      </x:c>
    </x:row>
    <x:row r="269">
      <x:c r="A269" s="80" t="str">
        <x:v>Não</x:v>
      </x:c>
      <x:c r="B269" s="80" t="str">
        <x:v>3 — Caça de longo prazo</x:v>
      </x:c>
      <x:c r="C269" s="81" t="n">
        <x:v>2022</x:v>
      </x:c>
      <x:c r="D269" s="80" t="str">
        <x:v>1991 BMW M3</x:v>
      </x:c>
      <x:c r="E269" s="80" t="str">
        <x:v>1991 BMW M3</x:v>
      </x:c>
      <x:c r="F269" s="82" t="str">
        <x:v>RLC Exclusive</x:v>
      </x:c>
      <x:c r="G269" s="80" t="str"/>
      <x:c r="H269" s="80" t="str"/>
      <x:c r="I269" s="83" t="str">
        <x:v>GXJ17</x:v>
      </x:c>
      <x:c r="J269" s="80" t="str">
        <x:v>Spectraflame Steel Blue</x:v>
      </x:c>
      <x:c r="K269" s="82" t="str">
        <x:v>Detailed headlights, taillights and trim, "E30M3" license plate</x:v>
      </x:c>
      <x:c r="L269" s="82" t="str">
        <x:v>RR10SPM</x:v>
      </x:c>
      <x:c r="M269" s="82" t="str">
        <x:v>Matte black / Metal</x:v>
      </x:c>
      <x:c r="N269" s="82" t="str">
        <x:v>Clear</x:v>
      </x:c>
      <x:c r="O269" s="82" t="str">
        <x:v>Black</x:v>
      </x:c>
      <x:c r="P269" s="82" t="str">
        <x:v>China</x:v>
      </x:c>
      <x:c r="Q269" s="82" t="str">
        <x:v>RLC / HWC</x:v>
      </x:c>
      <x:c r="R269" s="82" t="str">
        <x:v>RLC / HWC</x:v>
      </x:c>
      <x:c r="S269" s="82" t="str">
        <x:v>Muito rara</x:v>
      </x:c>
      <x:c r="T269" s="82" t="str">
        <x:v>Lançado</x:v>
      </x:c>
      <x:c r="U269" s="82" t="str">
        <x:v>30,000 producedProduction code(s): 2731 EAA</x:v>
      </x:c>
      <x:c r="V269" s="80" t="str">
        <x:v>Coleção principal (~1:64)</x:v>
      </x:c>
      <x:c r="W269" s="82" t="str">
        <x:v>https://hotwheels.fandom.com/wiki/1991_BMW_M3</x:v>
      </x:c>
      <x:c r="X269" s="82" t="str">
        <x:v>https://hotwheels.fandom.com/wiki/1991_BMW_M3</x:v>
      </x:c>
    </x:row>
    <x:row r="270">
      <x:c r="A270" s="80" t="str">
        <x:v>Não</x:v>
      </x:c>
      <x:c r="B270" s="80" t="str">
        <x:v>3 — Caça de longo prazo</x:v>
      </x:c>
      <x:c r="C270" s="81" t="n">
        <x:v>2022</x:v>
      </x:c>
      <x:c r="D270" s="80" t="str">
        <x:v>2006 BMW M3</x:v>
      </x:c>
      <x:c r="E270" s="80" t="str">
        <x:v>2006 BMW M3</x:v>
      </x:c>
      <x:c r="F270" s="82" t="str">
        <x:v>RLC Exclusive</x:v>
      </x:c>
      <x:c r="G270" s="80" t="str"/>
      <x:c r="H270" s="80" t="str"/>
      <x:c r="I270" s="83" t="str">
        <x:v>GXJ28</x:v>
      </x:c>
      <x:c r="J270" s="80" t="str">
        <x:v>Spectraflame Otto Blue</x:v>
      </x:c>
      <x:c r="K270" s="82" t="str">
        <x:v>Detailed trim, headlights, taillights and engine, "BM3R" license plate</x:v>
      </x:c>
      <x:c r="L270" s="82" t="str">
        <x:v>GRR6SPM</x:v>
      </x:c>
      <x:c r="M270" s="82" t="str">
        <x:v>Matte black / Metal</x:v>
      </x:c>
      <x:c r="N270" s="82" t="str">
        <x:v>Smoke tint</x:v>
      </x:c>
      <x:c r="O270" s="82" t="str">
        <x:v>Matte gray</x:v>
      </x:c>
      <x:c r="P270" s="82" t="str">
        <x:v>China</x:v>
      </x:c>
      <x:c r="Q270" s="82" t="str">
        <x:v>RLC / HWC</x:v>
      </x:c>
      <x:c r="R270" s="82" t="str">
        <x:v>RLC / HWC</x:v>
      </x:c>
      <x:c r="S270" s="82" t="str">
        <x:v>Muito rara</x:v>
      </x:c>
      <x:c r="T270" s="82" t="str">
        <x:v>Lançado</x:v>
      </x:c>
      <x:c r="U270" s="82" t="str">
        <x:v>30,000 produced Production code(s): 2021EAA, 2391EAA</x:v>
      </x:c>
      <x:c r="V270" s="80" t="str">
        <x:v>Coleção principal (~1:64)</x:v>
      </x:c>
      <x:c r="W270" s="82" t="str">
        <x:v>https://hotwheels.fandom.com/wiki/2006_BMW_M3</x:v>
      </x:c>
      <x:c r="X270" s="82" t="str">
        <x:v>https://hotwheels.fandom.com/wiki/2006_BMW_M3</x:v>
      </x:c>
    </x:row>
    <x:row r="271">
      <x:c r="A271" s="80" t="str">
        <x:v>Não</x:v>
      </x:c>
      <x:c r="B271" s="80" t="str">
        <x:v>3 — Caça de longo prazo</x:v>
      </x:c>
      <x:c r="C271" s="81" t="n">
        <x:v>2022</x:v>
      </x:c>
      <x:c r="D271" s="80" t="str">
        <x:v>BMW M3 E46</x:v>
      </x:c>
      <x:c r="E271" s="80" t="str">
        <x:v>BMW M3 E46</x:v>
      </x:c>
      <x:c r="F271" s="82" t="str">
        <x:v>Mexico Hot Wheels Convention</x:v>
      </x:c>
      <x:c r="G271" s="80" t="str"/>
      <x:c r="H271" s="80" t="str"/>
      <x:c r="I271" s="83" t="str">
        <x:v>HGK71</x:v>
      </x:c>
      <x:c r="J271" s="80" t="str">
        <x:v>Alpine White</x:v>
      </x:c>
      <x:c r="K271" s="82" t="str">
        <x:v>Detailed headlights, taillights, M3XICO and trim, BMW color livery, "HW/MX 22" on sides</x:v>
      </x:c>
      <x:c r="L271" s="82" t="str">
        <x:v>RR10SPM</x:v>
      </x:c>
      <x:c r="M271" s="82" t="str">
        <x:v>Black / Metal</x:v>
      </x:c>
      <x:c r="N271" s="82" t="str">
        <x:v>Smoke tint</x:v>
      </x:c>
      <x:c r="O271" s="82" t="str">
        <x:v>Black</x:v>
      </x:c>
      <x:c r="P271" s="82" t="str">
        <x:v>Thailand</x:v>
      </x:c>
      <x:c r="Q271" s="82" t="str">
        <x:v>Convenção</x:v>
      </x:c>
      <x:c r="R271" s="82" t="str">
        <x:v>Convenção / evento</x:v>
      </x:c>
      <x:c r="S271" s="82" t="str">
        <x:v>Muito rara</x:v>
      </x:c>
      <x:c r="T271" s="82" t="str">
        <x:v>Lançado</x:v>
      </x:c>
      <x:c r="U271" s="82" t="str">
        <x:v>Named BMW M3 (E46) Base code(s): R29</x:v>
      </x:c>
      <x:c r="V271" s="80" t="str">
        <x:v>Coleção principal (~1:64)</x:v>
      </x:c>
      <x:c r="W271" s="82" t="str">
        <x:v>https://hotwheels.fandom.com/wiki/BMW_M3_E46</x:v>
      </x:c>
      <x:c r="X271" s="82" t="str">
        <x:v>https://hotwheels.fandom.com/wiki/BMW_M3_E46</x:v>
      </x:c>
    </x:row>
    <x:row r="272">
      <x:c r="A272" s="80" t="str">
        <x:v>Não</x:v>
      </x:c>
      <x:c r="B272" s="80" t="str">
        <x:v>3 — Caça de longo prazo</x:v>
      </x:c>
      <x:c r="C272" s="81" t="n">
        <x:v>2021</x:v>
      </x:c>
      <x:c r="D272" s="80" t="str">
        <x:v>2006 BMW M3</x:v>
      </x:c>
      <x:c r="E272" s="80" t="str">
        <x:v>2006 BMW M3</x:v>
      </x:c>
      <x:c r="F272" s="82" t="str">
        <x:v>RLC Exclusive</x:v>
      </x:c>
      <x:c r="G272" s="80" t="str"/>
      <x:c r="H272" s="80" t="str"/>
      <x:c r="I272" s="83" t="str">
        <x:v>GLH84</x:v>
      </x:c>
      <x:c r="J272" s="80" t="str">
        <x:v>Spectraflame yellow</x:v>
      </x:c>
      <x:c r="K272" s="82" t="str">
        <x:v>Detailed trim, headlights, taillights, engine</x:v>
      </x:c>
      <x:c r="L272" s="82" t="str">
        <x:v>Silver RR10SPM</x:v>
      </x:c>
      <x:c r="M272" s="82" t="str">
        <x:v>Matte black / Metal</x:v>
      </x:c>
      <x:c r="N272" s="82" t="str">
        <x:v>Smoke tint</x:v>
      </x:c>
      <x:c r="O272" s="82" t="str">
        <x:v>Dark gray</x:v>
      </x:c>
      <x:c r="P272" s="82" t="str">
        <x:v>China</x:v>
      </x:c>
      <x:c r="Q272" s="82" t="str">
        <x:v>RLC / HWC</x:v>
      </x:c>
      <x:c r="R272" s="82" t="str">
        <x:v>RLC / HWC</x:v>
      </x:c>
      <x:c r="S272" s="82" t="str">
        <x:v>Muito rara</x:v>
      </x:c>
      <x:c r="T272" s="82" t="str">
        <x:v>Lançado</x:v>
      </x:c>
      <x:c r="U272" s="82" t="str">
        <x:v>20,000 produced</x:v>
      </x:c>
      <x:c r="V272" s="80" t="str">
        <x:v>Coleção principal (~1:64)</x:v>
      </x:c>
      <x:c r="W272" s="82" t="str">
        <x:v>https://hotwheels.fandom.com/wiki/2006_BMW_M3</x:v>
      </x:c>
      <x:c r="X272" s="82" t="str">
        <x:v>https://hotwheels.fandom.com/wiki/2006_BMW_M3</x:v>
      </x:c>
    </x:row>
    <x:row r="273">
      <x:c r="A273" s="80" t="str">
        <x:v>Não</x:v>
      </x:c>
      <x:c r="B273" s="80" t="str">
        <x:v>3 — Caça de longo prazo</x:v>
      </x:c>
      <x:c r="C273" s="81" t="n">
        <x:v>2016</x:v>
      </x:c>
      <x:c r="D273" s="80" t="str">
        <x:v>BMW Z4 M Motorsport</x:v>
      </x:c>
      <x:c r="E273" s="80" t="str">
        <x:v>BMW Z4 M Motorsport</x:v>
      </x:c>
      <x:c r="F273" s="82" t="str">
        <x:v>BMW 3/5</x:v>
      </x:c>
      <x:c r="G273" s="80" t="str"/>
      <x:c r="H273" s="80" t="str">
        <x:v>188/250</x:v>
      </x:c>
      <x:c r="I273" s="83" t="str">
        <x:v>DHT86</x:v>
      </x:c>
      <x:c r="J273" s="80" t="str">
        <x:v>Spectraflame Dark Blue</x:v>
      </x:c>
      <x:c r="K273" s="82" t="str">
        <x:v>Red &amp; Blue stripes on sides &amp; hood, '44' on sides &amp; hood, BMW logo on sides &amp; hood</x:v>
      </x:c>
      <x:c r="L273" s="82" t="str">
        <x:v>D7RR</x:v>
      </x:c>
      <x:c r="M273" s="82" t="str">
        <x:v>Metalflake Gray / Plastic</x:v>
      </x:c>
      <x:c r="N273" s="82" t="str">
        <x:v>Clear</x:v>
      </x:c>
      <x:c r="O273" s="82" t="str">
        <x:v>Gray</x:v>
      </x:c>
      <x:c r="P273" s="82" t="str">
        <x:v>Malaysia</x:v>
      </x:c>
      <x:c r="Q273" s="82" t="str">
        <x:v>Super Treasure Hunt</x:v>
      </x:c>
      <x:c r="R273" s="82" t="str">
        <x:v>Mainline especial</x:v>
      </x:c>
      <x:c r="S273" s="82" t="str">
        <x:v>Muito rara</x:v>
      </x:c>
      <x:c r="T273" s="82" t="str">
        <x:v>Lançado</x:v>
      </x:c>
      <x:c r="U273" s="82" t="str">
        <x:v>Super Treasure Hunt Base code(s): J09, J10, J12, J14</x:v>
      </x:c>
      <x:c r="V273" s="80" t="str">
        <x:v>Coleção principal (~1:64)</x:v>
      </x:c>
      <x:c r="W273" s="82" t="str">
        <x:v>https://hotwheels.fandom.com/wiki/BMW_Z4_M_Motorsport</x:v>
      </x:c>
      <x:c r="X273" s="82" t="str">
        <x:v>https://hotwheels.fandom.com/wiki/BMW_Z4_M_Motorsport</x:v>
      </x:c>
    </x:row>
  </x:sheetData>
  <x:mergeCells>
    <x:mergeCell ref="A1:X1"/>
    <x:mergeCell ref="A2:X2"/>
  </x:mergeCells>
  <x:conditionalFormatting sqref="A5:A273">
    <x:cfRule type="expression" dxfId="0" priority="1">
      <x:formula>$A5="Tenho"</x:formula>
    </x:cfRule>
    <x:cfRule type="expression" dxfId="1" priority="2">
      <x:formula>$A5="A caminho"</x:formula>
    </x:cfRule>
  </x:conditionalFormatting>
  <x:conditionalFormatting sqref="B5:B273">
    <x:cfRule type="expression" dxfId="2" priority="3">
      <x:formula>LEFT($B5,1)="1"</x:formula>
    </x:cfRule>
  </x:conditionalFormatting>
  <x:conditionalFormatting sqref="T5:T273">
    <x:cfRule type="expression" dxfId="3" priority="4">
      <x:formula>ISNUMBER(SEARCH("confirmar",$T5))</x:formula>
    </x:cfRule>
  </x:conditionalFormatting>
  <x:dataValidations count="1">
    <x:dataValidation type="list" sqref="A5:A273">
      <x:formula1>"Não,Tenho,A caminho"</x:formula1>
    </x:dataValidation>
  </x:dataValidations>
  <x:pageMargins left="0.7" right="0.7" top="0.75" bottom="0.75" header="0.3" footer="0.3"/>
  <x:tableParts count="1">
    <x:tablePart xmlns:r="http://schemas.openxmlformats.org/officeDocument/2006/relationships" r:id="R8479c7e2fba642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8" hidden="0" customWidth="1"/>
    <x:col min="4" max="4" width="28" hidden="0" customWidth="1"/>
    <x:col min="5" max="5" width="25" hidden="0" customWidth="1"/>
    <x:col min="6" max="6" width="32" hidden="0" customWidth="1"/>
    <x:col min="7" max="7" width="11" hidden="0" customWidth="1"/>
    <x:col min="8" max="8" width="12" hidden="0" customWidth="1"/>
    <x:col min="9" max="9" width="16" hidden="0" customWidth="1"/>
    <x:col min="10" max="10" width="24" hidden="0" customWidth="1"/>
    <x:col min="11" max="11" width="38" hidden="0" customWidth="1"/>
    <x:col min="12" max="12" width="24" hidden="0" customWidth="1"/>
    <x:col min="13" max="13" width="24" hidden="0" customWidth="1"/>
    <x:col min="14" max="14" width="18" hidden="0" customWidth="1"/>
    <x:col min="15" max="15" width="18" hidden="0" customWidth="1"/>
    <x:col min="16" max="16" width="13" hidden="0" customWidth="1"/>
    <x:col min="17" max="17" width="27" hidden="0" customWidth="1"/>
    <x:col min="18" max="18" width="22" hidden="0" customWidth="1"/>
    <x:col min="19" max="19" width="20" hidden="0" customWidth="1"/>
    <x:col min="20" max="20" width="27" hidden="0" customWidth="1"/>
    <x:col min="21" max="21" width="38" hidden="0" customWidth="1"/>
    <x:col min="22" max="22" width="24" hidden="0" customWidth="1"/>
    <x:col min="23" max="23" width="45" hidden="0" customWidth="1"/>
    <x:col min="24" max="24" width="45" hidden="0" customWidth="1"/>
  </x:cols>
  <x:sheetData>
    <x:row r="1" ht="34" customHeight="1">
      <x:c r="A1" s="77" t="str">
        <x:v>Hot Wheels Porsche — checklist completo</x:v>
      </x:c>
      <x:c r="B1" s="77"/>
      <x:c r="C1" s="77"/>
      <x:c r="D1" s="77"/>
      <x:c r="E1" s="77"/>
      <x:c r="F1" s="77"/>
      <x:c r="G1" s="77"/>
      <x:c r="H1" s="77"/>
      <x:c r="I1" s="77"/>
      <x:c r="J1" s="77"/>
      <x:c r="K1" s="77"/>
      <x:c r="L1" s="77"/>
      <x:c r="M1" s="77"/>
      <x:c r="N1" s="77"/>
      <x:c r="O1" s="77"/>
      <x:c r="P1" s="77"/>
      <x:c r="Q1" s="77"/>
      <x:c r="R1" s="77"/>
      <x:c r="S1" s="77"/>
      <x:c r="T1" s="77"/>
      <x:c r="U1" s="77"/>
      <x:c r="V1" s="77"/>
      <x:c r="W1" s="77"/>
      <x:c r="X1" s="77"/>
    </x:row>
    <x:row r="2" ht="30" customHeight="1">
      <x:c r="A2" s="84" t="str">
        <x:v>Coleção principal (~1:64), incluindo Mainline, Premium, RLC, convenções, exclusividades e variações visíveis até 15/08/2026.</x:v>
      </x:c>
      <x:c r="B2" s="84"/>
      <x:c r="C2" s="84"/>
      <x:c r="D2" s="84"/>
      <x:c r="E2" s="84"/>
      <x:c r="F2" s="84"/>
      <x:c r="G2" s="84"/>
      <x:c r="H2" s="84"/>
      <x:c r="I2" s="84"/>
      <x:c r="J2" s="84"/>
      <x:c r="K2" s="84"/>
      <x:c r="L2" s="84"/>
      <x:c r="M2" s="84"/>
      <x:c r="N2" s="84"/>
      <x:c r="O2" s="84"/>
      <x:c r="P2" s="84"/>
      <x:c r="Q2" s="84"/>
      <x:c r="R2" s="84"/>
      <x:c r="S2" s="84"/>
      <x:c r="T2" s="84"/>
      <x:c r="U2" s="84"/>
      <x:c r="V2" s="84"/>
      <x:c r="W2" s="84"/>
      <x:c r="X2" s="84"/>
    </x:row>
    <x:row r="3">
      <x:c r="A3" s="58"/>
      <x:c r="B3" s="58"/>
      <x:c r="C3" s="58"/>
      <x:c r="D3" s="58"/>
      <x:c r="E3" s="58"/>
      <x:c r="F3" s="58"/>
      <x:c r="G3" s="58"/>
      <x:c r="H3" s="58"/>
      <x:c r="I3" s="58"/>
      <x:c r="J3" s="58"/>
      <x:c r="K3" s="58"/>
      <x:c r="L3" s="58"/>
      <x:c r="M3" s="58"/>
      <x:c r="N3" s="58"/>
      <x:c r="O3" s="58"/>
      <x:c r="P3" s="58"/>
      <x:c r="Q3" s="58"/>
      <x:c r="R3" s="58"/>
      <x:c r="S3" s="58"/>
      <x:c r="T3" s="58"/>
      <x:c r="U3" s="58"/>
      <x:c r="V3" s="58"/>
      <x:c r="W3" s="58"/>
      <x:c r="X3" s="58"/>
    </x:row>
    <x:row r="4" ht="38" customHeight="1">
      <x:c r="A4" s="79" t="str">
        <x:v>Tenho?</x:v>
      </x:c>
      <x:c r="B4" s="79" t="str">
        <x:v>Prioridade</x:v>
      </x:c>
      <x:c r="C4" s="79" t="str">
        <x:v>Ano</x:v>
      </x:c>
      <x:c r="D4" s="79" t="str">
        <x:v>Casting</x:v>
      </x:c>
      <x:c r="E4" s="79" t="str">
        <x:v>Modelo na embalagem</x:v>
      </x:c>
      <x:c r="F4" s="79" t="str">
        <x:v>Linha / série</x:v>
      </x:c>
      <x:c r="G4" s="79" t="str">
        <x:v>Nº série</x:v>
      </x:c>
      <x:c r="H4" s="79" t="str">
        <x:v>Nº coleção</x:v>
      </x:c>
      <x:c r="I4" s="79" t="str">
        <x:v>Toy # / SKU</x:v>
      </x:c>
      <x:c r="J4" s="79" t="str">
        <x:v>Cor</x:v>
      </x:c>
      <x:c r="K4" s="79" t="str">
        <x:v>Tampo / decoração</x:v>
      </x:c>
      <x:c r="L4" s="79" t="str">
        <x:v>Rodas</x:v>
      </x:c>
      <x:c r="M4" s="79" t="str">
        <x:v>Base</x:v>
      </x:c>
      <x:c r="N4" s="79" t="str">
        <x:v>Vidros</x:v>
      </x:c>
      <x:c r="O4" s="79" t="str">
        <x:v>Interior</x:v>
      </x:c>
      <x:c r="P4" s="79" t="str">
        <x:v>País</x:v>
      </x:c>
      <x:c r="Q4" s="79" t="str">
        <x:v>Exclusividade / variação</x:v>
      </x:c>
      <x:c r="R4" s="79" t="str">
        <x:v>Tipo</x:v>
      </x:c>
      <x:c r="S4" s="79" t="str">
        <x:v>Raridade estimada</x:v>
      </x:c>
      <x:c r="T4" s="79" t="str">
        <x:v>Situação do lançamento</x:v>
      </x:c>
      <x:c r="U4" s="79" t="str">
        <x:v>Notas</x:v>
      </x:c>
      <x:c r="V4" s="79" t="str">
        <x:v>Escopo / escala</x:v>
      </x:c>
      <x:c r="W4" s="79" t="str">
        <x:v>Fonte da versão</x:v>
      </x:c>
      <x:c r="X4" s="79" t="str">
        <x:v>Página do casting</x:v>
      </x:c>
    </x:row>
    <x:row r="5">
      <x:c r="A5" s="80" t="str">
        <x:v>Não</x:v>
      </x:c>
      <x:c r="B5" s="80" t="str">
        <x:v>1 — Comprar agora</x:v>
      </x:c>
      <x:c r="C5" s="81" t="n">
        <x:v>2026</x:v>
      </x:c>
      <x:c r="D5" s="80" t="str">
        <x:v>’08 Porsche Cayenne w/ Rally Trailer</x:v>
      </x:c>
      <x:c r="E5" s="80" t="str">
        <x:v>’08 Porsche Cayenne w/ Rally Trailer</x:v>
      </x:c>
      <x:c r="F5" s="82" t="str">
        <x:v>Team Transport / Mix 4 (M) / #95 Porsche / Shell</x:v>
      </x:c>
      <x:c r="G5" s="80" t="str"/>
      <x:c r="H5" s="80" t="str"/>
      <x:c r="I5" s="83" t="str"/>
      <x:c r="J5" s="80" t="str"/>
      <x:c r="K5" s="82" t="str"/>
      <x:c r="L5" s="82" t="str"/>
      <x:c r="M5" s="82" t="str"/>
      <x:c r="N5" s="82" t="str"/>
      <x:c r="O5" s="82" t="str"/>
      <x:c r="P5" s="82" t="str"/>
      <x:c r="Q5" s="82" t="str"/>
      <x:c r="R5" s="82" t="str">
        <x:v>Premium</x:v>
      </x:c>
      <x:c r="S5" s="82" t="str">
        <x:v>Incomum</x:v>
      </x:c>
      <x:c r="T5" s="82" t="str">
        <x:v>2026 — listado; confirmar disponibilidade</x:v>
      </x:c>
      <x:c r="U5" s="82" t="str"/>
      <x:c r="V5" s="80" t="str">
        <x:v>Coleção principal (~1:64)</x:v>
      </x:c>
      <x:c r="W5" s="82" t="str">
        <x:v>https://orangetrackdiecast.com/2026-hot-wheels-master-list-of-all-lines/</x:v>
      </x:c>
      <x:c r="X5" s="82" t="str"/>
    </x:row>
    <x:row r="6">
      <x:c r="A6" s="80" t="str">
        <x:v>Não</x:v>
      </x:c>
      <x:c r="B6" s="80" t="str">
        <x:v>1 — Comprar agora</x:v>
      </x:c>
      <x:c r="C6" s="81" t="n">
        <x:v>2026</x:v>
      </x:c>
      <x:c r="D6" s="80" t="str">
        <x:v>'66 Porsche 906 Carrera 6</x:v>
      </x:c>
      <x:c r="E6" s="80" t="str">
        <x:v>'66 Porsche 906 Carrera 6</x:v>
      </x:c>
      <x:c r="F6" s="82" t="str">
        <x:v>Pop Culture: Forza</x:v>
      </x:c>
      <x:c r="G6" s="80" t="str"/>
      <x:c r="H6" s="80" t="str"/>
      <x:c r="I6" s="83" t="str">
        <x:v>JHW97</x:v>
      </x:c>
      <x:c r="J6" s="80" t="str">
        <x:v>Orange</x:v>
      </x:c>
      <x:c r="K6" s="82" t="str">
        <x:v>Detailed headlights and taillights, "Carrera 6" on sides, Forza logomark on rear fender</x:v>
      </x:c>
      <x:c r="L6" s="82" t="str">
        <x:v>Silver lip, grey SRR</x:v>
      </x:c>
      <x:c r="M6" s="82" t="str">
        <x:v>Metalflake charcoal / / / Metal</x:v>
      </x:c>
      <x:c r="N6" s="82" t="str">
        <x:v>Clear/Yellow</x:v>
      </x:c>
      <x:c r="O6" s="82" t="str">
        <x:v>Black</x:v>
      </x:c>
      <x:c r="P6" s="82" t="str">
        <x:v>Indonesia</x:v>
      </x:c>
      <x:c r="Q6" s="82" t="str"/>
      <x:c r="R6" s="82" t="str">
        <x:v>Premium</x:v>
      </x:c>
      <x:c r="S6" s="82" t="str">
        <x:v>Incomum</x:v>
      </x:c>
      <x:c r="T6" s="82" t="str">
        <x:v>2026 — listado; confirmar disponibilidade</x:v>
      </x:c>
      <x:c r="U6" s="82" t="str">
        <x:v>Base code(s): U50I</x:v>
      </x:c>
      <x:c r="V6" s="80" t="str">
        <x:v>Coleção principal (~1:64)</x:v>
      </x:c>
      <x:c r="W6" s="82" t="str">
        <x:v>https://hotwheels.fandom.com/wiki/%2766_Porsche_906_Carrera_6</x:v>
      </x:c>
      <x:c r="X6" s="82" t="str">
        <x:v>https://hotwheels.fandom.com/wiki/%2766_Porsche_906_Carrera_6</x:v>
      </x:c>
    </x:row>
    <x:row r="7">
      <x:c r="A7" s="80" t="str">
        <x:v>Não</x:v>
      </x:c>
      <x:c r="B7" s="80" t="str">
        <x:v>1 — Comprar agora</x:v>
      </x:c>
      <x:c r="C7" s="81" t="n">
        <x:v>2026</x:v>
      </x:c>
      <x:c r="D7" s="80" t="str">
        <x:v>'71 Porsche 911</x:v>
      </x:c>
      <x:c r="E7" s="80" t="str">
        <x:v>'71 Porsche 911</x:v>
      </x:c>
      <x:c r="F7" s="82" t="str">
        <x:v>Vintage Club / 4/5</x:v>
      </x:c>
      <x:c r="G7" s="80" t="str"/>
      <x:c r="H7" s="80" t="str"/>
      <x:c r="I7" s="83" t="str">
        <x:v>JKY34</x:v>
      </x:c>
      <x:c r="J7" s="80" t="str">
        <x:v>Metalflake robin egg blue</x:v>
      </x:c>
      <x:c r="K7" s="82" t="str">
        <x:v>Detailed headlights, taillights and trim, rust and weathering</x:v>
      </x:c>
      <x:c r="L7" s="82" t="str">
        <x:v>C5</x:v>
      </x:c>
      <x:c r="M7" s="82" t="str">
        <x:v>Black / / / Plastic</x:v>
      </x:c>
      <x:c r="N7" s="82" t="str">
        <x:v>Smoke tint</x:v>
      </x:c>
      <x:c r="O7" s="82" t="str">
        <x:v>Brown</x:v>
      </x:c>
      <x:c r="P7" s="82" t="str">
        <x:v>Indonesia</x:v>
      </x:c>
      <x:c r="Q7" s="82" t="str"/>
      <x:c r="R7" s="82" t="str">
        <x:v>Outra linha</x:v>
      </x:c>
      <x:c r="S7" s="82" t="str">
        <x:v>Comum / atual</x:v>
      </x:c>
      <x:c r="T7" s="82" t="str">
        <x:v>2026 — listado; confirmar disponibilidade</x:v>
      </x:c>
      <x:c r="U7" s="82" t="str">
        <x:v>Base code(s): U29I, U31I, U34I, U41I</x:v>
      </x:c>
      <x:c r="V7" s="80" t="str">
        <x:v>Coleção principal (~1:64)</x:v>
      </x:c>
      <x:c r="W7" s="82" t="str">
        <x:v>https://hotwheels.fandom.com/wiki/%2771_Porsche_911</x:v>
      </x:c>
      <x:c r="X7" s="82" t="str">
        <x:v>https://hotwheels.fandom.com/wiki/%2771_Porsche_911</x:v>
      </x:c>
    </x:row>
    <x:row r="8">
      <x:c r="A8" s="80" t="str">
        <x:v>Não</x:v>
      </x:c>
      <x:c r="B8" s="80" t="str">
        <x:v>1 — Comprar agora</x:v>
      </x:c>
      <x:c r="C8" s="81" t="n">
        <x:v>2026</x:v>
      </x:c>
      <x:c r="D8" s="80" t="str">
        <x:v>'89 Porsche 944 Turbo</x:v>
      </x:c>
      <x:c r="E8" s="80" t="str">
        <x:v>'89 Porsche 944 Turbo</x:v>
      </x:c>
      <x:c r="F8" s="82" t="str">
        <x:v>Team Transport / Mix 4 (M) / #95 Porsche / Shell</x:v>
      </x:c>
      <x:c r="G8" s="80" t="str"/>
      <x:c r="H8" s="80" t="str"/>
      <x:c r="I8" s="83" t="str"/>
      <x:c r="J8" s="80" t="str"/>
      <x:c r="K8" s="82" t="str"/>
      <x:c r="L8" s="82" t="str"/>
      <x:c r="M8" s="82" t="str"/>
      <x:c r="N8" s="82" t="str"/>
      <x:c r="O8" s="82" t="str"/>
      <x:c r="P8" s="82" t="str"/>
      <x:c r="Q8" s="82" t="str"/>
      <x:c r="R8" s="82" t="str">
        <x:v>Premium</x:v>
      </x:c>
      <x:c r="S8" s="82" t="str">
        <x:v>Incomum</x:v>
      </x:c>
      <x:c r="T8" s="82" t="str">
        <x:v>2026 — listado; confirmar disponibilidade</x:v>
      </x:c>
      <x:c r="U8" s="82" t="str"/>
      <x:c r="V8" s="80" t="str">
        <x:v>Coleção principal (~1:64)</x:v>
      </x:c>
      <x:c r="W8" s="82" t="str">
        <x:v>https://orangetrackdiecast.com/2026-hot-wheels-master-list-of-all-lines/</x:v>
      </x:c>
      <x:c r="X8" s="82" t="str">
        <x:v>https://hotwheels.fandom.com/wiki/%2789_Porsche_944_Turbo</x:v>
      </x:c>
    </x:row>
    <x:row r="9">
      <x:c r="A9" s="80" t="str">
        <x:v>Não</x:v>
      </x:c>
      <x:c r="B9" s="80" t="str">
        <x:v>1 — Comprar agora</x:v>
      </x:c>
      <x:c r="C9" s="81" t="n">
        <x:v>2026</x:v>
      </x:c>
      <x:c r="D9" s="80" t="str">
        <x:v>'96 Porsche Carrera</x:v>
      </x:c>
      <x:c r="E9" s="80" t="str">
        <x:v>'96 Porsche Carrera</x:v>
      </x:c>
      <x:c r="F9" s="82" t="str">
        <x:v>Then and Now</x:v>
      </x:c>
      <x:c r="G9" s="80" t="str">
        <x:v>4/10</x:v>
      </x:c>
      <x:c r="H9" s="80" t="str">
        <x:v>098</x:v>
      </x:c>
      <x:c r="I9" s="83" t="str">
        <x:v>JJL39</x:v>
      </x:c>
      <x:c r="J9" s="80" t="str">
        <x:v>2nd Color</x:v>
      </x:c>
      <x:c r="K9" s="82" t="str"/>
      <x:c r="L9" s="82" t="str"/>
      <x:c r="M9" s="82" t="str"/>
      <x:c r="N9" s="82" t="str"/>
      <x:c r="O9" s="82" t="str"/>
      <x:c r="P9" s="82" t="str"/>
      <x:c r="Q9" s="82" t="str"/>
      <x:c r="R9" s="82" t="str">
        <x:v>Mainline</x:v>
      </x:c>
      <x:c r="S9" s="82" t="str">
        <x:v>Comum / atual</x:v>
      </x:c>
      <x:c r="T9" s="82" t="str">
        <x:v>2026 — listado; confirmar disponibilidade</x:v>
      </x:c>
      <x:c r="U9" s="82" t="str"/>
      <x:c r="V9" s="80" t="str">
        <x:v>Coleção principal (~1:64)</x:v>
      </x:c>
      <x:c r="W9" s="82" t="str">
        <x:v>https://hotwheels.fandom.com/wiki/List_of_2026_Hot_Wheels</x:v>
      </x:c>
      <x:c r="X9" s="82" t="str">
        <x:v>https://hotwheels.fandom.com/wiki/%2796_Porsche_Carrera</x:v>
      </x:c>
    </x:row>
    <x:row r="10">
      <x:c r="A10" s="80" t="str">
        <x:v>Não</x:v>
      </x:c>
      <x:c r="B10" s="80" t="str">
        <x:v>1 — Comprar agora</x:v>
      </x:c>
      <x:c r="C10" s="81" t="n">
        <x:v>2026</x:v>
      </x:c>
      <x:c r="D10" s="80" t="str">
        <x:v>'96 Porsche Carrera</x:v>
      </x:c>
      <x:c r="E10" s="80" t="str">
        <x:v>'96 Porsche Carrera</x:v>
      </x:c>
      <x:c r="F10" s="82" t="str">
        <x:v>Then and Now / 4/10</x:v>
      </x:c>
      <x:c r="G10" s="80" t="str"/>
      <x:c r="H10" s="80" t="str">
        <x:v>98/250</x:v>
      </x:c>
      <x:c r="I10" s="83" t="str">
        <x:v>JJJ59</x:v>
      </x:c>
      <x:c r="J10" s="80" t="str">
        <x:v>Metallic root beer</x:v>
      </x:c>
      <x:c r="K10" s="82" t="str">
        <x:v>Porsche badge on frunk, Carrera badge on rear, yellow "Carrera" stripe on sides</x:v>
      </x:c>
      <x:c r="L10" s="82" t="str">
        <x:v>5SP</x:v>
      </x:c>
      <x:c r="M10" s="82" t="str"/>
      <x:c r="N10" s="82" t="str">
        <x:v>Smoke tint</x:v>
      </x:c>
      <x:c r="O10" s="82" t="str">
        <x:v>Brown</x:v>
      </x:c>
      <x:c r="P10" s="82" t="str">
        <x:v>Malaysia</x:v>
      </x:c>
      <x:c r="Q10" s="82" t="str"/>
      <x:c r="R10" s="82" t="str">
        <x:v>Mainline</x:v>
      </x:c>
      <x:c r="S10" s="82" t="str">
        <x:v>Comum / atual</x:v>
      </x:c>
      <x:c r="T10" s="82" t="str">
        <x:v>2026 — listado; confirmar disponibilidade</x:v>
      </x:c>
      <x:c r="U10" s="82" t="str">
        <x:v>Base code(s): U45N, U46N</x:v>
      </x:c>
      <x:c r="V10" s="80" t="str">
        <x:v>Coleção principal (~1:64)</x:v>
      </x:c>
      <x:c r="W10" s="82" t="str">
        <x:v>https://hotwheels.fandom.com/wiki/%2796_Porsche_Carrera</x:v>
      </x:c>
      <x:c r="X10" s="82" t="str">
        <x:v>https://hotwheels.fandom.com/wiki/%2796_Porsche_Carrera</x:v>
      </x:c>
    </x:row>
    <x:row r="11">
      <x:c r="A11" s="80" t="str">
        <x:v>Não</x:v>
      </x:c>
      <x:c r="B11" s="80" t="str">
        <x:v>1 — Comprar agora</x:v>
      </x:c>
      <x:c r="C11" s="81" t="n">
        <x:v>2026</x:v>
      </x:c>
      <x:c r="D11" s="80" t="str">
        <x:v>1983 Porsche 928S</x:v>
      </x:c>
      <x:c r="E11" s="80" t="str">
        <x:v>1983 Porsche 928S</x:v>
      </x:c>
      <x:c r="F11" s="82" t="str">
        <x:v>HW Euro / 8/10</x:v>
      </x:c>
      <x:c r="G11" s="80" t="str"/>
      <x:c r="H11" s="80" t="str">
        <x:v>171/250</x:v>
      </x:c>
      <x:c r="I11" s="83" t="str">
        <x:v>JJK15</x:v>
      </x:c>
      <x:c r="J11" s="80" t="str">
        <x:v>Black</x:v>
      </x:c>
      <x:c r="K11" s="82" t="str">
        <x:v>Porsche Crest on hood, detailed reflectors, red and silver gradient stripes, "Sport", "928S" and Hot Wheels logo on sides</x:v>
      </x:c>
      <x:c r="L11" s="82" t="str">
        <x:v>Chrome lip, Black RSW</x:v>
      </x:c>
      <x:c r="M11" s="82" t="str">
        <x:v>Black / / / Plastic</x:v>
      </x:c>
      <x:c r="N11" s="82" t="str">
        <x:v>Smoke tint</x:v>
      </x:c>
      <x:c r="O11" s="82" t="str">
        <x:v>Black</x:v>
      </x:c>
      <x:c r="P11" s="82" t="str">
        <x:v>Malaysia</x:v>
      </x:c>
      <x:c r="Q11" s="82" t="str"/>
      <x:c r="R11" s="82" t="str">
        <x:v>Mainline</x:v>
      </x:c>
      <x:c r="S11" s="82" t="str">
        <x:v>Comum / atual</x:v>
      </x:c>
      <x:c r="T11" s="82" t="str">
        <x:v>2026 — listado; confirmar disponibilidade</x:v>
      </x:c>
      <x:c r="U11" s="82" t="str">
        <x:v>Base code(s): V05N</x:v>
      </x:c>
      <x:c r="V11" s="80" t="str">
        <x:v>Coleção principal (~1:64)</x:v>
      </x:c>
      <x:c r="W11" s="82" t="str">
        <x:v>https://hotwheels.fandom.com/wiki/1983_Porsche_928S</x:v>
      </x:c>
      <x:c r="X11" s="82" t="str">
        <x:v>https://hotwheels.fandom.com/wiki/1983_Porsche_928S</x:v>
      </x:c>
    </x:row>
    <x:row r="12">
      <x:c r="A12" s="80" t="str">
        <x:v>Não</x:v>
      </x:c>
      <x:c r="B12" s="80" t="str">
        <x:v>1 — Comprar agora</x:v>
      </x:c>
      <x:c r="C12" s="81" t="n">
        <x:v>2026</x:v>
      </x:c>
      <x:c r="D12" s="80" t="str">
        <x:v>2003 Porsche Cayenne</x:v>
      </x:c>
      <x:c r="E12" s="80" t="str">
        <x:v>2003 Porsche Cayenne</x:v>
      </x:c>
      <x:c r="F12" s="82" t="str">
        <x:v>Car Culture: Team Transport</x:v>
      </x:c>
      <x:c r="G12" s="80" t="str"/>
      <x:c r="H12" s="80" t="str"/>
      <x:c r="I12" s="83" t="str">
        <x:v>JHX96</x:v>
      </x:c>
      <x:c r="J12" s="80" t="str">
        <x:v>Unknown</x:v>
      </x:c>
      <x:c r="K12" s="82" t="str"/>
      <x:c r="L12" s="82" t="str">
        <x:v>RR5SPM</x:v>
      </x:c>
      <x:c r="M12" s="82" t="str">
        <x:v>Unknown / Metal</x:v>
      </x:c>
      <x:c r="N12" s="82" t="str"/>
      <x:c r="O12" s="82" t="str"/>
      <x:c r="P12" s="82" t="str">
        <x:v>Thailand</x:v>
      </x:c>
      <x:c r="Q12" s="82" t="str"/>
      <x:c r="R12" s="82" t="str">
        <x:v>Premium</x:v>
      </x:c>
      <x:c r="S12" s="82" t="str">
        <x:v>Incomum</x:v>
      </x:c>
      <x:c r="T12" s="82" t="str">
        <x:v>2026 — listado; confirmar disponibilidade</x:v>
      </x:c>
      <x:c r="U12" s="82" t="str"/>
      <x:c r="V12" s="80" t="str">
        <x:v>Coleção principal (~1:64)</x:v>
      </x:c>
      <x:c r="W12" s="82" t="str">
        <x:v>https://hotwheels.fandom.com/wiki/2003_Porsche_Cayenne</x:v>
      </x:c>
      <x:c r="X12" s="82" t="str">
        <x:v>https://hotwheels.fandom.com/wiki/2003_Porsche_Cayenne</x:v>
      </x:c>
    </x:row>
    <x:row r="13">
      <x:c r="A13" s="80" t="str">
        <x:v>Não</x:v>
      </x:c>
      <x:c r="B13" s="80" t="str">
        <x:v>1 — Comprar agora</x:v>
      </x:c>
      <x:c r="C13" s="81" t="n">
        <x:v>2026</x:v>
      </x:c>
      <x:c r="D13" s="80" t="str">
        <x:v>2022 Porsche 911 GT3 RS</x:v>
      </x:c>
      <x:c r="E13" s="80" t="str">
        <x:v>2022 Porsche 911 GT3 RS</x:v>
      </x:c>
      <x:c r="F13" s="82" t="str">
        <x:v>Pop Culture: Gran Turismo</x:v>
      </x:c>
      <x:c r="G13" s="80" t="str"/>
      <x:c r="H13" s="80" t="str"/>
      <x:c r="I13" s="83" t="str">
        <x:v>JHW82</x:v>
      </x:c>
      <x:c r="J13" s="80" t="str">
        <x:v>White</x:v>
      </x:c>
      <x:c r="K13" s="82" t="str">
        <x:v>Detailed taillights, black hood, Porsche, GT3 RS wordmarks on sides, "AW RT D66" German license plate</x:v>
      </x:c>
      <x:c r="L13" s="82" t="str">
        <x:v>Gray RR10SPM</x:v>
      </x:c>
      <x:c r="M13" s="82" t="str">
        <x:v>Matte Black / / / Metal</x:v>
      </x:c>
      <x:c r="N13" s="82" t="str">
        <x:v>Smoke tint</x:v>
      </x:c>
      <x:c r="O13" s="82" t="str">
        <x:v>Black</x:v>
      </x:c>
      <x:c r="P13" s="82" t="str">
        <x:v>Indonesia</x:v>
      </x:c>
      <x:c r="Q13" s="82" t="str"/>
      <x:c r="R13" s="82" t="str">
        <x:v>Premium</x:v>
      </x:c>
      <x:c r="S13" s="82" t="str">
        <x:v>Incomum</x:v>
      </x:c>
      <x:c r="T13" s="82" t="str">
        <x:v>2026 — listado; confirmar disponibilidade</x:v>
      </x:c>
      <x:c r="U13" s="82" t="str">
        <x:v>Base code(s): U43I, U44I, U47I, U48I</x:v>
      </x:c>
      <x:c r="V13" s="80" t="str">
        <x:v>Coleção principal (~1:64)</x:v>
      </x:c>
      <x:c r="W13" s="82" t="str">
        <x:v>https://hotwheels.fandom.com/wiki/2022_Porsche_911_GT3_RS</x:v>
      </x:c>
      <x:c r="X13" s="82" t="str">
        <x:v>https://hotwheels.fandom.com/wiki/2022_Porsche_911_GT3_RS</x:v>
      </x:c>
    </x:row>
    <x:row r="14">
      <x:c r="A14" s="80" t="str">
        <x:v>Não</x:v>
      </x:c>
      <x:c r="B14" s="80" t="str">
        <x:v>1 — Comprar agora</x:v>
      </x:c>
      <x:c r="C14" s="81" t="n">
        <x:v>2026</x:v>
      </x:c>
      <x:c r="D14" s="80" t="str">
        <x:v>Porsche 356 Outlaw</x:v>
      </x:c>
      <x:c r="E14" s="80" t="str">
        <x:v>Porsche 356 Outlaw</x:v>
      </x:c>
      <x:c r="F14" s="82" t="str">
        <x:v>Vintage Club / 5/5</x:v>
      </x:c>
      <x:c r="G14" s="80" t="str"/>
      <x:c r="H14" s="80" t="str"/>
      <x:c r="I14" s="83" t="str">
        <x:v>JKY28</x:v>
      </x:c>
      <x:c r="J14" s="80" t="str">
        <x:v>Metalflake dark blue</x:v>
      </x:c>
      <x:c r="K14" s="82" t="str">
        <x:v>Detailed headlights, taillights and trim, Castrol logo on front fender, Goodyear logo on rear fender, "356" on doors</x:v>
      </x:c>
      <x:c r="L14" s="82" t="str">
        <x:v>C5</x:v>
      </x:c>
      <x:c r="M14" s="82" t="str">
        <x:v>Black / / / Metal</x:v>
      </x:c>
      <x:c r="N14" s="82" t="str">
        <x:v>Clear</x:v>
      </x:c>
      <x:c r="O14" s="82" t="str">
        <x:v>Black</x:v>
      </x:c>
      <x:c r="P14" s="82" t="str">
        <x:v>Indonesia</x:v>
      </x:c>
      <x:c r="Q14" s="82" t="str"/>
      <x:c r="R14" s="82" t="str">
        <x:v>Outra linha</x:v>
      </x:c>
      <x:c r="S14" s="82" t="str">
        <x:v>Comum / atual</x:v>
      </x:c>
      <x:c r="T14" s="82" t="str">
        <x:v>2026 — listado; confirmar disponibilidade</x:v>
      </x:c>
      <x:c r="U14" s="82" t="str">
        <x:v>Base code(s): U49I, U50I</x:v>
      </x:c>
      <x:c r="V14" s="80" t="str">
        <x:v>Coleção principal (~1:64)</x:v>
      </x:c>
      <x:c r="W14" s="82" t="str">
        <x:v>https://hotwheels.fandom.com/wiki/Porsche_356_Outlaw</x:v>
      </x:c>
      <x:c r="X14" s="82" t="str">
        <x:v>https://hotwheels.fandom.com/wiki/Porsche_356_Outlaw</x:v>
      </x:c>
    </x:row>
    <x:row r="15">
      <x:c r="A15" s="80" t="str">
        <x:v>Não</x:v>
      </x:c>
      <x:c r="B15" s="80" t="str">
        <x:v>1 — Comprar agora</x:v>
      </x:c>
      <x:c r="C15" s="81" t="n">
        <x:v>2026</x:v>
      </x:c>
      <x:c r="D15" s="80" t="str">
        <x:v>Porsche 718 Cayman GT4</x:v>
      </x:c>
      <x:c r="E15" s="80" t="str">
        <x:v>Porsche 718 Cayman GT4</x:v>
      </x:c>
      <x:c r="F15" s="82" t="str">
        <x:v>Car Culture / Deutschland Design*</x:v>
      </x:c>
      <x:c r="G15" s="80" t="str"/>
      <x:c r="H15" s="80" t="str"/>
      <x:c r="I15" s="83" t="str"/>
      <x:c r="J15" s="80" t="str"/>
      <x:c r="K15" s="82" t="str"/>
      <x:c r="L15" s="82" t="str"/>
      <x:c r="M15" s="82" t="str"/>
      <x:c r="N15" s="82" t="str"/>
      <x:c r="O15" s="82" t="str"/>
      <x:c r="P15" s="82" t="str"/>
      <x:c r="Q15" s="82" t="str"/>
      <x:c r="R15" s="82" t="str">
        <x:v>Premium</x:v>
      </x:c>
      <x:c r="S15" s="82" t="str">
        <x:v>Incomum</x:v>
      </x:c>
      <x:c r="T15" s="82" t="str">
        <x:v>2026 — listado; confirmar disponibilidade</x:v>
      </x:c>
      <x:c r="U15" s="82" t="str"/>
      <x:c r="V15" s="80" t="str">
        <x:v>Coleção principal (~1:64)</x:v>
      </x:c>
      <x:c r="W15" s="82" t="str">
        <x:v>https://orangetrackdiecast.com/2026-hot-wheels-master-list-of-all-lines/</x:v>
      </x:c>
      <x:c r="X15" s="82" t="str">
        <x:v>https://hotwheels.fandom.com/wiki/Porsche_718_Cayman_GT4</x:v>
      </x:c>
    </x:row>
    <x:row r="16">
      <x:c r="A16" s="80" t="str">
        <x:v>Não</x:v>
      </x:c>
      <x:c r="B16" s="80" t="str">
        <x:v>1 — Comprar agora</x:v>
      </x:c>
      <x:c r="C16" s="81" t="n">
        <x:v>2026</x:v>
      </x:c>
      <x:c r="D16" s="80" t="str">
        <x:v>Porsche 904 Carrera GTS</x:v>
      </x:c>
      <x:c r="E16" s="80" t="str">
        <x:v>Porsche 904 Carrera GTS</x:v>
      </x:c>
      <x:c r="F16" s="82" t="str">
        <x:v>Multi-Pack Exclusive</x:v>
      </x:c>
      <x:c r="G16" s="80" t="str"/>
      <x:c r="H16" s="80" t="str"/>
      <x:c r="I16" s="83" t="str">
        <x:v>X6999</x:v>
      </x:c>
      <x:c r="J16" s="80" t="str">
        <x:v>Metalflake Blue</x:v>
      </x:c>
      <x:c r="K16" s="82" t="str">
        <x:v>Red stripe on hood, Porsche logo on sides, "86" on hood, rear and sides, "Carrera GTS" badging on rear</x:v>
      </x:c>
      <x:c r="L16" s="82" t="str">
        <x:v>DD8</x:v>
      </x:c>
      <x:c r="M16" s="82" t="str">
        <x:v>Blue / / / Plastic</x:v>
      </x:c>
      <x:c r="N16" s="82" t="str">
        <x:v>Clear</x:v>
      </x:c>
      <x:c r="O16" s="82" t="str">
        <x:v>Black</x:v>
      </x:c>
      <x:c r="P16" s="82" t="str">
        <x:v>Malaysia</x:v>
      </x:c>
      <x:c r="Q16" s="82" t="str"/>
      <x:c r="R16" s="82" t="str">
        <x:v>Temática / multipack</x:v>
      </x:c>
      <x:c r="S16" s="82" t="str">
        <x:v>Comum / atual</x:v>
      </x:c>
      <x:c r="T16" s="82" t="str">
        <x:v>2026 — listado; confirmar disponibilidade</x:v>
      </x:c>
      <x:c r="U16" s="82" t="str">
        <x:v>Base code(s): U47N</x:v>
      </x:c>
      <x:c r="V16" s="80" t="str">
        <x:v>Coleção principal (~1:64)</x:v>
      </x:c>
      <x:c r="W16" s="82" t="str">
        <x:v>https://hotwheels.fandom.com/wiki/Porsche_904_Carrera_GTS</x:v>
      </x:c>
      <x:c r="X16" s="82" t="str">
        <x:v>https://hotwheels.fandom.com/wiki/Porsche_904_Carrera_GTS</x:v>
      </x:c>
    </x:row>
    <x:row r="17">
      <x:c r="A17" s="80" t="str">
        <x:v>Não</x:v>
      </x:c>
      <x:c r="B17" s="80" t="str">
        <x:v>1 — Comprar agora</x:v>
      </x:c>
      <x:c r="C17" s="81" t="n">
        <x:v>2026</x:v>
      </x:c>
      <x:c r="D17" s="80" t="str">
        <x:v>Porsche 908-3</x:v>
      </x:c>
      <x:c r="E17" s="80" t="str">
        <x:v>Porsche 908-3</x:v>
      </x:c>
      <x:c r="F17" s="82" t="str">
        <x:v>Cool Classics — New for 2026!</x:v>
      </x:c>
      <x:c r="G17" s="80" t="str">
        <x:v>10/10</x:v>
      </x:c>
      <x:c r="H17" s="80" t="str">
        <x:v>250</x:v>
      </x:c>
      <x:c r="I17" s="83" t="str">
        <x:v>JJH78</x:v>
      </x:c>
      <x:c r="J17" s="80" t="str"/>
      <x:c r="K17" s="82" t="str"/>
      <x:c r="L17" s="82" t="str"/>
      <x:c r="M17" s="82" t="str"/>
      <x:c r="N17" s="82" t="str"/>
      <x:c r="O17" s="82" t="str"/>
      <x:c r="P17" s="82" t="str"/>
      <x:c r="Q17" s="82" t="str"/>
      <x:c r="R17" s="82" t="str">
        <x:v>Mainline</x:v>
      </x:c>
      <x:c r="S17" s="82" t="str">
        <x:v>Comum / atual</x:v>
      </x:c>
      <x:c r="T17" s="82" t="str">
        <x:v>2026 — listado; confirmar disponibilidade</x:v>
      </x:c>
      <x:c r="U17" s="82" t="str">
        <x:v>Imagem não disponível na fonte</x:v>
      </x:c>
      <x:c r="V17" s="80" t="str">
        <x:v>Coleção principal (~1:64)</x:v>
      </x:c>
      <x:c r="W17" s="82" t="str">
        <x:v>https://hotwheels.fandom.com/wiki/List_of_2026_Hot_Wheels</x:v>
      </x:c>
      <x:c r="X17" s="82" t="str">
        <x:v>https://hotwheels.fandom.com/wiki/Porsche_908-3</x:v>
      </x:c>
    </x:row>
    <x:row r="18">
      <x:c r="A18" s="80" t="str">
        <x:v>Não</x:v>
      </x:c>
      <x:c r="B18" s="80" t="str">
        <x:v>1 — Comprar agora</x:v>
      </x:c>
      <x:c r="C18" s="81" t="n">
        <x:v>2026</x:v>
      </x:c>
      <x:c r="D18" s="80" t="str">
        <x:v>Porsche 911 Carrera RS 2.7</x:v>
      </x:c>
      <x:c r="E18" s="80" t="str">
        <x:v>Porsche 911 Carrera RS 2.7</x:v>
      </x:c>
      <x:c r="F18" s="82" t="str"/>
      <x:c r="G18" s="80" t="str"/>
      <x:c r="H18" s="80" t="str"/>
      <x:c r="I18" s="83" t="str"/>
      <x:c r="J18" s="80" t="str"/>
      <x:c r="K18" s="82" t="str"/>
      <x:c r="L18" s="82" t="str"/>
      <x:c r="M18" s="82" t="str"/>
      <x:c r="N18" s="82" t="str"/>
      <x:c r="O18" s="82" t="str"/>
      <x:c r="P18" s="82" t="str"/>
      <x:c r="Q18" s="82" t="str"/>
      <x:c r="R18" s="82" t="str">
        <x:v>Outra linha</x:v>
      </x:c>
      <x:c r="S18" s="82" t="str">
        <x:v>Comum / atual</x:v>
      </x:c>
      <x:c r="T18" s="82" t="str">
        <x:v>2026 — listado; confirmar disponibilidade</x:v>
      </x:c>
      <x:c r="U18" s="82" t="str"/>
      <x:c r="V18" s="80" t="str">
        <x:v>Coleção principal (~1:64)</x:v>
      </x:c>
      <x:c r="W18" s="82" t="str">
        <x:v>https://hotwheels.fandom.com/wiki/Porsche_911_Carrera_RS_2.7</x:v>
      </x:c>
      <x:c r="X18" s="82" t="str">
        <x:v>https://hotwheels.fandom.com/wiki/Porsche_911_Carrera_RS_2.7</x:v>
      </x:c>
    </x:row>
    <x:row r="19">
      <x:c r="A19" s="80" t="str">
        <x:v>Não</x:v>
      </x:c>
      <x:c r="B19" s="80" t="str">
        <x:v>1 — Comprar agora</x:v>
      </x:c>
      <x:c r="C19" s="81" t="n">
        <x:v>2026</x:v>
      </x:c>
      <x:c r="D19" s="80" t="str">
        <x:v>Porsche 911 Carrera RS 2.7</x:v>
      </x:c>
      <x:c r="E19" s="80" t="str">
        <x:v>Porsche 911 Carrera RS 2.7</x:v>
      </x:c>
      <x:c r="F19" s="82" t="str">
        <x:v>Then and Now</x:v>
      </x:c>
      <x:c r="G19" s="80" t="str">
        <x:v>9/10</x:v>
      </x:c>
      <x:c r="H19" s="80" t="str">
        <x:v>208</x:v>
      </x:c>
      <x:c r="I19" s="83" t="str">
        <x:v>JJK43</x:v>
      </x:c>
      <x:c r="J19" s="80" t="str"/>
      <x:c r="K19" s="82" t="str"/>
      <x:c r="L19" s="82" t="str"/>
      <x:c r="M19" s="82" t="str"/>
      <x:c r="N19" s="82" t="str"/>
      <x:c r="O19" s="82" t="str"/>
      <x:c r="P19" s="82" t="str"/>
      <x:c r="Q19" s="82" t="str"/>
      <x:c r="R19" s="82" t="str">
        <x:v>Mainline</x:v>
      </x:c>
      <x:c r="S19" s="82" t="str">
        <x:v>Comum / atual</x:v>
      </x:c>
      <x:c r="T19" s="82" t="str">
        <x:v>2026 — listado; confirmar disponibilidade</x:v>
      </x:c>
      <x:c r="U19" s="82" t="str"/>
      <x:c r="V19" s="80" t="str">
        <x:v>Coleção principal (~1:64)</x:v>
      </x:c>
      <x:c r="W19" s="82" t="str">
        <x:v>https://hotwheels.fandom.com/wiki/List_of_2026_Hot_Wheels</x:v>
      </x:c>
      <x:c r="X19" s="82" t="str">
        <x:v>https://hotwheels.fandom.com/wiki/Porsche_911_Carrera_RS_2.7</x:v>
      </x:c>
    </x:row>
    <x:row r="20">
      <x:c r="A20" s="80" t="str">
        <x:v>Não</x:v>
      </x:c>
      <x:c r="B20" s="80" t="str">
        <x:v>1 — Comprar agora</x:v>
      </x:c>
      <x:c r="C20" s="81" t="n">
        <x:v>2026</x:v>
      </x:c>
      <x:c r="D20" s="80" t="str">
        <x:v>Porsche 911 Carrera RS 3.8</x:v>
      </x:c>
      <x:c r="E20" s="80" t="str">
        <x:v>Porsche 911 Carrera RS 3.8</x:v>
      </x:c>
      <x:c r="F20" s="82" t="str">
        <x:v>Themed Entertainment / Transformers*</x:v>
      </x:c>
      <x:c r="G20" s="80" t="str"/>
      <x:c r="H20" s="80" t="str"/>
      <x:c r="I20" s="83" t="str"/>
      <x:c r="J20" s="80" t="str"/>
      <x:c r="K20" s="82" t="str"/>
      <x:c r="L20" s="82" t="str"/>
      <x:c r="M20" s="82" t="str"/>
      <x:c r="N20" s="82" t="str"/>
      <x:c r="O20" s="82" t="str"/>
      <x:c r="P20" s="82" t="str"/>
      <x:c r="Q20" s="82" t="str"/>
      <x:c r="R20" s="82" t="str">
        <x:v>Temática / multipack</x:v>
      </x:c>
      <x:c r="S20" s="82" t="str">
        <x:v>Comum / atual</x:v>
      </x:c>
      <x:c r="T20" s="82" t="str">
        <x:v>Anunciado / confirmar lançamento</x:v>
      </x:c>
      <x:c r="U20" s="82" t="str">
        <x:v>Ainda não confirmado / anunciado na fonte</x:v>
      </x:c>
      <x:c r="V20" s="80" t="str">
        <x:v>Coleção principal (~1:64)</x:v>
      </x:c>
      <x:c r="W20" s="82" t="str">
        <x:v>https://orangetrackdiecast.com/2026-hot-wheels-master-list-of-all-lines/</x:v>
      </x:c>
      <x:c r="X20" s="82" t="str">
        <x:v>https://hotwheels.fandom.com/wiki/Porsche_911_Carrera_RS_3.8</x:v>
      </x:c>
    </x:row>
    <x:row r="21">
      <x:c r="A21" s="80" t="str">
        <x:v>Não</x:v>
      </x:c>
      <x:c r="B21" s="80" t="str">
        <x:v>1 — Comprar agora</x:v>
      </x:c>
      <x:c r="C21" s="81" t="n">
        <x:v>2026</x:v>
      </x:c>
      <x:c r="D21" s="80" t="str">
        <x:v>Porsche 911 Carrera T</x:v>
      </x:c>
      <x:c r="E21" s="80" t="str">
        <x:v>Porsche 911 Carrera T</x:v>
      </x:c>
      <x:c r="F21" s="82" t="str">
        <x:v>Factory Fresh — New for 2026!</x:v>
      </x:c>
      <x:c r="G21" s="80" t="str">
        <x:v>1/5</x:v>
      </x:c>
      <x:c r="H21" s="80" t="str">
        <x:v>015</x:v>
      </x:c>
      <x:c r="I21" s="83" t="str">
        <x:v>JJK80</x:v>
      </x:c>
      <x:c r="J21" s="80" t="str">
        <x:v>3rd Color</x:v>
      </x:c>
      <x:c r="K21" s="82" t="str"/>
      <x:c r="L21" s="82" t="str"/>
      <x:c r="M21" s="82" t="str"/>
      <x:c r="N21" s="82" t="str"/>
      <x:c r="O21" s="82" t="str"/>
      <x:c r="P21" s="82" t="str"/>
      <x:c r="Q21" s="82" t="str"/>
      <x:c r="R21" s="82" t="str">
        <x:v>Mainline</x:v>
      </x:c>
      <x:c r="S21" s="82" t="str">
        <x:v>Comum / atual</x:v>
      </x:c>
      <x:c r="T21" s="82" t="str">
        <x:v>2026 — listado; confirmar disponibilidade</x:v>
      </x:c>
      <x:c r="U21" s="82" t="str"/>
      <x:c r="V21" s="80" t="str">
        <x:v>Coleção principal (~1:64)</x:v>
      </x:c>
      <x:c r="W21" s="82" t="str">
        <x:v>https://hotwheels.fandom.com/wiki/List_of_2026_Hot_Wheels</x:v>
      </x:c>
      <x:c r="X21" s="82" t="str">
        <x:v>https://hotwheels.fandom.com/wiki/Porsche_911_Carrera_T</x:v>
      </x:c>
    </x:row>
    <x:row r="22">
      <x:c r="A22" s="80" t="str">
        <x:v>Não</x:v>
      </x:c>
      <x:c r="B22" s="80" t="str">
        <x:v>1 — Comprar agora</x:v>
      </x:c>
      <x:c r="C22" s="81" t="n">
        <x:v>2026</x:v>
      </x:c>
      <x:c r="D22" s="80" t="str">
        <x:v>Porsche 911 Carrera T</x:v>
      </x:c>
      <x:c r="E22" s="80" t="str">
        <x:v>Porsche 911 Carrera T</x:v>
      </x:c>
      <x:c r="F22" s="82" t="str">
        <x:v>Factory Fresh / 1/5</x:v>
      </x:c>
      <x:c r="G22" s="80" t="str"/>
      <x:c r="H22" s="80" t="str">
        <x:v>015/250</x:v>
      </x:c>
      <x:c r="I22" s="83" t="str">
        <x:v>JJH33</x:v>
      </x:c>
      <x:c r="J22" s="80" t="str">
        <x:v>Arctic Grey</x:v>
      </x:c>
      <x:c r="K22" s="82" t="str">
        <x:v>Detailed taillights and trim, Porsche badge on frunk, white Porsche side stripes with "HOTWHEELS" text, black roof detailing, "FPY86" license plate, black "911 Carrera T" wordmark on rear bumper</x:v>
      </x:c>
      <x:c r="L22" s="82" t="str">
        <x:v>Black 10SP</x:v>
      </x:c>
      <x:c r="M22" s="82" t="str">
        <x:v>Black / / / Plastic</x:v>
      </x:c>
      <x:c r="N22" s="82" t="str">
        <x:v>Dark Smoke tint</x:v>
      </x:c>
      <x:c r="O22" s="82" t="str">
        <x:v>Black</x:v>
      </x:c>
      <x:c r="P22" s="82" t="str">
        <x:v>Malaysia</x:v>
      </x:c>
      <x:c r="Q22" s="82" t="str"/>
      <x:c r="R22" s="82" t="str">
        <x:v>Mainline</x:v>
      </x:c>
      <x:c r="S22" s="82" t="str">
        <x:v>Comum / atual</x:v>
      </x:c>
      <x:c r="T22" s="82" t="str">
        <x:v>2026 — listado; confirmar disponibilidade</x:v>
      </x:c>
      <x:c r="U22" s="82" t="str">
        <x:v>New Model / Base code(s): U33N, U34A, U34N, U37N</x:v>
      </x:c>
      <x:c r="V22" s="80" t="str">
        <x:v>Coleção principal (~1:64)</x:v>
      </x:c>
      <x:c r="W22" s="82" t="str">
        <x:v>https://hotwheels.fandom.com/wiki/Porsche_911_Carrera_T</x:v>
      </x:c>
      <x:c r="X22" s="82" t="str">
        <x:v>https://hotwheels.fandom.com/wiki/Porsche_911_Carrera_T</x:v>
      </x:c>
    </x:row>
    <x:row r="23">
      <x:c r="A23" s="80" t="str">
        <x:v>Não</x:v>
      </x:c>
      <x:c r="B23" s="80" t="str">
        <x:v>1 — Comprar agora</x:v>
      </x:c>
      <x:c r="C23" s="81" t="n">
        <x:v>2026</x:v>
      </x:c>
      <x:c r="D23" s="80" t="str">
        <x:v>Porsche 911 Carrera T</x:v>
      </x:c>
      <x:c r="E23" s="80" t="str">
        <x:v>Porsche 911 Carrera T</x:v>
      </x:c>
      <x:c r="F23" s="82" t="str">
        <x:v>Factory Fresh / 1/5</x:v>
      </x:c>
      <x:c r="G23" s="80" t="str"/>
      <x:c r="H23" s="80" t="str">
        <x:v>015/250</x:v>
      </x:c>
      <x:c r="I23" s="83" t="str">
        <x:v>JJK80</x:v>
      </x:c>
      <x:c r="J23" s="80" t="str">
        <x:v>Black</x:v>
      </x:c>
      <x:c r="K23" s="82" t="str">
        <x:v>Detailed taillights and trim, Porsche badge on frunk, bronze Porsche side stripes with "HOTWHEELS" text, "FPY86" license plate, black "911 Carrera T" wordmark on rear bumper</x:v>
      </x:c>
      <x:c r="L23" s="82" t="str">
        <x:v>Bronze 10SP</x:v>
      </x:c>
      <x:c r="M23" s="82" t="str">
        <x:v>Black / / / Plastic</x:v>
      </x:c>
      <x:c r="N23" s="82" t="str">
        <x:v>Smoke tint</x:v>
      </x:c>
      <x:c r="O23" s="82" t="str">
        <x:v>Black</x:v>
      </x:c>
      <x:c r="P23" s="82" t="str">
        <x:v>Malaysia</x:v>
      </x:c>
      <x:c r="Q23" s="82" t="str"/>
      <x:c r="R23" s="82" t="str">
        <x:v>Mainline</x:v>
      </x:c>
      <x:c r="S23" s="82" t="str">
        <x:v>Comum / atual</x:v>
      </x:c>
      <x:c r="T23" s="82" t="str">
        <x:v>2026 — listado; confirmar disponibilidade</x:v>
      </x:c>
      <x:c r="U23" s="82" t="str">
        <x:v>New Model / Base code(s): V02N</x:v>
      </x:c>
      <x:c r="V23" s="80" t="str">
        <x:v>Coleção principal (~1:64)</x:v>
      </x:c>
      <x:c r="W23" s="82" t="str">
        <x:v>https://hotwheels.fandom.com/wiki/Porsche_911_Carrera_T</x:v>
      </x:c>
      <x:c r="X23" s="82" t="str">
        <x:v>https://hotwheels.fandom.com/wiki/Porsche_911_Carrera_T</x:v>
      </x:c>
    </x:row>
    <x:row r="24">
      <x:c r="A24" s="80" t="str">
        <x:v>Não</x:v>
      </x:c>
      <x:c r="B24" s="80" t="str">
        <x:v>1 — Comprar agora</x:v>
      </x:c>
      <x:c r="C24" s="81" t="n">
        <x:v>2026</x:v>
      </x:c>
      <x:c r="D24" s="80" t="str">
        <x:v>Porsche 911 GT2</x:v>
      </x:c>
      <x:c r="E24" s="80" t="str">
        <x:v>Porsche 911 GT2</x:v>
      </x:c>
      <x:c r="F24" s="82" t="str"/>
      <x:c r="G24" s="80" t="str"/>
      <x:c r="H24" s="80" t="str"/>
      <x:c r="I24" s="83" t="str"/>
      <x:c r="J24" s="80" t="str">
        <x:v>Ivory</x:v>
      </x:c>
      <x:c r="K24" s="82" t="str">
        <x:v>Detailed taillights and GT2 badge on rear, Porsche badge on hood, red bold stripe with red / black pinstripe on hood, roof and sides, gold "911" on hood and sides, gold Hot Wheels logo on sides, black Porsche wordmark on side pinstripe</x:v>
      </x:c>
      <x:c r="L24" s="82" t="str">
        <x:v>Bronze lip, black MC5</x:v>
      </x:c>
      <x:c r="M24" s="82" t="str">
        <x:v>Black / / / Plastic</x:v>
      </x:c>
      <x:c r="N24" s="82" t="str">
        <x:v>Smoke tint</x:v>
      </x:c>
      <x:c r="O24" s="82" t="str">
        <x:v>Red</x:v>
      </x:c>
      <x:c r="P24" s="82" t="str"/>
      <x:c r="Q24" s="82" t="str"/>
      <x:c r="R24" s="82" t="str">
        <x:v>Outra linha</x:v>
      </x:c>
      <x:c r="S24" s="82" t="str">
        <x:v>Comum / atual</x:v>
      </x:c>
      <x:c r="T24" s="82" t="str">
        <x:v>2026 — listado; confirmar disponibilidade</x:v>
      </x:c>
      <x:c r="U24" s="82" t="str">
        <x:v>Base code(s):</x:v>
      </x:c>
      <x:c r="V24" s="80" t="str">
        <x:v>Coleção principal (~1:64)</x:v>
      </x:c>
      <x:c r="W24" s="82" t="str">
        <x:v>https://hotwheels.fandom.com/wiki/Porsche_911_GT2</x:v>
      </x:c>
      <x:c r="X24" s="82" t="str">
        <x:v>https://hotwheels.fandom.com/wiki/Porsche_911_GT2</x:v>
      </x:c>
    </x:row>
    <x:row r="25">
      <x:c r="A25" s="80" t="str">
        <x:v>Não</x:v>
      </x:c>
      <x:c r="B25" s="80" t="str">
        <x:v>1 — Comprar agora</x:v>
      </x:c>
      <x:c r="C25" s="81" t="n">
        <x:v>2026</x:v>
      </x:c>
      <x:c r="D25" s="80" t="str">
        <x:v>Porsche 911 GT2 EVO 993</x:v>
      </x:c>
      <x:c r="E25" s="80" t="str">
        <x:v>Porsche 911 GT2 EVO 993</x:v>
      </x:c>
      <x:c r="F25" s="82" t="str">
        <x:v>Elite 64</x:v>
      </x:c>
      <x:c r="G25" s="80" t="str"/>
      <x:c r="H25" s="80" t="str">
        <x:v>23</x:v>
      </x:c>
      <x:c r="I25" s="83" t="str"/>
      <x:c r="J25" s="80" t="str">
        <x:v>Black</x:v>
      </x:c>
      <x:c r="K25" s="82" t="str"/>
      <x:c r="L25" s="82" t="str"/>
      <x:c r="M25" s="82" t="str"/>
      <x:c r="N25" s="82" t="str"/>
      <x:c r="O25" s="82" t="str"/>
      <x:c r="P25" s="82" t="str"/>
      <x:c r="Q25" s="82" t="str"/>
      <x:c r="R25" s="82" t="str">
        <x:v>Elite 64</x:v>
      </x:c>
      <x:c r="S25" s="82" t="str">
        <x:v>Incomum</x:v>
      </x:c>
      <x:c r="T25" s="82" t="str">
        <x:v>2026 — listado; confirmar disponibilidade</x:v>
      </x:c>
      <x:c r="U25" s="82" t="str">
        <x:v>May 14, 2026</x:v>
      </x:c>
      <x:c r="V25" s="80" t="str">
        <x:v>Coleção principal (~1:64)</x:v>
      </x:c>
      <x:c r="W25" s="82" t="str">
        <x:v>https://orangetrackdiecast.com/2026-hot-wheels-master-list-of-all-lines/</x:v>
      </x:c>
      <x:c r="X25" s="82" t="str">
        <x:v>https://hotwheels.fandom.com/wiki/Porsche_911_GT2_EVO_993</x:v>
      </x:c>
    </x:row>
    <x:row r="26">
      <x:c r="A26" s="80" t="str">
        <x:v>Não</x:v>
      </x:c>
      <x:c r="B26" s="80" t="str">
        <x:v>1 — Comprar agora</x:v>
      </x:c>
      <x:c r="C26" s="81" t="n">
        <x:v>2026</x:v>
      </x:c>
      <x:c r="D26" s="80" t="str">
        <x:v>Porsche 911 GT3</x:v>
      </x:c>
      <x:c r="E26" s="80" t="str">
        <x:v>Porsche 911 GT3</x:v>
      </x:c>
      <x:c r="F26" s="82" t="str">
        <x:v>European Car Culture Themed Multipack</x:v>
      </x:c>
      <x:c r="G26" s="80" t="str"/>
      <x:c r="H26" s="80" t="str"/>
      <x:c r="I26" s="83" t="str">
        <x:v>JLB25</x:v>
      </x:c>
      <x:c r="J26" s="80" t="str">
        <x:v>Yellow</x:v>
      </x:c>
      <x:c r="K26" s="82" t="str">
        <x:v>Detailed taillights, trim, and badging, "S:HW 2026" European style license plate</x:v>
      </x:c>
      <x:c r="L26" s="82" t="str">
        <x:v>Black C5</x:v>
      </x:c>
      <x:c r="M26" s="82" t="str">
        <x:v>Black / / / Plastic</x:v>
      </x:c>
      <x:c r="N26" s="82" t="str">
        <x:v>Smoke tint</x:v>
      </x:c>
      <x:c r="O26" s="82" t="str">
        <x:v>Black</x:v>
      </x:c>
      <x:c r="P26" s="82" t="str">
        <x:v>Thailand</x:v>
      </x:c>
      <x:c r="Q26" s="82" t="str"/>
      <x:c r="R26" s="82" t="str">
        <x:v>Premium</x:v>
      </x:c>
      <x:c r="S26" s="82" t="str">
        <x:v>Incomum</x:v>
      </x:c>
      <x:c r="T26" s="82" t="str">
        <x:v>2026 — listado; confirmar disponibilidade</x:v>
      </x:c>
      <x:c r="U26" s="82" t="str">
        <x:v>Base code(s):</x:v>
      </x:c>
      <x:c r="V26" s="80" t="str">
        <x:v>Coleção principal (~1:64)</x:v>
      </x:c>
      <x:c r="W26" s="82" t="str">
        <x:v>https://hotwheels.fandom.com/wiki/Porsche_911_GT3</x:v>
      </x:c>
      <x:c r="X26" s="82" t="str">
        <x:v>https://hotwheels.fandom.com/wiki/Porsche_911_GT3</x:v>
      </x:c>
    </x:row>
    <x:row r="27">
      <x:c r="A27" s="80" t="str">
        <x:v>Não</x:v>
      </x:c>
      <x:c r="B27" s="80" t="str">
        <x:v>1 — Comprar agora</x:v>
      </x:c>
      <x:c r="C27" s="81" t="n">
        <x:v>2026</x:v>
      </x:c>
      <x:c r="D27" s="80" t="str">
        <x:v>Porsche 911 GT3 R (992)</x:v>
      </x:c>
      <x:c r="E27" s="80" t="str">
        <x:v>Porsche 911 GT3 R (992)</x:v>
      </x:c>
      <x:c r="F27" s="82" t="str">
        <x:v>Car Culture / Deutschland Design*</x:v>
      </x:c>
      <x:c r="G27" s="80" t="str"/>
      <x:c r="H27" s="80" t="str">
        <x:v>0/5CHASE!</x:v>
      </x:c>
      <x:c r="I27" s="83" t="str"/>
      <x:c r="J27" s="80" t="str"/>
      <x:c r="K27" s="82" t="str"/>
      <x:c r="L27" s="82" t="str"/>
      <x:c r="M27" s="82" t="str"/>
      <x:c r="N27" s="82" t="str"/>
      <x:c r="O27" s="82" t="str"/>
      <x:c r="P27" s="82" t="str"/>
      <x:c r="Q27" s="82" t="str"/>
      <x:c r="R27" s="82" t="str">
        <x:v>Premium</x:v>
      </x:c>
      <x:c r="S27" s="82" t="str">
        <x:v>Incomum</x:v>
      </x:c>
      <x:c r="T27" s="82" t="str">
        <x:v>2026 — listado; confirmar disponibilidade</x:v>
      </x:c>
      <x:c r="U27" s="82" t="str"/>
      <x:c r="V27" s="80" t="str">
        <x:v>Coleção principal (~1:64)</x:v>
      </x:c>
      <x:c r="W27" s="82" t="str">
        <x:v>https://orangetrackdiecast.com/2026-hot-wheels-master-list-of-all-lines/</x:v>
      </x:c>
      <x:c r="X27" s="82" t="str">
        <x:v>https://hotwheels.fandom.com/wiki/Porsche_911_GT3_R_(992)</x:v>
      </x:c>
    </x:row>
    <x:row r="28">
      <x:c r="A28" s="80" t="str">
        <x:v>Não</x:v>
      </x:c>
      <x:c r="B28" s="80" t="str">
        <x:v>1 — Comprar agora</x:v>
      </x:c>
      <x:c r="C28" s="81" t="n">
        <x:v>2026</x:v>
      </x:c>
      <x:c r="D28" s="80" t="str">
        <x:v>Porsche 911 Turbo Cabriolet</x:v>
      </x:c>
      <x:c r="E28" s="80" t="str">
        <x:v>Porsche 911 Turbo Cabriolet</x:v>
      </x:c>
      <x:c r="F28" s="82" t="str">
        <x:v>Drop Tops</x:v>
      </x:c>
      <x:c r="G28" s="80" t="str">
        <x:v>3/5</x:v>
      </x:c>
      <x:c r="H28" s="80" t="str">
        <x:v>052</x:v>
      </x:c>
      <x:c r="I28" s="83" t="str">
        <x:v>JJL82</x:v>
      </x:c>
      <x:c r="J28" s="80" t="str">
        <x:v>3rd Color</x:v>
      </x:c>
      <x:c r="K28" s="82" t="str"/>
      <x:c r="L28" s="82" t="str"/>
      <x:c r="M28" s="82" t="str"/>
      <x:c r="N28" s="82" t="str"/>
      <x:c r="O28" s="82" t="str"/>
      <x:c r="P28" s="82" t="str"/>
      <x:c r="Q28" s="82" t="str"/>
      <x:c r="R28" s="82" t="str">
        <x:v>Mainline</x:v>
      </x:c>
      <x:c r="S28" s="82" t="str">
        <x:v>Comum / atual</x:v>
      </x:c>
      <x:c r="T28" s="82" t="str">
        <x:v>2026 — listado; confirmar disponibilidade</x:v>
      </x:c>
      <x:c r="U28" s="82" t="str">
        <x:v>Imagem não disponível na fonte</x:v>
      </x:c>
      <x:c r="V28" s="80" t="str">
        <x:v>Coleção principal (~1:64)</x:v>
      </x:c>
      <x:c r="W28" s="82" t="str">
        <x:v>https://hotwheels.fandom.com/wiki/List_of_2026_Hot_Wheels</x:v>
      </x:c>
      <x:c r="X28" s="82" t="str">
        <x:v>https://hotwheels.fandom.com/wiki/Porsche_911_Turbo_Cabriolet</x:v>
      </x:c>
    </x:row>
    <x:row r="29">
      <x:c r="A29" s="80" t="str">
        <x:v>Não</x:v>
      </x:c>
      <x:c r="B29" s="80" t="str">
        <x:v>1 — Comprar agora</x:v>
      </x:c>
      <x:c r="C29" s="81" t="n">
        <x:v>2026</x:v>
      </x:c>
      <x:c r="D29" s="80" t="str">
        <x:v>Porsche 911 Turbo Cabriolet</x:v>
      </x:c>
      <x:c r="E29" s="80" t="str">
        <x:v>Porsche 911 Turbo Cabriolet</x:v>
      </x:c>
      <x:c r="F29" s="82" t="str">
        <x:v>Drop Tops / 3/5</x:v>
      </x:c>
      <x:c r="G29" s="80" t="str"/>
      <x:c r="H29" s="80" t="str">
        <x:v>052/250</x:v>
      </x:c>
      <x:c r="I29" s="83" t="str">
        <x:v>JJJ22</x:v>
      </x:c>
      <x:c r="J29" s="80" t="str">
        <x:v>Grand Prix White</x:v>
      </x:c>
      <x:c r="K29" s="82" t="str">
        <x:v>Detailed headlights and taillight strip, "CABRIOLET" license plates, Porsche logo and black stripes on hood</x:v>
      </x:c>
      <x:c r="L29" s="82" t="str">
        <x:v>Chrome Rim, Black L4</x:v>
      </x:c>
      <x:c r="M29" s="82" t="str">
        <x:v>Black / / / Plastic</x:v>
      </x:c>
      <x:c r="N29" s="82" t="str">
        <x:v>Clear</x:v>
      </x:c>
      <x:c r="O29" s="82" t="str">
        <x:v>Black</x:v>
      </x:c>
      <x:c r="P29" s="82" t="str">
        <x:v>Malaysia</x:v>
      </x:c>
      <x:c r="Q29" s="82" t="str"/>
      <x:c r="R29" s="82" t="str">
        <x:v>Mainline</x:v>
      </x:c>
      <x:c r="S29" s="82" t="str">
        <x:v>Comum / atual</x:v>
      </x:c>
      <x:c r="T29" s="82" t="str">
        <x:v>2026 — listado; confirmar disponibilidade</x:v>
      </x:c>
      <x:c r="U29" s="82" t="str">
        <x:v>Base code(s): U41N, U42N, U43N, U44N, U45N, U46N</x:v>
      </x:c>
      <x:c r="V29" s="80" t="str">
        <x:v>Coleção principal (~1:64)</x:v>
      </x:c>
      <x:c r="W29" s="82" t="str">
        <x:v>https://hotwheels.fandom.com/wiki/Porsche_911_Turbo_Cabriolet</x:v>
      </x:c>
      <x:c r="X29" s="82" t="str">
        <x:v>https://hotwheels.fandom.com/wiki/Porsche_911_Turbo_Cabriolet</x:v>
      </x:c>
    </x:row>
    <x:row r="30">
      <x:c r="A30" s="80" t="str">
        <x:v>Não</x:v>
      </x:c>
      <x:c r="B30" s="80" t="str">
        <x:v>1 — Comprar agora</x:v>
      </x:c>
      <x:c r="C30" s="81" t="n">
        <x:v>2026</x:v>
      </x:c>
      <x:c r="D30" s="80" t="str">
        <x:v>Porsche 914 Safari</x:v>
      </x:c>
      <x:c r="E30" s="80" t="str">
        <x:v>Porsche 914 Safari</x:v>
      </x:c>
      <x:c r="F30" s="82" t="str">
        <x:v>Car Culture: Thrill Climbers / 2/5</x:v>
      </x:c>
      <x:c r="G30" s="80" t="str"/>
      <x:c r="H30" s="80" t="str"/>
      <x:c r="I30" s="83" t="str">
        <x:v>JKF22</x:v>
      </x:c>
      <x:c r="J30" s="80" t="str">
        <x:v>White</x:v>
      </x:c>
      <x:c r="K30" s="82" t="str">
        <x:v>Detail headlights, taillights, trim, livery, badging, luggage</x:v>
      </x:c>
      <x:c r="L30" s="82" t="str">
        <x:v>White RRLW5</x:v>
      </x:c>
      <x:c r="M30" s="82" t="str"/>
      <x:c r="N30" s="82" t="str">
        <x:v>Smoke tint</x:v>
      </x:c>
      <x:c r="O30" s="82" t="str">
        <x:v>Black</x:v>
      </x:c>
      <x:c r="P30" s="82" t="str">
        <x:v>Thailand</x:v>
      </x:c>
      <x:c r="Q30" s="82" t="str"/>
      <x:c r="R30" s="82" t="str">
        <x:v>Premium</x:v>
      </x:c>
      <x:c r="S30" s="82" t="str">
        <x:v>Incomum</x:v>
      </x:c>
      <x:c r="T30" s="82" t="str">
        <x:v>2026 — listado; confirmar disponibilidade</x:v>
      </x:c>
      <x:c r="U30" s="82" t="str">
        <x:v>New Die-Cast Chassis / Base code(s): U41A, U42A, U44A</x:v>
      </x:c>
      <x:c r="V30" s="80" t="str">
        <x:v>Coleção principal (~1:64)</x:v>
      </x:c>
      <x:c r="W30" s="82" t="str">
        <x:v>https://hotwheels.fandom.com/wiki/Porsche_914_Safari</x:v>
      </x:c>
      <x:c r="X30" s="82" t="str">
        <x:v>https://hotwheels.fandom.com/wiki/Porsche_914_Safari</x:v>
      </x:c>
    </x:row>
    <x:row r="31">
      <x:c r="A31" s="80" t="str">
        <x:v>Não</x:v>
      </x:c>
      <x:c r="B31" s="80" t="str">
        <x:v>1 — Comprar agora</x:v>
      </x:c>
      <x:c r="C31" s="81" t="n">
        <x:v>2026</x:v>
      </x:c>
      <x:c r="D31" s="80" t="str">
        <x:v>Porsche 917 LH</x:v>
      </x:c>
      <x:c r="E31" s="80" t="str">
        <x:v>Porsche 917 LH</x:v>
      </x:c>
      <x:c r="F31" s="82" t="str">
        <x:v>Multipack Exclusive</x:v>
      </x:c>
      <x:c r="G31" s="80" t="str"/>
      <x:c r="H31" s="80" t="str"/>
      <x:c r="I31" s="83" t="str">
        <x:v>X6999</x:v>
      </x:c>
      <x:c r="J31" s="80" t="str">
        <x:v>Orange</x:v>
      </x:c>
      <x:c r="K31" s="82" t="str">
        <x:v>Black stripes on sides, Hood &amp; roof, '3' on sides &amp; roof, 'Porsche' on sides &amp; spoiler</x:v>
      </x:c>
      <x:c r="L31" s="82" t="str">
        <x:v>Grey 5SP</x:v>
      </x:c>
      <x:c r="M31" s="82" t="str">
        <x:v>Orange / / / Plastic</x:v>
      </x:c>
      <x:c r="N31" s="82" t="str">
        <x:v>Smoke tint</x:v>
      </x:c>
      <x:c r="O31" s="82" t="str">
        <x:v>Black</x:v>
      </x:c>
      <x:c r="P31" s="82" t="str">
        <x:v>Indonesia</x:v>
      </x:c>
      <x:c r="Q31" s="82" t="str"/>
      <x:c r="R31" s="82" t="str">
        <x:v>Temática / multipack</x:v>
      </x:c>
      <x:c r="S31" s="82" t="str">
        <x:v>Comum / atual</x:v>
      </x:c>
      <x:c r="T31" s="82" t="str">
        <x:v>2026 — listado; confirmar disponibilidade</x:v>
      </x:c>
      <x:c r="U31" s="82" t="str">
        <x:v>Identical to HTV50 / Base code(s): U39I</x:v>
      </x:c>
      <x:c r="V31" s="80" t="str">
        <x:v>Coleção principal (~1:64)</x:v>
      </x:c>
      <x:c r="W31" s="82" t="str">
        <x:v>https://hotwheels.fandom.com/wiki/Porsche_917_LH</x:v>
      </x:c>
      <x:c r="X31" s="82" t="str">
        <x:v>https://hotwheels.fandom.com/wiki/Porsche_917_LH</x:v>
      </x:c>
    </x:row>
    <x:row r="32">
      <x:c r="A32" s="80" t="str">
        <x:v>Não</x:v>
      </x:c>
      <x:c r="B32" s="80" t="str">
        <x:v>1 — Comprar agora</x:v>
      </x:c>
      <x:c r="C32" s="81" t="n">
        <x:v>2026</x:v>
      </x:c>
      <x:c r="D32" s="80" t="str">
        <x:v>Porsche 917K</x:v>
      </x:c>
      <x:c r="E32" s="80" t="str">
        <x:v>Porsche 917K</x:v>
      </x:c>
      <x:c r="F32" s="82" t="str">
        <x:v>Car Culture: Vintage Racing / 2/5</x:v>
      </x:c>
      <x:c r="G32" s="80" t="str"/>
      <x:c r="H32" s="80" t="str"/>
      <x:c r="I32" s="83" t="str">
        <x:v>JKF03</x:v>
      </x:c>
      <x:c r="J32" s="80" t="str">
        <x:v>Gulf Racing Blue</x:v>
      </x:c>
      <x:c r="K32" s="82" t="str">
        <x:v>Detailed headlights and taillights, Gulf Racing livery, "20" on sides</x:v>
      </x:c>
      <x:c r="L32" s="82" t="str">
        <x:v>RR5SPM</x:v>
      </x:c>
      <x:c r="M32" s="82" t="str">
        <x:v>Black / / / Metal</x:v>
      </x:c>
      <x:c r="N32" s="82" t="str">
        <x:v>Clear</x:v>
      </x:c>
      <x:c r="O32" s="82" t="str">
        <x:v>Black</x:v>
      </x:c>
      <x:c r="P32" s="82" t="str">
        <x:v>Thailand</x:v>
      </x:c>
      <x:c r="Q32" s="82" t="str"/>
      <x:c r="R32" s="82" t="str">
        <x:v>Premium</x:v>
      </x:c>
      <x:c r="S32" s="82" t="str">
        <x:v>Incomum</x:v>
      </x:c>
      <x:c r="T32" s="82" t="str">
        <x:v>2026 — listado; confirmar disponibilidade</x:v>
      </x:c>
      <x:c r="U32" s="82" t="str">
        <x:v>Base code(s):</x:v>
      </x:c>
      <x:c r="V32" s="80" t="str">
        <x:v>Coleção principal (~1:64)</x:v>
      </x:c>
      <x:c r="W32" s="82" t="str">
        <x:v>https://hotwheels.fandom.com/wiki/Porsche_917K</x:v>
      </x:c>
      <x:c r="X32" s="82" t="str">
        <x:v>https://hotwheels.fandom.com/wiki/Porsche_917K</x:v>
      </x:c>
    </x:row>
    <x:row r="33">
      <x:c r="A33" s="80" t="str">
        <x:v>Não</x:v>
      </x:c>
      <x:c r="B33" s="80" t="str">
        <x:v>1 — Comprar agora</x:v>
      </x:c>
      <x:c r="C33" s="81" t="n">
        <x:v>2026</x:v>
      </x:c>
      <x:c r="D33" s="80" t="str">
        <x:v>Porsche 930</x:v>
      </x:c>
      <x:c r="E33" s="80" t="str">
        <x:v>Porsche 930</x:v>
      </x:c>
      <x:c r="F33" s="82" t="str">
        <x:v>Car Culture 2-Packs / Upcoming / Cyberpunk 2077</x:v>
      </x:c>
      <x:c r="G33" s="80" t="str"/>
      <x:c r="H33" s="80" t="str"/>
      <x:c r="I33" s="83" t="str"/>
      <x:c r="J33" s="80" t="str"/>
      <x:c r="K33" s="82" t="str"/>
      <x:c r="L33" s="82" t="str"/>
      <x:c r="M33" s="82" t="str"/>
      <x:c r="N33" s="82" t="str"/>
      <x:c r="O33" s="82" t="str"/>
      <x:c r="P33" s="82" t="str"/>
      <x:c r="Q33" s="82" t="str"/>
      <x:c r="R33" s="82" t="str">
        <x:v>Premium</x:v>
      </x:c>
      <x:c r="S33" s="82" t="str">
        <x:v>Incomum</x:v>
      </x:c>
      <x:c r="T33" s="82" t="str">
        <x:v>Anunciado / confirmar lançamento</x:v>
      </x:c>
      <x:c r="U33" s="82" t="str">
        <x:v>Ainda não confirmado / anunciado na fonte</x:v>
      </x:c>
      <x:c r="V33" s="80" t="str">
        <x:v>Coleção principal (~1:64)</x:v>
      </x:c>
      <x:c r="W33" s="82" t="str">
        <x:v>https://orangetrackdiecast.com/2026-hot-wheels-master-list-of-all-lines/</x:v>
      </x:c>
      <x:c r="X33" s="82" t="str">
        <x:v>https://hotwheels.fandom.com/wiki/Porsche_930</x:v>
      </x:c>
    </x:row>
    <x:row r="34">
      <x:c r="A34" s="80" t="str">
        <x:v>Não</x:v>
      </x:c>
      <x:c r="B34" s="80" t="str">
        <x:v>1 — Comprar agora</x:v>
      </x:c>
      <x:c r="C34" s="81" t="n">
        <x:v>2026</x:v>
      </x:c>
      <x:c r="D34" s="80" t="str">
        <x:v>Porsche 934.5</x:v>
      </x:c>
      <x:c r="E34" s="80" t="str">
        <x:v>Porsche 934.5</x:v>
      </x:c>
      <x:c r="F34" s="82" t="str">
        <x:v>Pantone / 6/6</x:v>
      </x:c>
      <x:c r="G34" s="80" t="str"/>
      <x:c r="H34" s="80" t="str"/>
      <x:c r="I34" s="83" t="str">
        <x:v>JKY53</x:v>
      </x:c>
      <x:c r="J34" s="80" t="str">
        <x:v>Bumblebee</x:v>
      </x:c>
      <x:c r="K34" s="82" t="str">
        <x:v>Detailed headlights, taillights and trim, brown dot, "PANTONE 123" on door</x:v>
      </x:c>
      <x:c r="L34" s="82" t="str">
        <x:v>White lip, Bumblebee 6SP</x:v>
      </x:c>
      <x:c r="M34" s="82" t="str">
        <x:v>Bumblebee / / / Metal</x:v>
      </x:c>
      <x:c r="N34" s="82" t="str">
        <x:v>Yellow tint</x:v>
      </x:c>
      <x:c r="O34" s="82" t="str">
        <x:v>Bumblebee</x:v>
      </x:c>
      <x:c r="P34" s="82" t="str">
        <x:v>Thailand</x:v>
      </x:c>
      <x:c r="Q34" s="82" t="str"/>
      <x:c r="R34" s="82" t="str">
        <x:v>Outra linha</x:v>
      </x:c>
      <x:c r="S34" s="82" t="str">
        <x:v>Comum / atual</x:v>
      </x:c>
      <x:c r="T34" s="82" t="str">
        <x:v>2026 — listado; confirmar disponibilidade</x:v>
      </x:c>
      <x:c r="U34" s="82" t="str">
        <x:v>Named Porsche 934/5 / Base code(s): U36A, U38A, U40A</x:v>
      </x:c>
      <x:c r="V34" s="80" t="str">
        <x:v>Coleção principal (~1:64)</x:v>
      </x:c>
      <x:c r="W34" s="82" t="str">
        <x:v>https://hotwheels.fandom.com/wiki/Porsche_934.5</x:v>
      </x:c>
      <x:c r="X34" s="82" t="str">
        <x:v>https://hotwheels.fandom.com/wiki/Porsche_934.5</x:v>
      </x:c>
    </x:row>
    <x:row r="35">
      <x:c r="A35" s="80" t="str">
        <x:v>Não</x:v>
      </x:c>
      <x:c r="B35" s="80" t="str">
        <x:v>1 — Comprar agora</x:v>
      </x:c>
      <x:c r="C35" s="81" t="n">
        <x:v>2026</x:v>
      </x:c>
      <x:c r="D35" s="80" t="str">
        <x:v>Porsche 935 (2021)</x:v>
      </x:c>
      <x:c r="E35" s="80" t="str">
        <x:v>Porsche 935</x:v>
      </x:c>
      <x:c r="F35" s="82" t="str">
        <x:v>Porsche 935 Car Culture 2-Pack</x:v>
      </x:c>
      <x:c r="G35" s="80" t="str"/>
      <x:c r="H35" s="80" t="str"/>
      <x:c r="I35" s="83" t="str">
        <x:v>JHW51</x:v>
      </x:c>
      <x:c r="J35" s="80" t="str">
        <x:v>Red</x:v>
      </x:c>
      <x:c r="K35" s="82" t="str">
        <x:v>Porsche Konstruktionen Salzburg-inspired livery, Porsche windshield banner</x:v>
      </x:c>
      <x:c r="L35" s="82" t="str">
        <x:v>Black C4SPRR/RRA</x:v>
      </x:c>
      <x:c r="M35" s="82" t="str">
        <x:v>Black / / / Metal</x:v>
      </x:c>
      <x:c r="N35" s="82" t="str">
        <x:v>Smoke tint</x:v>
      </x:c>
      <x:c r="O35" s="82" t="str">
        <x:v>Black</x:v>
      </x:c>
      <x:c r="P35" s="82" t="str">
        <x:v>Thailand</x:v>
      </x:c>
      <x:c r="Q35" s="82" t="str"/>
      <x:c r="R35" s="82" t="str">
        <x:v>Premium</x:v>
      </x:c>
      <x:c r="S35" s="82" t="str">
        <x:v>Incomum</x:v>
      </x:c>
      <x:c r="T35" s="82" t="str">
        <x:v>2026 — listado; confirmar disponibilidade</x:v>
      </x:c>
      <x:c r="U35" s="82" t="str">
        <x:v>Base code(s): U37A, U43A</x:v>
      </x:c>
      <x:c r="V35" s="80" t="str">
        <x:v>Coleção principal (~1:64)</x:v>
      </x:c>
      <x:c r="W35" s="82" t="str">
        <x:v>https://hotwheels.fandom.com/wiki/Porsche_935_(2021)</x:v>
      </x:c>
      <x:c r="X35" s="82" t="str">
        <x:v>https://hotwheels.fandom.com/wiki/Porsche_935_(2021)</x:v>
      </x:c>
    </x:row>
    <x:row r="36">
      <x:c r="A36" s="80" t="str">
        <x:v>Não</x:v>
      </x:c>
      <x:c r="B36" s="80" t="str">
        <x:v>1 — Comprar agora</x:v>
      </x:c>
      <x:c r="C36" s="81" t="n">
        <x:v>2026</x:v>
      </x:c>
      <x:c r="D36" s="80" t="str">
        <x:v>Porsche 935 (2022)</x:v>
      </x:c>
      <x:c r="E36" s="80" t="str">
        <x:v>Porsche 935</x:v>
      </x:c>
      <x:c r="F36" s="82" t="str">
        <x:v>Chinese New Year</x:v>
      </x:c>
      <x:c r="G36" s="80" t="str"/>
      <x:c r="H36" s="80" t="str"/>
      <x:c r="I36" s="83" t="str">
        <x:v>JNF49</x:v>
      </x:c>
      <x:c r="J36" s="80" t="str">
        <x:v>Red</x:v>
      </x:c>
      <x:c r="K36" s="82" t="str">
        <x:v>Porsche Crest and "丙牛" on front, black, gold and white accents on front and sides, horse graphic and Hot Wheels logo on sides, "2026" on spoiler</x:v>
      </x:c>
      <x:c r="L36" s="82" t="str">
        <x:v>Bronze C5</x:v>
      </x:c>
      <x:c r="M36" s="82" t="str">
        <x:v>Black / / / Plastic</x:v>
      </x:c>
      <x:c r="N36" s="82" t="str">
        <x:v>Smoke tint</x:v>
      </x:c>
      <x:c r="O36" s="82" t="str">
        <x:v>Black</x:v>
      </x:c>
      <x:c r="P36" s="82" t="str">
        <x:v>Thailand</x:v>
      </x:c>
      <x:c r="Q36" s="82" t="str"/>
      <x:c r="R36" s="82" t="str">
        <x:v>Outra linha</x:v>
      </x:c>
      <x:c r="S36" s="82" t="str">
        <x:v>Comum / atual</x:v>
      </x:c>
      <x:c r="T36" s="82" t="str">
        <x:v>2026 — listado; confirmar disponibilidade</x:v>
      </x:c>
      <x:c r="U36" s="82" t="str">
        <x:v>Base code(s): U44A, U45A, U46A, U47A</x:v>
      </x:c>
      <x:c r="V36" s="80" t="str">
        <x:v>Coleção principal (~1:64)</x:v>
      </x:c>
      <x:c r="W36" s="82" t="str">
        <x:v>https://hotwheels.fandom.com/wiki/Porsche_935_(2022)</x:v>
      </x:c>
      <x:c r="X36" s="82" t="str">
        <x:v>https://hotwheels.fandom.com/wiki/Porsche_935_(2022)</x:v>
      </x:c>
    </x:row>
    <x:row r="37">
      <x:c r="A37" s="80" t="str">
        <x:v>Não</x:v>
      </x:c>
      <x:c r="B37" s="80" t="str">
        <x:v>1 — Comprar agora</x:v>
      </x:c>
      <x:c r="C37" s="81" t="n">
        <x:v>2026</x:v>
      </x:c>
      <x:c r="D37" s="80" t="str">
        <x:v>Porsche 935 (2022)</x:v>
      </x:c>
      <x:c r="E37" s="80" t="str">
        <x:v>Porsche 935</x:v>
      </x:c>
      <x:c r="F37" s="82" t="str">
        <x:v>Porsche 935 Car Culture 2-Pack</x:v>
      </x:c>
      <x:c r="G37" s="80" t="str"/>
      <x:c r="H37" s="80" t="str"/>
      <x:c r="I37" s="83" t="str">
        <x:v>JHW51</x:v>
      </x:c>
      <x:c r="J37" s="80" t="str">
        <x:v>Red</x:v>
      </x:c>
      <x:c r="K37" s="82" t="str">
        <x:v>Detailed headlights and taillights, Team Salzburg-inspired livery, circle on sides</x:v>
      </x:c>
      <x:c r="L37" s="82" t="str">
        <x:v>Black RRA</x:v>
      </x:c>
      <x:c r="M37" s="82" t="str">
        <x:v>Black / / / Metal</x:v>
      </x:c>
      <x:c r="N37" s="82" t="str">
        <x:v>Smoke tint</x:v>
      </x:c>
      <x:c r="O37" s="82" t="str">
        <x:v>Black</x:v>
      </x:c>
      <x:c r="P37" s="82" t="str">
        <x:v>Thailand</x:v>
      </x:c>
      <x:c r="Q37" s="82" t="str"/>
      <x:c r="R37" s="82" t="str">
        <x:v>Premium</x:v>
      </x:c>
      <x:c r="S37" s="82" t="str">
        <x:v>Incomum</x:v>
      </x:c>
      <x:c r="T37" s="82" t="str">
        <x:v>2026 — listado; confirmar disponibilidade</x:v>
      </x:c>
      <x:c r="U37" s="82" t="str">
        <x:v>Identical to HKF36 / Base code(s): U37A, U43A</x:v>
      </x:c>
      <x:c r="V37" s="80" t="str">
        <x:v>Coleção principal (~1:64)</x:v>
      </x:c>
      <x:c r="W37" s="82" t="str">
        <x:v>https://hotwheels.fandom.com/wiki/Porsche_935_(2022)</x:v>
      </x:c>
      <x:c r="X37" s="82" t="str">
        <x:v>https://hotwheels.fandom.com/wiki/Porsche_935_(2022)</x:v>
      </x:c>
    </x:row>
    <x:row r="38">
      <x:c r="A38" s="80" t="str">
        <x:v>Não</x:v>
      </x:c>
      <x:c r="B38" s="80" t="str">
        <x:v>1 — Comprar agora</x:v>
      </x:c>
      <x:c r="C38" s="81" t="n">
        <x:v>2026</x:v>
      </x:c>
      <x:c r="D38" s="80" t="str">
        <x:v>Porsche 993 GT2</x:v>
      </x:c>
      <x:c r="E38" s="80" t="str">
        <x:v>Porsche 993 GT2</x:v>
      </x:c>
      <x:c r="F38" s="82" t="str">
        <x:v>Car Culture: Modern Classics / 4/5</x:v>
      </x:c>
      <x:c r="G38" s="80" t="str"/>
      <x:c r="H38" s="80" t="str"/>
      <x:c r="I38" s="83" t="str">
        <x:v>JKF16</x:v>
      </x:c>
      <x:c r="J38" s="80" t="str">
        <x:v>Silver</x:v>
      </x:c>
      <x:c r="K38" s="82" t="str">
        <x:v>Detailed taillights and badging, "911 GT" on rear, "PORSCHE" license plate</x:v>
      </x:c>
      <x:c r="L38" s="82" t="str">
        <x:v>Gray RR5SPM</x:v>
      </x:c>
      <x:c r="M38" s="82" t="str">
        <x:v>Black / / / Metal</x:v>
      </x:c>
      <x:c r="N38" s="82" t="str">
        <x:v>Smoke tint</x:v>
      </x:c>
      <x:c r="O38" s="82" t="str">
        <x:v>Black</x:v>
      </x:c>
      <x:c r="P38" s="82" t="str">
        <x:v>Thailand</x:v>
      </x:c>
      <x:c r="Q38" s="82" t="str"/>
      <x:c r="R38" s="82" t="str">
        <x:v>Premium</x:v>
      </x:c>
      <x:c r="S38" s="82" t="str">
        <x:v>Incomum</x:v>
      </x:c>
      <x:c r="T38" s="82" t="str">
        <x:v>2026 — listado; confirmar disponibilidade</x:v>
      </x:c>
      <x:c r="U38" s="82" t="str">
        <x:v>Base code(s): V03A, V04A</x:v>
      </x:c>
      <x:c r="V38" s="80" t="str">
        <x:v>Coleção principal (~1:64)</x:v>
      </x:c>
      <x:c r="W38" s="82" t="str">
        <x:v>https://hotwheels.fandom.com/wiki/Porsche_993_GT2</x:v>
      </x:c>
      <x:c r="X38" s="82" t="str">
        <x:v>https://hotwheels.fandom.com/wiki/Porsche_993_GT2</x:v>
      </x:c>
    </x:row>
    <x:row r="39">
      <x:c r="A39" s="80" t="str">
        <x:v>Não</x:v>
      </x:c>
      <x:c r="B39" s="80" t="str">
        <x:v>1 — Comprar agora</x:v>
      </x:c>
      <x:c r="C39" s="81" t="n">
        <x:v>2026</x:v>
      </x:c>
      <x:c r="D39" s="80" t="str">
        <x:v>Porsche Cayman S</x:v>
      </x:c>
      <x:c r="E39" s="80" t="str">
        <x:v>Porsche Cayman S</x:v>
      </x:c>
      <x:c r="F39" s="82" t="str">
        <x:v>Neon Speeders 6/8</x:v>
      </x:c>
      <x:c r="G39" s="80" t="str"/>
      <x:c r="H39" s="80" t="str"/>
      <x:c r="I39" s="83" t="str">
        <x:v>JKY06</x:v>
      </x:c>
      <x:c r="J39" s="80" t="str">
        <x:v>Neon day-glo yellow</x:v>
      </x:c>
      <x:c r="K39" s="82" t="str">
        <x:v>Detailed headlights, taillights, and trim, Porsche wordmark, "2" on sides, "Cayman S" rear license plate</x:v>
      </x:c>
      <x:c r="L39" s="82" t="str">
        <x:v>NS6</x:v>
      </x:c>
      <x:c r="M39" s="82" t="str">
        <x:v>Black / Plastic</x:v>
      </x:c>
      <x:c r="N39" s="82" t="str">
        <x:v>Smoke tint</x:v>
      </x:c>
      <x:c r="O39" s="82" t="str">
        <x:v>Black</x:v>
      </x:c>
      <x:c r="P39" s="82" t="str">
        <x:v>Indonesia</x:v>
      </x:c>
      <x:c r="Q39" s="82" t="str"/>
      <x:c r="R39" s="82" t="str">
        <x:v>Outra linha</x:v>
      </x:c>
      <x:c r="S39" s="82" t="str">
        <x:v>Comum / atual</x:v>
      </x:c>
      <x:c r="T39" s="82" t="str">
        <x:v>2026 — listado; confirmar disponibilidade</x:v>
      </x:c>
      <x:c r="U39" s="82" t="str">
        <x:v>Base code(s): V13I</x:v>
      </x:c>
      <x:c r="V39" s="80" t="str">
        <x:v>Coleção principal (~1:64)</x:v>
      </x:c>
      <x:c r="W39" s="82" t="str">
        <x:v>https://hotwheels.fandom.com/wiki/Porsche_Cayman_S</x:v>
      </x:c>
      <x:c r="X39" s="82" t="str">
        <x:v>https://hotwheels.fandom.com/wiki/Porsche_Cayman_S</x:v>
      </x:c>
    </x:row>
    <x:row r="40">
      <x:c r="A40" s="80" t="str">
        <x:v>Não</x:v>
      </x:c>
      <x:c r="B40" s="80" t="str">
        <x:v>1 — Comprar agora</x:v>
      </x:c>
      <x:c r="C40" s="81" t="n">
        <x:v>2026</x:v>
      </x:c>
      <x:c r="D40" s="80" t="str">
        <x:v>Porsche Taycan Turbo S</x:v>
      </x:c>
      <x:c r="E40" s="80" t="str">
        <x:v>Porsche Taycan Turbo S</x:v>
      </x:c>
      <x:c r="F40" s="82" t="str">
        <x:v>HW EV</x:v>
      </x:c>
      <x:c r="G40" s="80" t="str">
        <x:v>3/10</x:v>
      </x:c>
      <x:c r="H40" s="80" t="str">
        <x:v>034</x:v>
      </x:c>
      <x:c r="I40" s="83" t="str">
        <x:v>JJL01</x:v>
      </x:c>
      <x:c r="J40" s="80" t="str">
        <x:v>2nd Color</x:v>
      </x:c>
      <x:c r="K40" s="82" t="str"/>
      <x:c r="L40" s="82" t="str"/>
      <x:c r="M40" s="82" t="str"/>
      <x:c r="N40" s="82" t="str"/>
      <x:c r="O40" s="82" t="str"/>
      <x:c r="P40" s="82" t="str"/>
      <x:c r="Q40" s="82" t="str"/>
      <x:c r="R40" s="82" t="str">
        <x:v>Mainline</x:v>
      </x:c>
      <x:c r="S40" s="82" t="str">
        <x:v>Comum / atual</x:v>
      </x:c>
      <x:c r="T40" s="82" t="str">
        <x:v>2026 — listado; confirmar disponibilidade</x:v>
      </x:c>
      <x:c r="U40" s="82" t="str"/>
      <x:c r="V40" s="80" t="str">
        <x:v>Coleção principal (~1:64)</x:v>
      </x:c>
      <x:c r="W40" s="82" t="str">
        <x:v>https://hotwheels.fandom.com/wiki/List_of_2026_Hot_Wheels</x:v>
      </x:c>
      <x:c r="X40" s="82" t="str">
        <x:v>https://hotwheels.fandom.com/wiki/Porsche_Taycan_Turbo_S</x:v>
      </x:c>
    </x:row>
    <x:row r="41">
      <x:c r="A41" s="80" t="str">
        <x:v>Não</x:v>
      </x:c>
      <x:c r="B41" s="80" t="str">
        <x:v>1 — Comprar agora</x:v>
      </x:c>
      <x:c r="C41" s="81" t="n">
        <x:v>2026</x:v>
      </x:c>
      <x:c r="D41" s="80" t="str">
        <x:v>Porsche Taycan Turbo S</x:v>
      </x:c>
      <x:c r="E41" s="80" t="str">
        <x:v>Porsche Taycan Turbo S</x:v>
      </x:c>
      <x:c r="F41" s="82" t="str">
        <x:v>HW EV / 3/10</x:v>
      </x:c>
      <x:c r="G41" s="80" t="str"/>
      <x:c r="H41" s="80" t="str">
        <x:v>034/250</x:v>
      </x:c>
      <x:c r="I41" s="83" t="str">
        <x:v>JJJ05</x:v>
      </x:c>
      <x:c r="J41" s="80" t="str">
        <x:v>White</x:v>
      </x:c>
      <x:c r="K41" s="82" t="str">
        <x:v>Detailed headlights &amp; taillights, "Turbo S" license plate, "PORSCHE Taycan Turbo S" on rear</x:v>
      </x:c>
      <x:c r="L41" s="82" t="str">
        <x:v>White rim, black OH5</x:v>
      </x:c>
      <x:c r="M41" s="82" t="str">
        <x:v>Black / / / Plastic</x:v>
      </x:c>
      <x:c r="N41" s="82" t="str">
        <x:v>Smoke tint</x:v>
      </x:c>
      <x:c r="O41" s="82" t="str">
        <x:v>Black</x:v>
      </x:c>
      <x:c r="P41" s="82" t="str">
        <x:v>Malaysia</x:v>
      </x:c>
      <x:c r="Q41" s="82" t="str"/>
      <x:c r="R41" s="82" t="str">
        <x:v>Mainline</x:v>
      </x:c>
      <x:c r="S41" s="82" t="str">
        <x:v>Comum / atual</x:v>
      </x:c>
      <x:c r="T41" s="82" t="str">
        <x:v>2026 — listado; confirmar disponibilidade</x:v>
      </x:c>
      <x:c r="U41" s="82" t="str">
        <x:v>Base code(s): U37N, U39N, U40N, U43N</x:v>
      </x:c>
      <x:c r="V41" s="80" t="str">
        <x:v>Coleção principal (~1:64)</x:v>
      </x:c>
      <x:c r="W41" s="82" t="str">
        <x:v>https://hotwheels.fandom.com/wiki/Porsche_Taycan_Turbo_S</x:v>
      </x:c>
      <x:c r="X41" s="82" t="str">
        <x:v>https://hotwheels.fandom.com/wiki/Porsche_Taycan_Turbo_S</x:v>
      </x:c>
    </x:row>
    <x:row r="42">
      <x:c r="A42" s="80" t="str">
        <x:v>Não</x:v>
      </x:c>
      <x:c r="B42" s="80" t="str">
        <x:v>1 — Comprar agora</x:v>
      </x:c>
      <x:c r="C42" s="81" t="n">
        <x:v>2026</x:v>
      </x:c>
      <x:c r="D42" s="80" t="str">
        <x:v>Tooned Porsche</x:v>
      </x:c>
      <x:c r="E42" s="80" t="str">
        <x:v>Tooned Porsche</x:v>
      </x:c>
      <x:c r="F42" s="82" t="str">
        <x:v>Pantone / Mix 3 (C)</x:v>
      </x:c>
      <x:c r="G42" s="80" t="str"/>
      <x:c r="H42" s="80" t="str"/>
      <x:c r="I42" s="83" t="str"/>
      <x:c r="J42" s="80" t="str"/>
      <x:c r="K42" s="82" t="str"/>
      <x:c r="L42" s="82" t="str"/>
      <x:c r="M42" s="82" t="str"/>
      <x:c r="N42" s="82" t="str"/>
      <x:c r="O42" s="82" t="str"/>
      <x:c r="P42" s="82" t="str"/>
      <x:c r="Q42" s="82" t="str"/>
      <x:c r="R42" s="82" t="str">
        <x:v>Outra linha</x:v>
      </x:c>
      <x:c r="S42" s="82" t="str">
        <x:v>Comum / atual</x:v>
      </x:c>
      <x:c r="T42" s="82" t="str">
        <x:v>Anunciado / confirmar lançamento</x:v>
      </x:c>
      <x:c r="U42" s="82" t="str">
        <x:v>Ainda não confirmado / anunciado na fonte</x:v>
      </x:c>
      <x:c r="V42" s="80" t="str">
        <x:v>Coleção principal (~1:64)</x:v>
      </x:c>
      <x:c r="W42" s="82" t="str">
        <x:v>https://orangetrackdiecast.com/2026-hot-wheels-master-list-of-all-lines/</x:v>
      </x:c>
      <x:c r="X42" s="82" t="str"/>
    </x:row>
    <x:row r="43">
      <x:c r="A43" s="80" t="str">
        <x:v>Não</x:v>
      </x:c>
      <x:c r="B43" s="80" t="str">
        <x:v>1 — Comprar agora</x:v>
      </x:c>
      <x:c r="C43" s="81" t="n">
        <x:v>2025</x:v>
      </x:c>
      <x:c r="D43" s="80" t="str">
        <x:v>'67 Porsche 911 R</x:v>
      </x:c>
      <x:c r="E43" s="80" t="str">
        <x:v>'67 Porsche 911 R</x:v>
      </x:c>
      <x:c r="F43" s="82" t="str">
        <x:v>National Icons / 5/5</x:v>
      </x:c>
      <x:c r="G43" s="80" t="str"/>
      <x:c r="H43" s="80" t="str"/>
      <x:c r="I43" s="83" t="str">
        <x:v>JBY86</x:v>
      </x:c>
      <x:c r="J43" s="80" t="str">
        <x:v>Red</x:v>
      </x:c>
      <x:c r="K43" s="82" t="str">
        <x:v>Detailed headlights and taillights, Porsche wordmark on sides and rear, Porsche logo on hood, black stripes on sides</x:v>
      </x:c>
      <x:c r="L43" s="82" t="str">
        <x:v>C5</x:v>
      </x:c>
      <x:c r="M43" s="82" t="str">
        <x:v>Black / / / Plastic</x:v>
      </x:c>
      <x:c r="N43" s="82" t="str">
        <x:v>Smoke tint</x:v>
      </x:c>
      <x:c r="O43" s="82" t="str">
        <x:v>Black</x:v>
      </x:c>
      <x:c r="P43" s="82" t="str">
        <x:v>Indonesia</x:v>
      </x:c>
      <x:c r="Q43" s="82" t="str"/>
      <x:c r="R43" s="82" t="str">
        <x:v>Outra linha</x:v>
      </x:c>
      <x:c r="S43" s="82" t="str">
        <x:v>Comum / atual</x:v>
      </x:c>
      <x:c r="T43" s="82" t="str">
        <x:v>Lançado</x:v>
      </x:c>
      <x:c r="U43" s="82" t="str">
        <x:v>New Plastic Chassis / Base code(s): U13I, U25I,</x:v>
      </x:c>
      <x:c r="V43" s="80" t="str">
        <x:v>Coleção principal (~1:64)</x:v>
      </x:c>
      <x:c r="W43" s="82" t="str">
        <x:v>https://hotwheels.fandom.com/wiki/%2767_Porsche_911_R</x:v>
      </x:c>
      <x:c r="X43" s="82" t="str">
        <x:v>https://hotwheels.fandom.com/wiki/%2767_Porsche_911_R</x:v>
      </x:c>
    </x:row>
    <x:row r="44">
      <x:c r="A44" s="80" t="str">
        <x:v>Não</x:v>
      </x:c>
      <x:c r="B44" s="80" t="str">
        <x:v>1 — Comprar agora</x:v>
      </x:c>
      <x:c r="C44" s="81" t="n">
        <x:v>2025</x:v>
      </x:c>
      <x:c r="D44" s="80" t="str">
        <x:v>'71 Porsche 911</x:v>
      </x:c>
      <x:c r="E44" s="80" t="str">
        <x:v>'71 Porsche 911</x:v>
      </x:c>
      <x:c r="F44" s="82" t="str">
        <x:v>Multipack Exclusive</x:v>
      </x:c>
      <x:c r="G44" s="80" t="str"/>
      <x:c r="H44" s="80" t="str"/>
      <x:c r="I44" s="83" t="str">
        <x:v>X6999</x:v>
      </x:c>
      <x:c r="J44" s="80" t="str">
        <x:v>Metalflake Blue</x:v>
      </x:c>
      <x:c r="K44" s="82" t="str">
        <x:v>Blue door, black stripe with "Porsche", white stripe and circle with "71"</x:v>
      </x:c>
      <x:c r="L44" s="82" t="str">
        <x:v>Chrome lip, black RSW</x:v>
      </x:c>
      <x:c r="M44" s="82" t="str">
        <x:v>Blue / / / Plastic</x:v>
      </x:c>
      <x:c r="N44" s="82" t="str">
        <x:v>Smoke tint</x:v>
      </x:c>
      <x:c r="O44" s="82" t="str">
        <x:v>Black</x:v>
      </x:c>
      <x:c r="P44" s="82" t="str">
        <x:v>Malaysia</x:v>
      </x:c>
      <x:c r="Q44" s="82" t="str"/>
      <x:c r="R44" s="82" t="str">
        <x:v>Temática / multipack</x:v>
      </x:c>
      <x:c r="S44" s="82" t="str">
        <x:v>Comum / atual</x:v>
      </x:c>
      <x:c r="T44" s="82" t="str">
        <x:v>Lançado</x:v>
      </x:c>
      <x:c r="U44" s="82" t="str">
        <x:v>Base code(s): T48N, U19N, U33N</x:v>
      </x:c>
      <x:c r="V44" s="80" t="str">
        <x:v>Coleção principal (~1:64)</x:v>
      </x:c>
      <x:c r="W44" s="82" t="str">
        <x:v>https://hotwheels.fandom.com/wiki/%2771_Porsche_911</x:v>
      </x:c>
      <x:c r="X44" s="82" t="str">
        <x:v>https://hotwheels.fandom.com/wiki/%2771_Porsche_911</x:v>
      </x:c>
    </x:row>
    <x:row r="45">
      <x:c r="A45" s="80" t="str">
        <x:v>Não</x:v>
      </x:c>
      <x:c r="B45" s="80" t="str">
        <x:v>1 — Comprar agora</x:v>
      </x:c>
      <x:c r="C45" s="81" t="n">
        <x:v>2025</x:v>
      </x:c>
      <x:c r="D45" s="80" t="str">
        <x:v>'71 Porsche 911</x:v>
      </x:c>
      <x:c r="E45" s="80" t="str">
        <x:v>'71 Porsche 911</x:v>
      </x:c>
      <x:c r="F45" s="82" t="str">
        <x:v>Pop Culture: Top Gun: Maverick</x:v>
      </x:c>
      <x:c r="G45" s="80" t="str"/>
      <x:c r="H45" s="80" t="str"/>
      <x:c r="I45" s="83" t="str">
        <x:v>JBL62</x:v>
      </x:c>
      <x:c r="J45" s="80" t="str">
        <x:v>Silver</x:v>
      </x:c>
      <x:c r="K45" s="82" t="str">
        <x:v>Detailed headlights, taillights and trim, "PORSCHE" on trunk, Porsche logo on hood</x:v>
      </x:c>
      <x:c r="L45" s="82" t="str">
        <x:v>RRLW5</x:v>
      </x:c>
      <x:c r="M45" s="82" t="str">
        <x:v>Silver Metalflake / / / Metal</x:v>
      </x:c>
      <x:c r="N45" s="82" t="str">
        <x:v>Smoke tint</x:v>
      </x:c>
      <x:c r="O45" s="82" t="str">
        <x:v>Black</x:v>
      </x:c>
      <x:c r="P45" s="82" t="str">
        <x:v>Indonesia</x:v>
      </x:c>
      <x:c r="Q45" s="82" t="str"/>
      <x:c r="R45" s="82" t="str">
        <x:v>Premium</x:v>
      </x:c>
      <x:c r="S45" s="82" t="str">
        <x:v>Incomum</x:v>
      </x:c>
      <x:c r="T45" s="82" t="str">
        <x:v>Lançado</x:v>
      </x:c>
      <x:c r="U45" s="82" t="str">
        <x:v>Replicates "1973 Porsche 911 S" / Base code(s): U08I, U09I, U16I</x:v>
      </x:c>
      <x:c r="V45" s="80" t="str">
        <x:v>Coleção principal (~1:64)</x:v>
      </x:c>
      <x:c r="W45" s="82" t="str">
        <x:v>https://hotwheels.fandom.com/wiki/%2771_Porsche_911</x:v>
      </x:c>
      <x:c r="X45" s="82" t="str">
        <x:v>https://hotwheels.fandom.com/wiki/%2771_Porsche_911</x:v>
      </x:c>
    </x:row>
    <x:row r="46">
      <x:c r="A46" s="80" t="str">
        <x:v>Não</x:v>
      </x:c>
      <x:c r="B46" s="80" t="str">
        <x:v>1 — Comprar agora</x:v>
      </x:c>
      <x:c r="C46" s="81" t="n">
        <x:v>2025</x:v>
      </x:c>
      <x:c r="D46" s="80" t="str">
        <x:v>'89 Porsche 944 Turbo</x:v>
      </x:c>
      <x:c r="E46" s="80" t="str">
        <x:v>'89 Porsche 944 Turbo</x:v>
      </x:c>
      <x:c r="F46" s="82" t="str">
        <x:v>Mattel 80th Anniversary Multipack</x:v>
      </x:c>
      <x:c r="G46" s="80" t="str"/>
      <x:c r="H46" s="80" t="str"/>
      <x:c r="I46" s="83" t="str">
        <x:v>JGK09</x:v>
      </x:c>
      <x:c r="J46" s="80" t="str">
        <x:v>Red</x:v>
      </x:c>
      <x:c r="K46" s="82" t="str">
        <x:v>Detailed headlights, taillights and trim, maroon accents, Hot Wheels and Mattel 80th Anniversary logos on sides</x:v>
      </x:c>
      <x:c r="L46" s="82" t="str">
        <x:v>C5</x:v>
      </x:c>
      <x:c r="M46" s="82" t="str">
        <x:v>Black / / / Plastic</x:v>
      </x:c>
      <x:c r="N46" s="82" t="str">
        <x:v>Smoke tint</x:v>
      </x:c>
      <x:c r="O46" s="82" t="str">
        <x:v>Black</x:v>
      </x:c>
      <x:c r="P46" s="82" t="str">
        <x:v>Thailand</x:v>
      </x:c>
      <x:c r="Q46" s="82" t="str"/>
      <x:c r="R46" s="82" t="str">
        <x:v>Temática / multipack</x:v>
      </x:c>
      <x:c r="S46" s="82" t="str">
        <x:v>Comum / atual</x:v>
      </x:c>
      <x:c r="T46" s="82" t="str">
        <x:v>Lançado</x:v>
      </x:c>
      <x:c r="U46" s="82" t="str">
        <x:v>Base code(s): U21A,</x:v>
      </x:c>
      <x:c r="V46" s="80" t="str">
        <x:v>Coleção principal (~1:64)</x:v>
      </x:c>
      <x:c r="W46" s="82" t="str">
        <x:v>https://hotwheels.fandom.com/wiki/%2789_Porsche_944_Turbo</x:v>
      </x:c>
      <x:c r="X46" s="82" t="str">
        <x:v>https://hotwheels.fandom.com/wiki/%2789_Porsche_944_Turbo</x:v>
      </x:c>
    </x:row>
    <x:row r="47">
      <x:c r="A47" s="80" t="str">
        <x:v>Não</x:v>
      </x:c>
      <x:c r="B47" s="80" t="str">
        <x:v>1 — Comprar agora</x:v>
      </x:c>
      <x:c r="C47" s="81" t="n">
        <x:v>2025</x:v>
      </x:c>
      <x:c r="D47" s="80" t="str">
        <x:v>'96 Porsche Carrera</x:v>
      </x:c>
      <x:c r="E47" s="80" t="str">
        <x:v>'96 Porsche Carrera</x:v>
      </x:c>
      <x:c r="F47" s="82" t="str">
        <x:v>European Car Culture Themed Multipack</x:v>
      </x:c>
      <x:c r="G47" s="80" t="str"/>
      <x:c r="H47" s="80" t="str"/>
      <x:c r="I47" s="83" t="str">
        <x:v>JBY79</x:v>
      </x:c>
      <x:c r="J47" s="80" t="str">
        <x:v>Half Grey Olive</x:v>
      </x:c>
      <x:c r="K47" s="82" t="str">
        <x:v>Black roof, Detailed headlights &amp; taillights, detailed rear grille</x:v>
      </x:c>
      <x:c r="L47" s="82" t="str">
        <x:v>C5</x:v>
      </x:c>
      <x:c r="M47" s="82" t="str"/>
      <x:c r="N47" s="82" t="str">
        <x:v>Smoke tint</x:v>
      </x:c>
      <x:c r="O47" s="82" t="str">
        <x:v>Black</x:v>
      </x:c>
      <x:c r="P47" s="82" t="str">
        <x:v>Thailand</x:v>
      </x:c>
      <x:c r="Q47" s="82" t="str"/>
      <x:c r="R47" s="82" t="str">
        <x:v>Premium</x:v>
      </x:c>
      <x:c r="S47" s="82" t="str">
        <x:v>Incomum</x:v>
      </x:c>
      <x:c r="T47" s="82" t="str">
        <x:v>Lançado</x:v>
      </x:c>
      <x:c r="U47" s="82" t="str">
        <x:v>Named 1996 Porsche 911 Carrera / Base code(s): U09A, U27A</x:v>
      </x:c>
      <x:c r="V47" s="80" t="str">
        <x:v>Coleção principal (~1:64)</x:v>
      </x:c>
      <x:c r="W47" s="82" t="str">
        <x:v>https://hotwheels.fandom.com/wiki/%2796_Porsche_Carrera</x:v>
      </x:c>
      <x:c r="X47" s="82" t="str">
        <x:v>https://hotwheels.fandom.com/wiki/%2796_Porsche_Carrera</x:v>
      </x:c>
    </x:row>
    <x:row r="48">
      <x:c r="A48" s="80" t="str">
        <x:v>Não</x:v>
      </x:c>
      <x:c r="B48" s="80" t="str">
        <x:v>1 — Comprar agora</x:v>
      </x:c>
      <x:c r="C48" s="81" t="n">
        <x:v>2025</x:v>
      </x:c>
      <x:c r="D48" s="80" t="str">
        <x:v>1983 Porsche 928S</x:v>
      </x:c>
      <x:c r="E48" s="80" t="str">
        <x:v>1983 Porsche 928S</x:v>
      </x:c>
      <x:c r="F48" s="82" t="str">
        <x:v>Muscle Mania / 10/10</x:v>
      </x:c>
      <x:c r="G48" s="80" t="str"/>
      <x:c r="H48" s="80" t="str"/>
      <x:c r="I48" s="83" t="str">
        <x:v>JJM42</x:v>
      </x:c>
      <x:c r="J48" s="80" t="str">
        <x:v>Metalflake Champagne</x:v>
      </x:c>
      <x:c r="K48" s="82" t="str">
        <x:v>Porsche Crest on hood, detailed reflectors and trim, Porsche side stripes, Hot Wheels logo on front fender</x:v>
      </x:c>
      <x:c r="L48" s="82" t="str">
        <x:v>5SP</x:v>
      </x:c>
      <x:c r="M48" s="82" t="str">
        <x:v>Gold / / / Plastic</x:v>
      </x:c>
      <x:c r="N48" s="82" t="str">
        <x:v>Dark Smoke tint</x:v>
      </x:c>
      <x:c r="O48" s="82" t="str">
        <x:v>Champagne</x:v>
      </x:c>
      <x:c r="P48" s="82" t="str">
        <x:v>Malaysia</x:v>
      </x:c>
      <x:c r="Q48" s="82" t="str"/>
      <x:c r="R48" s="82" t="str">
        <x:v>Outra linha</x:v>
      </x:c>
      <x:c r="S48" s="82" t="str">
        <x:v>Comum / atual</x:v>
      </x:c>
      <x:c r="T48" s="82" t="str">
        <x:v>Lançado</x:v>
      </x:c>
      <x:c r="U48" s="82" t="str">
        <x:v>New Model / Dollar General Exclusive / Base code(s): U36N</x:v>
      </x:c>
      <x:c r="V48" s="80" t="str">
        <x:v>Coleção principal (~1:64)</x:v>
      </x:c>
      <x:c r="W48" s="82" t="str">
        <x:v>https://hotwheels.fandom.com/wiki/1983_Porsche_928S</x:v>
      </x:c>
      <x:c r="X48" s="82" t="str">
        <x:v>https://hotwheels.fandom.com/wiki/1983_Porsche_928S</x:v>
      </x:c>
    </x:row>
    <x:row r="49">
      <x:c r="A49" s="80" t="str">
        <x:v>Não</x:v>
      </x:c>
      <x:c r="B49" s="80" t="str">
        <x:v>1 — Comprar agora</x:v>
      </x:c>
      <x:c r="C49" s="81" t="n">
        <x:v>2025</x:v>
      </x:c>
      <x:c r="D49" s="80" t="str">
        <x:v>1983 Porsche 928S</x:v>
      </x:c>
      <x:c r="E49" s="80" t="str">
        <x:v>1983 Porsche 928S</x:v>
      </x:c>
      <x:c r="F49" s="82" t="str">
        <x:v>Muscle Mania / 10/10</x:v>
      </x:c>
      <x:c r="G49" s="80" t="str"/>
      <x:c r="H49" s="80" t="str">
        <x:v>250/250</x:v>
      </x:c>
      <x:c r="I49" s="83" t="str">
        <x:v>HYW53</x:v>
      </x:c>
      <x:c r="J49" s="80" t="str">
        <x:v>Red</x:v>
      </x:c>
      <x:c r="K49" s="82" t="str">
        <x:v>Porsche Crest on hood, detailed reflectors and trim, Porsche side stripes, Hot Wheels logo on front fender</x:v>
      </x:c>
      <x:c r="L49" s="82" t="str">
        <x:v>AeroDisc</x:v>
      </x:c>
      <x:c r="M49" s="82" t="str">
        <x:v>Red / / / Plastic</x:v>
      </x:c>
      <x:c r="N49" s="82" t="str">
        <x:v>Smoke tint</x:v>
      </x:c>
      <x:c r="O49" s="82" t="str">
        <x:v>Tan</x:v>
      </x:c>
      <x:c r="P49" s="82" t="str">
        <x:v>Malaysia</x:v>
      </x:c>
      <x:c r="Q49" s="82" t="str"/>
      <x:c r="R49" s="82" t="str">
        <x:v>Mainline</x:v>
      </x:c>
      <x:c r="S49" s="82" t="str">
        <x:v>Comum / atual</x:v>
      </x:c>
      <x:c r="T49" s="82" t="str">
        <x:v>Lançado</x:v>
      </x:c>
      <x:c r="U49" s="82" t="str">
        <x:v>New Model / Base code(s): U27N, U28N, U29N, U30N</x:v>
      </x:c>
      <x:c r="V49" s="80" t="str">
        <x:v>Coleção principal (~1:64)</x:v>
      </x:c>
      <x:c r="W49" s="82" t="str">
        <x:v>https://hotwheels.fandom.com/wiki/1983_Porsche_928S</x:v>
      </x:c>
      <x:c r="X49" s="82" t="str">
        <x:v>https://hotwheels.fandom.com/wiki/1983_Porsche_928S</x:v>
      </x:c>
    </x:row>
    <x:row r="50">
      <x:c r="A50" s="80" t="str">
        <x:v>Não</x:v>
      </x:c>
      <x:c r="B50" s="80" t="str">
        <x:v>1 — Comprar agora</x:v>
      </x:c>
      <x:c r="C50" s="81" t="n">
        <x:v>2025</x:v>
      </x:c>
      <x:c r="D50" s="80" t="str">
        <x:v>1997 Porsche 911 GT1</x:v>
      </x:c>
      <x:c r="E50" s="80" t="str">
        <x:v>1997 Porsche 911 GT1</x:v>
      </x:c>
      <x:c r="F50" s="82" t="str">
        <x:v>'90s Supercars Collector Set</x:v>
      </x:c>
      <x:c r="G50" s="80" t="str"/>
      <x:c r="H50" s="80" t="str"/>
      <x:c r="I50" s="83" t="str">
        <x:v>JCM07</x:v>
      </x:c>
      <x:c r="J50" s="80" t="str"/>
      <x:c r="K50" s="82" t="str"/>
      <x:c r="L50" s="82" t="str"/>
      <x:c r="M50" s="82" t="str"/>
      <x:c r="N50" s="82" t="str"/>
      <x:c r="O50" s="82" t="str"/>
      <x:c r="P50" s="82" t="str"/>
      <x:c r="Q50" s="82" t="str"/>
      <x:c r="R50" s="82" t="str">
        <x:v>Temática / multipack</x:v>
      </x:c>
      <x:c r="S50" s="82" t="str">
        <x:v>Comum / atual</x:v>
      </x:c>
      <x:c r="T50" s="82" t="str">
        <x:v>Lançado</x:v>
      </x:c>
      <x:c r="U50" s="82" t="str"/>
      <x:c r="V50" s="80" t="str">
        <x:v>Coleção principal (~1:64)</x:v>
      </x:c>
      <x:c r="W50" s="82" t="str">
        <x:v>https://hotwheels.fandom.com/wiki/Porsche</x:v>
      </x:c>
      <x:c r="X50" s="82" t="str">
        <x:v>https://hotwheels.fandom.com/wiki/1997_Porsche_911_GT1</x:v>
      </x:c>
    </x:row>
    <x:row r="51">
      <x:c r="A51" s="80" t="str">
        <x:v>Não</x:v>
      </x:c>
      <x:c r="B51" s="80" t="str">
        <x:v>1 — Comprar agora</x:v>
      </x:c>
      <x:c r="C51" s="81" t="n">
        <x:v>2025</x:v>
      </x:c>
      <x:c r="D51" s="80" t="str">
        <x:v>1997 Porsche 911 GT1</x:v>
      </x:c>
      <x:c r="E51" s="80" t="str">
        <x:v>1997 Porsche 911 GT1</x:v>
      </x:c>
      <x:c r="F51" s="82" t="str">
        <x:v>'90s Supercars Collector Set</x:v>
      </x:c>
      <x:c r="G51" s="80" t="str"/>
      <x:c r="H51" s="80" t="str"/>
      <x:c r="I51" s="83" t="str">
        <x:v>JBM07</x:v>
      </x:c>
      <x:c r="J51" s="80" t="str">
        <x:v>Arctic Silver Pearl</x:v>
      </x:c>
      <x:c r="K51" s="82" t="str">
        <x:v>Detailed headlights, taillights and trim</x:v>
      </x:c>
      <x:c r="L51" s="82" t="str">
        <x:v>Gray RR10SPM</x:v>
      </x:c>
      <x:c r="M51" s="82" t="str">
        <x:v>Black / / / Metal</x:v>
      </x:c>
      <x:c r="N51" s="82" t="str">
        <x:v>Smoke tint</x:v>
      </x:c>
      <x:c r="O51" s="82" t="str">
        <x:v>Black</x:v>
      </x:c>
      <x:c r="P51" s="82" t="str">
        <x:v>Thailand</x:v>
      </x:c>
      <x:c r="Q51" s="82" t="str"/>
      <x:c r="R51" s="82" t="str">
        <x:v>Temática / multipack</x:v>
      </x:c>
      <x:c r="S51" s="82" t="str">
        <x:v>Comum / atual</x:v>
      </x:c>
      <x:c r="T51" s="82" t="str">
        <x:v>Lançado</x:v>
      </x:c>
      <x:c r="U51" s="82" t="str">
        <x:v>Base code(s): U12A, U13A</x:v>
      </x:c>
      <x:c r="V51" s="80" t="str">
        <x:v>Coleção principal (~1:64)</x:v>
      </x:c>
      <x:c r="W51" s="82" t="str">
        <x:v>https://hotwheels.fandom.com/wiki/1997_Porsche_911_GT1</x:v>
      </x:c>
      <x:c r="X51" s="82" t="str">
        <x:v>https://hotwheels.fandom.com/wiki/1997_Porsche_911_GT1</x:v>
      </x:c>
    </x:row>
    <x:row r="52">
      <x:c r="A52" s="80" t="str">
        <x:v>Não</x:v>
      </x:c>
      <x:c r="B52" s="80" t="str">
        <x:v>1 — Comprar agora</x:v>
      </x:c>
      <x:c r="C52" s="81" t="n">
        <x:v>2025</x:v>
      </x:c>
      <x:c r="D52" s="80" t="str">
        <x:v>Porsche 356 Outlaw</x:v>
      </x:c>
      <x:c r="E52" s="80" t="str">
        <x:v>Porsche 356 Outlaw</x:v>
      </x:c>
      <x:c r="F52" s="82" t="str">
        <x:v>Ultra Hots / 5/8</x:v>
      </x:c>
      <x:c r="G52" s="80" t="str"/>
      <x:c r="H52" s="80" t="str"/>
      <x:c r="I52" s="83" t="str">
        <x:v>JBY64</x:v>
      </x:c>
      <x:c r="J52" s="80" t="str">
        <x:v>Spectraflame green</x:v>
      </x:c>
      <x:c r="K52" s="82" t="str">
        <x:v>Detailed headlights and taillights, afterburner flame tampos, white accent striping, Porsche wordmark on doors</x:v>
      </x:c>
      <x:c r="L52" s="82" t="str">
        <x:v>UH</x:v>
      </x:c>
      <x:c r="M52" s="82" t="str">
        <x:v>Black / / / Plastic</x:v>
      </x:c>
      <x:c r="N52" s="82" t="str">
        <x:v>Clear</x:v>
      </x:c>
      <x:c r="O52" s="82" t="str">
        <x:v>Black</x:v>
      </x:c>
      <x:c r="P52" s="82" t="str">
        <x:v>Malaysia</x:v>
      </x:c>
      <x:c r="Q52" s="82" t="str"/>
      <x:c r="R52" s="82" t="str">
        <x:v>Outra linha</x:v>
      </x:c>
      <x:c r="S52" s="82" t="str">
        <x:v>Comum / atual</x:v>
      </x:c>
      <x:c r="T52" s="82" t="str">
        <x:v>Lançado</x:v>
      </x:c>
      <x:c r="U52" s="82" t="str">
        <x:v>Base code(s): T33, T35, T36, T37, T39, T42</x:v>
      </x:c>
      <x:c r="V52" s="80" t="str">
        <x:v>Coleção principal (~1:64)</x:v>
      </x:c>
      <x:c r="W52" s="82" t="str">
        <x:v>https://hotwheels.fandom.com/wiki/Porsche_356_Outlaw</x:v>
      </x:c>
      <x:c r="X52" s="82" t="str">
        <x:v>https://hotwheels.fandom.com/wiki/Porsche_356_Outlaw</x:v>
      </x:c>
    </x:row>
    <x:row r="53">
      <x:c r="A53" s="80" t="str">
        <x:v>Não</x:v>
      </x:c>
      <x:c r="B53" s="80" t="str">
        <x:v>1 — Comprar agora</x:v>
      </x:c>
      <x:c r="C53" s="81" t="n">
        <x:v>2025</x:v>
      </x:c>
      <x:c r="D53" s="80" t="str">
        <x:v>Porsche 904 Carrera GTS</x:v>
      </x:c>
      <x:c r="E53" s="80" t="str">
        <x:v>Porsche 904 Carrera GTS</x:v>
      </x:c>
      <x:c r="F53" s="82" t="str">
        <x:v>HW Race Day / 3/10</x:v>
      </x:c>
      <x:c r="G53" s="80" t="str"/>
      <x:c r="H53" s="80" t="str">
        <x:v>100/250</x:v>
      </x:c>
      <x:c r="I53" s="83" t="str">
        <x:v>HYY03</x:v>
      </x:c>
      <x:c r="J53" s="80" t="str">
        <x:v>Black</x:v>
      </x:c>
      <x:c r="K53" s="82" t="str">
        <x:v>Porsche, Type 7 logos, "63" on sides, "Carrera GTS" badging on rear</x:v>
      </x:c>
      <x:c r="L53" s="82" t="str">
        <x:v>L4</x:v>
      </x:c>
      <x:c r="M53" s="82" t="str">
        <x:v>Black / / / Plastic</x:v>
      </x:c>
      <x:c r="N53" s="82" t="str">
        <x:v>Clear</x:v>
      </x:c>
      <x:c r="O53" s="82" t="str">
        <x:v>Black</x:v>
      </x:c>
      <x:c r="P53" s="82" t="str">
        <x:v>Malaysia</x:v>
      </x:c>
      <x:c r="Q53" s="82" t="str"/>
      <x:c r="R53" s="82" t="str">
        <x:v>Mainline</x:v>
      </x:c>
      <x:c r="S53" s="82" t="str">
        <x:v>Comum / atual</x:v>
      </x:c>
      <x:c r="T53" s="82" t="str">
        <x:v>Lançado</x:v>
      </x:c>
      <x:c r="U53" s="82" t="str">
        <x:v>Base code(s): U09N, U16N, U19N, U20N, U21N</x:v>
      </x:c>
      <x:c r="V53" s="80" t="str">
        <x:v>Coleção principal (~1:64)</x:v>
      </x:c>
      <x:c r="W53" s="82" t="str">
        <x:v>https://hotwheels.fandom.com/wiki/Porsche_904_Carrera_GTS</x:v>
      </x:c>
      <x:c r="X53" s="82" t="str">
        <x:v>https://hotwheels.fandom.com/wiki/Porsche_904_Carrera_GTS</x:v>
      </x:c>
    </x:row>
    <x:row r="54">
      <x:c r="A54" s="80" t="str">
        <x:v>Não</x:v>
      </x:c>
      <x:c r="B54" s="80" t="str">
        <x:v>1 — Comprar agora</x:v>
      </x:c>
      <x:c r="C54" s="81" t="n">
        <x:v>2025</x:v>
      </x:c>
      <x:c r="D54" s="80" t="str">
        <x:v>Porsche 904 Carrera GTS</x:v>
      </x:c>
      <x:c r="E54" s="80" t="str">
        <x:v>Porsche 904 Carrera GTS</x:v>
      </x:c>
      <x:c r="F54" s="82" t="str">
        <x:v>HW Race Day / 3/10</x:v>
      </x:c>
      <x:c r="G54" s="80" t="str"/>
      <x:c r="H54" s="80" t="str">
        <x:v>100/250</x:v>
      </x:c>
      <x:c r="I54" s="83" t="str">
        <x:v>HYX41</x:v>
      </x:c>
      <x:c r="J54" s="80" t="str">
        <x:v>Creamy yellow</x:v>
      </x:c>
      <x:c r="K54" s="82" t="str">
        <x:v>Black accent striping, Porsche, Type 7 logos, "63" on sides, "Carrera GTS" badging on rear</x:v>
      </x:c>
      <x:c r="L54" s="82" t="str">
        <x:v>DD8</x:v>
      </x:c>
      <x:c r="M54" s="82" t="str">
        <x:v>White / / / Plastic</x:v>
      </x:c>
      <x:c r="N54" s="82" t="str">
        <x:v>Clear</x:v>
      </x:c>
      <x:c r="O54" s="82" t="str">
        <x:v>Black</x:v>
      </x:c>
      <x:c r="P54" s="82" t="str">
        <x:v>Malaysia</x:v>
      </x:c>
      <x:c r="Q54" s="82" t="str"/>
      <x:c r="R54" s="82" t="str">
        <x:v>Mainline</x:v>
      </x:c>
      <x:c r="S54" s="82" t="str">
        <x:v>Comum / atual</x:v>
      </x:c>
      <x:c r="T54" s="82" t="str">
        <x:v>Lançado</x:v>
      </x:c>
      <x:c r="U54" s="82" t="str">
        <x:v>Base code(s): T43, T44, T45, T47, U03N, U05N</x:v>
      </x:c>
      <x:c r="V54" s="80" t="str">
        <x:v>Coleção principal (~1:64)</x:v>
      </x:c>
      <x:c r="W54" s="82" t="str">
        <x:v>https://hotwheels.fandom.com/wiki/Porsche_904_Carrera_GTS</x:v>
      </x:c>
      <x:c r="X54" s="82" t="str">
        <x:v>https://hotwheels.fandom.com/wiki/Porsche_904_Carrera_GTS</x:v>
      </x:c>
    </x:row>
    <x:row r="55">
      <x:c r="A55" s="80" t="str">
        <x:v>Não</x:v>
      </x:c>
      <x:c r="B55" s="80" t="str">
        <x:v>1 — Comprar agora</x:v>
      </x:c>
      <x:c r="C55" s="81" t="n">
        <x:v>2025</x:v>
      </x:c>
      <x:c r="D55" s="80" t="str">
        <x:v>Porsche 904 Carrera GTS</x:v>
      </x:c>
      <x:c r="E55" s="80" t="str">
        <x:v>Porsche 904 Carrera GTS</x:v>
      </x:c>
      <x:c r="F55" s="82" t="str">
        <x:v>HW Race Day / 3/10</x:v>
      </x:c>
      <x:c r="G55" s="80" t="str"/>
      <x:c r="H55" s="80" t="str">
        <x:v>100/250</x:v>
      </x:c>
      <x:c r="I55" s="83" t="str">
        <x:v>JBC54</x:v>
      </x:c>
      <x:c r="J55" s="80" t="str">
        <x:v>Metalflake green</x:v>
      </x:c>
      <x:c r="K55" s="82" t="str">
        <x:v>Black accent striping, Porsche, Type 7 logos, "63" on sides, "Carrera GTS" badging on rear</x:v>
      </x:c>
      <x:c r="L55" s="82" t="str">
        <x:v>DD8</x:v>
      </x:c>
      <x:c r="M55" s="82" t="str">
        <x:v>Gray / / / Plastic</x:v>
      </x:c>
      <x:c r="N55" s="82" t="str">
        <x:v>Clear</x:v>
      </x:c>
      <x:c r="O55" s="82" t="str">
        <x:v>Black</x:v>
      </x:c>
      <x:c r="P55" s="82" t="str">
        <x:v>Malaysia</x:v>
      </x:c>
      <x:c r="Q55" s="82" t="str"/>
      <x:c r="R55" s="82" t="str">
        <x:v>Mainline</x:v>
      </x:c>
      <x:c r="S55" s="82" t="str">
        <x:v>Comum / atual</x:v>
      </x:c>
      <x:c r="T55" s="82" t="str">
        <x:v>Lançado</x:v>
      </x:c>
      <x:c r="U55" s="82" t="str">
        <x:v>Walgreens Exclusive / Base code(s): U01N</x:v>
      </x:c>
      <x:c r="V55" s="80" t="str">
        <x:v>Coleção principal (~1:64)</x:v>
      </x:c>
      <x:c r="W55" s="82" t="str">
        <x:v>https://hotwheels.fandom.com/wiki/Porsche_904_Carrera_GTS</x:v>
      </x:c>
      <x:c r="X55" s="82" t="str">
        <x:v>https://hotwheels.fandom.com/wiki/Porsche_904_Carrera_GTS</x:v>
      </x:c>
    </x:row>
    <x:row r="56">
      <x:c r="A56" s="80" t="str">
        <x:v>Não</x:v>
      </x:c>
      <x:c r="B56" s="80" t="str">
        <x:v>1 — Comprar agora</x:v>
      </x:c>
      <x:c r="C56" s="81" t="n">
        <x:v>2025</x:v>
      </x:c>
      <x:c r="D56" s="80" t="str">
        <x:v>Porsche 911 Carrera Clip</x:v>
      </x:c>
      <x:c r="E56" s="80" t="str">
        <x:v>Porsche 911 Carrera Clip</x:v>
      </x:c>
      <x:c r="F56" s="82" t="str">
        <x:v>Experimotors / 6/10</x:v>
      </x:c>
      <x:c r="G56" s="80" t="str"/>
      <x:c r="H56" s="80" t="str">
        <x:v>187/250</x:v>
      </x:c>
      <x:c r="I56" s="83" t="str">
        <x:v>JBC11</x:v>
      </x:c>
      <x:c r="J56" s="80" t="str">
        <x:v>Blue</x:v>
      </x:c>
      <x:c r="K56" s="82" t="str">
        <x:v>Detailed headlights, Porsche badge on hood, white "CARRERA" stripe &amp; Hot Wheels logo on sides</x:v>
      </x:c>
      <x:c r="L56" s="82" t="str"/>
      <x:c r="M56" s="82" t="str">
        <x:v>White / / / Metal</x:v>
      </x:c>
      <x:c r="N56" s="82" t="str"/>
      <x:c r="O56" s="82" t="str"/>
      <x:c r="P56" s="82" t="str">
        <x:v>Malaysia</x:v>
      </x:c>
      <x:c r="Q56" s="82" t="str"/>
      <x:c r="R56" s="82" t="str">
        <x:v>Mainline</x:v>
      </x:c>
      <x:c r="S56" s="82" t="str">
        <x:v>Comum / atual</x:v>
      </x:c>
      <x:c r="T56" s="82" t="str">
        <x:v>Lançado</x:v>
      </x:c>
      <x:c r="U56" s="82" t="str">
        <x:v>Base code(s): U29N, U30N, U32N, U33N, U34N, U35N</x:v>
      </x:c>
      <x:c r="V56" s="80" t="str">
        <x:v>Coleção principal (~1:64)</x:v>
      </x:c>
      <x:c r="W56" s="82" t="str">
        <x:v>https://hotwheels.fandom.com/wiki/Porsche_911_Carrera_Clip</x:v>
      </x:c>
      <x:c r="X56" s="82" t="str">
        <x:v>https://hotwheels.fandom.com/wiki/Porsche_911_Carrera_Clip</x:v>
      </x:c>
    </x:row>
    <x:row r="57">
      <x:c r="A57" s="80" t="str">
        <x:v>Não</x:v>
      </x:c>
      <x:c r="B57" s="80" t="str">
        <x:v>1 — Comprar agora</x:v>
      </x:c>
      <x:c r="C57" s="81" t="n">
        <x:v>2025</x:v>
      </x:c>
      <x:c r="D57" s="80" t="str">
        <x:v>Porsche 911 Carrera Clip</x:v>
      </x:c>
      <x:c r="E57" s="80" t="str">
        <x:v>Porsche 911 Carrera Clip</x:v>
      </x:c>
      <x:c r="F57" s="82" t="str">
        <x:v>Experimotors / 6/10</x:v>
      </x:c>
      <x:c r="G57" s="80" t="str"/>
      <x:c r="H57" s="80" t="str">
        <x:v>187/250</x:v>
      </x:c>
      <x:c r="I57" s="83" t="str">
        <x:v>JBB12</x:v>
      </x:c>
      <x:c r="J57" s="80" t="str">
        <x:v>Red</x:v>
      </x:c>
      <x:c r="K57" s="82" t="str">
        <x:v>Detailed headlights, Porsche badge on hood, black "CARRERA" stripe &amp; Hot Wheels logo on sides</x:v>
      </x:c>
      <x:c r="L57" s="82" t="str"/>
      <x:c r="M57" s="82" t="str">
        <x:v>Black / / / Metal</x:v>
      </x:c>
      <x:c r="N57" s="82" t="str"/>
      <x:c r="O57" s="82" t="str"/>
      <x:c r="P57" s="82" t="str">
        <x:v>Malaysia</x:v>
      </x:c>
      <x:c r="Q57" s="82" t="str"/>
      <x:c r="R57" s="82" t="str">
        <x:v>Mainline</x:v>
      </x:c>
      <x:c r="S57" s="82" t="str">
        <x:v>Comum / atual</x:v>
      </x:c>
      <x:c r="T57" s="82" t="str">
        <x:v>Lançado</x:v>
      </x:c>
      <x:c r="U57" s="82" t="str">
        <x:v>Base code(s): U09N, U10N, U13N</x:v>
      </x:c>
      <x:c r="V57" s="80" t="str">
        <x:v>Coleção principal (~1:64)</x:v>
      </x:c>
      <x:c r="W57" s="82" t="str">
        <x:v>https://hotwheels.fandom.com/wiki/Porsche_911_Carrera_Clip</x:v>
      </x:c>
      <x:c r="X57" s="82" t="str">
        <x:v>https://hotwheels.fandom.com/wiki/Porsche_911_Carrera_Clip</x:v>
      </x:c>
    </x:row>
    <x:row r="58">
      <x:c r="A58" s="80" t="str">
        <x:v>Não</x:v>
      </x:c>
      <x:c r="B58" s="80" t="str">
        <x:v>1 — Comprar agora</x:v>
      </x:c>
      <x:c r="C58" s="81" t="n">
        <x:v>2025</x:v>
      </x:c>
      <x:c r="D58" s="80" t="str">
        <x:v>Porsche 911 Carrera RS 2.7</x:v>
      </x:c>
      <x:c r="E58" s="80" t="str">
        <x:v>Porsche 911 Carrera RS 2.7</x:v>
      </x:c>
      <x:c r="F58" s="82" t="str">
        <x:v>Car Culture: Hammer Drop / 4/5</x:v>
      </x:c>
      <x:c r="G58" s="80" t="str"/>
      <x:c r="H58" s="80" t="str"/>
      <x:c r="I58" s="83" t="str">
        <x:v>HRW07</x:v>
      </x:c>
      <x:c r="J58" s="80" t="str">
        <x:v>Yellow</x:v>
      </x:c>
      <x:c r="K58" s="82" t="str">
        <x:v>Detailed headlights and trim, "Carrera" with black stripe on sides, "PORSCHE" with black stripe and "Carrera RS" on rear</x:v>
      </x:c>
      <x:c r="L58" s="82" t="str">
        <x:v>Gray RRLW5</x:v>
      </x:c>
      <x:c r="M58" s="82" t="str">
        <x:v>Yellow / / / Metal</x:v>
      </x:c>
      <x:c r="N58" s="82" t="str">
        <x:v>Clear</x:v>
      </x:c>
      <x:c r="O58" s="82" t="str">
        <x:v>Black</x:v>
      </x:c>
      <x:c r="P58" s="82" t="str">
        <x:v>Thailand</x:v>
      </x:c>
      <x:c r="Q58" s="82" t="str"/>
      <x:c r="R58" s="82" t="str">
        <x:v>Premium</x:v>
      </x:c>
      <x:c r="S58" s="82" t="str">
        <x:v>Incomum</x:v>
      </x:c>
      <x:c r="T58" s="82" t="str">
        <x:v>Lançado</x:v>
      </x:c>
      <x:c r="U58" s="82" t="str">
        <x:v>New Die-Cast Chassis / Base code(s): T41, T42, T44, T49A</x:v>
      </x:c>
      <x:c r="V58" s="80" t="str">
        <x:v>Coleção principal (~1:64)</x:v>
      </x:c>
      <x:c r="W58" s="82" t="str">
        <x:v>https://hotwheels.fandom.com/wiki/Porsche_911_Carrera_RS_2.7</x:v>
      </x:c>
      <x:c r="X58" s="82" t="str">
        <x:v>https://hotwheels.fandom.com/wiki/Porsche_911_Carrera_RS_2.7</x:v>
      </x:c>
    </x:row>
    <x:row r="59">
      <x:c r="A59" s="80" t="str">
        <x:v>Não</x:v>
      </x:c>
      <x:c r="B59" s="80" t="str">
        <x:v>1 — Comprar agora</x:v>
      </x:c>
      <x:c r="C59" s="81" t="n">
        <x:v>2025</x:v>
      </x:c>
      <x:c r="D59" s="80" t="str">
        <x:v>Porsche 911 Carrera RS 2.7</x:v>
      </x:c>
      <x:c r="E59" s="80" t="str">
        <x:v>Porsche 911 Carrera RS 2.7</x:v>
      </x:c>
      <x:c r="F59" s="82" t="str">
        <x:v>Hot Wheels Boulevard / #121</x:v>
      </x:c>
      <x:c r="G59" s="80" t="str"/>
      <x:c r="H59" s="80" t="str"/>
      <x:c r="I59" s="83" t="str">
        <x:v>JBL19</x:v>
      </x:c>
      <x:c r="J59" s="80" t="str">
        <x:v>Black</x:v>
      </x:c>
      <x:c r="K59" s="82" t="str">
        <x:v>Detailed headlights and trim, "Carrera" with red stripe on sides, "PORSCHE" with red stripe and "Carrera RS" on rear</x:v>
      </x:c>
      <x:c r="L59" s="82" t="str">
        <x:v>Chrome lip, red RRLW5</x:v>
      </x:c>
      <x:c r="M59" s="82" t="str">
        <x:v>Black / / / Metal</x:v>
      </x:c>
      <x:c r="N59" s="82" t="str">
        <x:v>Clear</x:v>
      </x:c>
      <x:c r="O59" s="82" t="str">
        <x:v>Black</x:v>
      </x:c>
      <x:c r="P59" s="82" t="str">
        <x:v>Thailand</x:v>
      </x:c>
      <x:c r="Q59" s="82" t="str"/>
      <x:c r="R59" s="82" t="str">
        <x:v>Premium</x:v>
      </x:c>
      <x:c r="S59" s="82" t="str">
        <x:v>Incomum</x:v>
      </x:c>
      <x:c r="T59" s="82" t="str">
        <x:v>Lançado</x:v>
      </x:c>
      <x:c r="U59" s="82" t="str">
        <x:v>Base code(s): U03A, U05A, U06A, U07A, U10A, U13A</x:v>
      </x:c>
      <x:c r="V59" s="80" t="str">
        <x:v>Coleção principal (~1:64)</x:v>
      </x:c>
      <x:c r="W59" s="82" t="str">
        <x:v>https://hotwheels.fandom.com/wiki/Porsche_911_Carrera_RS_2.7</x:v>
      </x:c>
      <x:c r="X59" s="82" t="str">
        <x:v>https://hotwheels.fandom.com/wiki/Porsche_911_Carrera_RS_2.7</x:v>
      </x:c>
    </x:row>
    <x:row r="60">
      <x:c r="A60" s="80" t="str">
        <x:v>Não</x:v>
      </x:c>
      <x:c r="B60" s="80" t="str">
        <x:v>1 — Comprar agora</x:v>
      </x:c>
      <x:c r="C60" s="81" t="n">
        <x:v>2025</x:v>
      </x:c>
      <x:c r="D60" s="80" t="str">
        <x:v>Porsche 911 Carrera RS 2.7</x:v>
      </x:c>
      <x:c r="E60" s="80" t="str">
        <x:v>Porsche 911 Carrera RS 2.7</x:v>
      </x:c>
      <x:c r="F60" s="82" t="str">
        <x:v>Hot Wheels x Daniel Arsham</x:v>
      </x:c>
      <x:c r="G60" s="80" t="str"/>
      <x:c r="H60" s="80" t="str"/>
      <x:c r="I60" s="83" t="str">
        <x:v>JGK64</x:v>
      </x:c>
      <x:c r="J60" s="80" t="str">
        <x:v>Yellow</x:v>
      </x:c>
      <x:c r="K60" s="82" t="str">
        <x:v>"Arsham" on sides and rear, "Carrera RSA" on rear, "1973 RSA" on rear license plate, pale yellow around bottom, black stripe on bumpers &amp; rear, silver trim, detailed headlights and taillights</x:v>
      </x:c>
      <x:c r="L60" s="82" t="str">
        <x:v>Chrome rim, light blue RRLW5</x:v>
      </x:c>
      <x:c r="M60" s="82" t="str">
        <x:v>Silver / / / Metal</x:v>
      </x:c>
      <x:c r="N60" s="82" t="str">
        <x:v>Clear</x:v>
      </x:c>
      <x:c r="O60" s="82" t="str">
        <x:v>Black with two-tone brown molded seats and detailing</x:v>
      </x:c>
      <x:c r="P60" s="82" t="str">
        <x:v>China</x:v>
      </x:c>
      <x:c r="Q60" s="82" t="str"/>
      <x:c r="R60" s="82" t="str">
        <x:v>Outra linha</x:v>
      </x:c>
      <x:c r="S60" s="82" t="str">
        <x:v>Comum / atual</x:v>
      </x:c>
      <x:c r="T60" s="82" t="str">
        <x:v>Lançado</x:v>
      </x:c>
      <x:c r="U60" s="82" t="str">
        <x:v>Production code(s): 1755EAA</x:v>
      </x:c>
      <x:c r="V60" s="80" t="str">
        <x:v>Coleção principal (~1:64)</x:v>
      </x:c>
      <x:c r="W60" s="82" t="str">
        <x:v>https://hotwheels.fandom.com/wiki/Porsche_911_Carrera_RS_2.7</x:v>
      </x:c>
      <x:c r="X60" s="82" t="str">
        <x:v>https://hotwheels.fandom.com/wiki/Porsche_911_Carrera_RS_2.7</x:v>
      </x:c>
    </x:row>
    <x:row r="61">
      <x:c r="A61" s="80" t="str">
        <x:v>Não</x:v>
      </x:c>
      <x:c r="B61" s="80" t="str">
        <x:v>1 — Comprar agora</x:v>
      </x:c>
      <x:c r="C61" s="81" t="n">
        <x:v>2025</x:v>
      </x:c>
      <x:c r="D61" s="80" t="str">
        <x:v>Porsche 911 Carrera RS 2.7</x:v>
      </x:c>
      <x:c r="E61" s="80" t="str">
        <x:v>Porsche 911 Carrera RS 2.7</x:v>
      </x:c>
      <x:c r="F61" s="82" t="str">
        <x:v>Multipack Exclusive</x:v>
      </x:c>
      <x:c r="G61" s="80" t="str"/>
      <x:c r="H61" s="80" t="str"/>
      <x:c r="I61" s="83" t="str">
        <x:v>X6999</x:v>
      </x:c>
      <x:c r="J61" s="80" t="str">
        <x:v>Dark green</x:v>
      </x:c>
      <x:c r="K61" s="82" t="str">
        <x:v>Detailed headlights and trim, "Carrera" on sides</x:v>
      </x:c>
      <x:c r="L61" s="82" t="str">
        <x:v>Black, Chrome rim RSW</x:v>
      </x:c>
      <x:c r="M61" s="82" t="str">
        <x:v>Dark Green / / / Plastic</x:v>
      </x:c>
      <x:c r="N61" s="82" t="str">
        <x:v>Smoke tint</x:v>
      </x:c>
      <x:c r="O61" s="82" t="str">
        <x:v>Black</x:v>
      </x:c>
      <x:c r="P61" s="82" t="str">
        <x:v>Malaysia</x:v>
      </x:c>
      <x:c r="Q61" s="82" t="str"/>
      <x:c r="R61" s="82" t="str">
        <x:v>Temática / multipack</x:v>
      </x:c>
      <x:c r="S61" s="82" t="str">
        <x:v>Comum / atual</x:v>
      </x:c>
      <x:c r="T61" s="82" t="str">
        <x:v>Lançado</x:v>
      </x:c>
      <x:c r="U61" s="82" t="str">
        <x:v>Base code(s): U11N</x:v>
      </x:c>
      <x:c r="V61" s="80" t="str">
        <x:v>Coleção principal (~1:64)</x:v>
      </x:c>
      <x:c r="W61" s="82" t="str">
        <x:v>https://hotwheels.fandom.com/wiki/Porsche_911_Carrera_RS_2.7</x:v>
      </x:c>
      <x:c r="X61" s="82" t="str">
        <x:v>https://hotwheels.fandom.com/wiki/Porsche_911_Carrera_RS_2.7</x:v>
      </x:c>
    </x:row>
    <x:row r="62">
      <x:c r="A62" s="80" t="str">
        <x:v>Não</x:v>
      </x:c>
      <x:c r="B62" s="80" t="str">
        <x:v>1 — Comprar agora</x:v>
      </x:c>
      <x:c r="C62" s="81" t="n">
        <x:v>2025</x:v>
      </x:c>
      <x:c r="D62" s="80" t="str">
        <x:v>Porsche 911 Carrera RS 2.7</x:v>
      </x:c>
      <x:c r="E62" s="80" t="str">
        <x:v>Porsche 911 Carrera RS 2.7</x:v>
      </x:c>
      <x:c r="F62" s="82" t="str">
        <x:v>Mystery Models (Series 1) / 1/10</x:v>
      </x:c>
      <x:c r="G62" s="80" t="str"/>
      <x:c r="H62" s="80" t="str"/>
      <x:c r="I62" s="83" t="str">
        <x:v>JCL00</x:v>
      </x:c>
      <x:c r="J62" s="80" t="str">
        <x:v>Metalflake powder blue</x:v>
      </x:c>
      <x:c r="K62" s="82" t="str">
        <x:v>Gold striping, red accent striping, Carrera wordmark on sides</x:v>
      </x:c>
      <x:c r="L62" s="82" t="str">
        <x:v>Chrome Red Rim, Black MC5</x:v>
      </x:c>
      <x:c r="M62" s="82" t="str">
        <x:v>Red / / / Plastic</x:v>
      </x:c>
      <x:c r="N62" s="82" t="str">
        <x:v>Clear</x:v>
      </x:c>
      <x:c r="O62" s="82" t="str">
        <x:v>Black</x:v>
      </x:c>
      <x:c r="P62" s="82" t="str">
        <x:v>Malaysia</x:v>
      </x:c>
      <x:c r="Q62" s="82" t="str"/>
      <x:c r="R62" s="82" t="str">
        <x:v>Outra linha</x:v>
      </x:c>
      <x:c r="S62" s="82" t="str">
        <x:v>Comum / atual</x:v>
      </x:c>
      <x:c r="T62" s="82" t="str">
        <x:v>Lançado</x:v>
      </x:c>
      <x:c r="U62" s="82" t="str">
        <x:v>Base code(s): T47</x:v>
      </x:c>
      <x:c r="V62" s="80" t="str">
        <x:v>Coleção principal (~1:64)</x:v>
      </x:c>
      <x:c r="W62" s="82" t="str">
        <x:v>https://hotwheels.fandom.com/wiki/Porsche_911_Carrera_RS_2.7</x:v>
      </x:c>
      <x:c r="X62" s="82" t="str">
        <x:v>https://hotwheels.fandom.com/wiki/Porsche_911_Carrera_RS_2.7</x:v>
      </x:c>
    </x:row>
    <x:row r="63">
      <x:c r="A63" s="80" t="str">
        <x:v>Não</x:v>
      </x:c>
      <x:c r="B63" s="80" t="str">
        <x:v>1 — Comprar agora</x:v>
      </x:c>
      <x:c r="C63" s="81" t="n">
        <x:v>2025</x:v>
      </x:c>
      <x:c r="D63" s="80" t="str">
        <x:v>Porsche 911 Carrera RS 3.8</x:v>
      </x:c>
      <x:c r="E63" s="80" t="str">
        <x:v>Porsche 911 Carrera RS 3.8</x:v>
      </x:c>
      <x:c r="F63" s="82" t="str">
        <x:v>Fast &amp; Furious / 3/5</x:v>
      </x:c>
      <x:c r="G63" s="80" t="str"/>
      <x:c r="H63" s="80" t="str"/>
      <x:c r="I63" s="83" t="str">
        <x:v>JBM03</x:v>
      </x:c>
      <x:c r="J63" s="80" t="str">
        <x:v>Metalflake silver</x:v>
      </x:c>
      <x:c r="K63" s="82" t="str">
        <x:v>Detailed headlights, taillights and trim</x:v>
      </x:c>
      <x:c r="L63" s="82" t="str">
        <x:v>Chrome Rim, Black RRLW5</x:v>
      </x:c>
      <x:c r="M63" s="82" t="str">
        <x:v>Black / / / Metal</x:v>
      </x:c>
      <x:c r="N63" s="82" t="str">
        <x:v>Heavy smoke tint</x:v>
      </x:c>
      <x:c r="O63" s="82" t="str">
        <x:v>Black</x:v>
      </x:c>
      <x:c r="P63" s="82" t="str">
        <x:v>Thailand</x:v>
      </x:c>
      <x:c r="Q63" s="82" t="str"/>
      <x:c r="R63" s="82" t="str">
        <x:v>Outra linha</x:v>
      </x:c>
      <x:c r="S63" s="82" t="str">
        <x:v>Comum / atual</x:v>
      </x:c>
      <x:c r="T63" s="82" t="str">
        <x:v>Lançado</x:v>
      </x:c>
      <x:c r="U63" s="82" t="str">
        <x:v>Identical to HRT97 / Base code(s): U28A, U30A, U34A, U36A</x:v>
      </x:c>
      <x:c r="V63" s="80" t="str">
        <x:v>Coleção principal (~1:64)</x:v>
      </x:c>
      <x:c r="W63" s="82" t="str">
        <x:v>https://hotwheels.fandom.com/wiki/Porsche_911_Carrera_RS_3.8</x:v>
      </x:c>
      <x:c r="X63" s="82" t="str">
        <x:v>https://hotwheels.fandom.com/wiki/Porsche_911_Carrera_RS_3.8</x:v>
      </x:c>
    </x:row>
    <x:row r="64">
      <x:c r="A64" s="80" t="str">
        <x:v>Não</x:v>
      </x:c>
      <x:c r="B64" s="80" t="str">
        <x:v>1 — Comprar agora</x:v>
      </x:c>
      <x:c r="C64" s="81" t="n">
        <x:v>2025</x:v>
      </x:c>
      <x:c r="D64" s="80" t="str">
        <x:v>Porsche 911 Carrera RS 3.8</x:v>
      </x:c>
      <x:c r="E64" s="80" t="str">
        <x:v>Porsche 911 Carrera RS 3.8</x:v>
      </x:c>
      <x:c r="F64" s="82" t="str">
        <x:v>JLW60</x:v>
      </x:c>
      <x:c r="G64" s="80" t="str"/>
      <x:c r="H64" s="80" t="str">
        <x:v>3rd Annual Malaysia Collectors Convention</x:v>
      </x:c>
      <x:c r="I64" s="83" t="str">
        <x:v>1,500 produced / Base code(s): U23A</x:v>
      </x:c>
      <x:c r="J64" s="80" t="str">
        <x:v>Dark blue</x:v>
      </x:c>
      <x:c r="K64" s="82" t="str">
        <x:v>Detailed headlights and taillights, green "tribal" striping around body, "88" on sides, Porsche badging, "HW CON25" European license plate</x:v>
      </x:c>
      <x:c r="L64" s="82" t="str">
        <x:v>Black RRLW5</x:v>
      </x:c>
      <x:c r="M64" s="82" t="str">
        <x:v>Black / / / Metal</x:v>
      </x:c>
      <x:c r="N64" s="82" t="str">
        <x:v>Smoke tint</x:v>
      </x:c>
      <x:c r="O64" s="82" t="str">
        <x:v>Black</x:v>
      </x:c>
      <x:c r="P64" s="82" t="str">
        <x:v>Thailand</x:v>
      </x:c>
      <x:c r="Q64" s="82" t="str"/>
      <x:c r="R64" s="82" t="str">
        <x:v>Mainline</x:v>
      </x:c>
      <x:c r="S64" s="82" t="str">
        <x:v>Comum / atual</x:v>
      </x:c>
      <x:c r="T64" s="82" t="str">
        <x:v>Lançado</x:v>
      </x:c>
      <x:c r="U64" s="82" t="str"/>
      <x:c r="V64" s="80" t="str">
        <x:v>Coleção principal (~1:64)</x:v>
      </x:c>
      <x:c r="W64" s="82" t="str">
        <x:v>https://hotwheels.fandom.com/wiki/Porsche_911_Carrera_RS_3.8</x:v>
      </x:c>
      <x:c r="X64" s="82" t="str">
        <x:v>https://hotwheels.fandom.com/wiki/Porsche_911_Carrera_RS_3.8</x:v>
      </x:c>
    </x:row>
    <x:row r="65">
      <x:c r="A65" s="80" t="str">
        <x:v>Não</x:v>
      </x:c>
      <x:c r="B65" s="80" t="str">
        <x:v>1 — Comprar agora</x:v>
      </x:c>
      <x:c r="C65" s="81" t="n">
        <x:v>2025</x:v>
      </x:c>
      <x:c r="D65" s="80" t="str">
        <x:v>Porsche 911 Carrera RS 3.8</x:v>
      </x:c>
      <x:c r="E65" s="80" t="str">
        <x:v>Porsche 911 Carrera RS 3.8</x:v>
      </x:c>
      <x:c r="F65" s="82" t="str">
        <x:v>JLW61</x:v>
      </x:c>
      <x:c r="G65" s="80" t="str"/>
      <x:c r="H65" s="80" t="str">
        <x:v>Singapore Diecast Expo</x:v>
      </x:c>
      <x:c r="I65" s="83" t="str">
        <x:v>500 produced / Base code(s):</x:v>
      </x:c>
      <x:c r="J65" s="80" t="str">
        <x:v>Dark blue</x:v>
      </x:c>
      <x:c r="K65" s="82" t="str">
        <x:v>Detailed headlights and taillights, green "tribal" striping around body, "88" on sides, Porsche badging, "HW CON25" European license plate</x:v>
      </x:c>
      <x:c r="L65" s="82" t="str">
        <x:v>Black RRLW5</x:v>
      </x:c>
      <x:c r="M65" s="82" t="str">
        <x:v>Black / / / Metal</x:v>
      </x:c>
      <x:c r="N65" s="82" t="str">
        <x:v>Smoke tint</x:v>
      </x:c>
      <x:c r="O65" s="82" t="str">
        <x:v>Black</x:v>
      </x:c>
      <x:c r="P65" s="82" t="str">
        <x:v>Thailand</x:v>
      </x:c>
      <x:c r="Q65" s="82" t="str"/>
      <x:c r="R65" s="82" t="str">
        <x:v>Mainline</x:v>
      </x:c>
      <x:c r="S65" s="82" t="str">
        <x:v>Comum / atual</x:v>
      </x:c>
      <x:c r="T65" s="82" t="str">
        <x:v>Lançado</x:v>
      </x:c>
      <x:c r="U65" s="82" t="str"/>
      <x:c r="V65" s="80" t="str">
        <x:v>Coleção principal (~1:64)</x:v>
      </x:c>
      <x:c r="W65" s="82" t="str">
        <x:v>https://hotwheels.fandom.com/wiki/Porsche_911_Carrera_RS_3.8</x:v>
      </x:c>
      <x:c r="X65" s="82" t="str">
        <x:v>https://hotwheels.fandom.com/wiki/Porsche_911_Carrera_RS_3.8</x:v>
      </x:c>
    </x:row>
    <x:row r="66">
      <x:c r="A66" s="80" t="str">
        <x:v>Não</x:v>
      </x:c>
      <x:c r="B66" s="80" t="str">
        <x:v>1 — Comprar agora</x:v>
      </x:c>
      <x:c r="C66" s="81" t="n">
        <x:v>2025</x:v>
      </x:c>
      <x:c r="D66" s="80" t="str">
        <x:v>Porsche 911 Carrera RS 3.8</x:v>
      </x:c>
      <x:c r="E66" s="80" t="str">
        <x:v>Porsche 911 Carrera RS 3.8</x:v>
      </x:c>
      <x:c r="F66" s="82" t="str">
        <x:v>JLW62</x:v>
      </x:c>
      <x:c r="G66" s="80" t="str"/>
      <x:c r="H66" s="80" t="str">
        <x:v>Indonesia Hot Wheels Convention</x:v>
      </x:c>
      <x:c r="I66" s="83" t="str">
        <x:v>2,000 produced / Base code(s):</x:v>
      </x:c>
      <x:c r="J66" s="80" t="str">
        <x:v>Dark blue</x:v>
      </x:c>
      <x:c r="K66" s="82" t="str">
        <x:v>Detailed headlights and taillights, green "tribal" striping around body, "88" on sides, Porsche badging, "HW CON25" European license plate</x:v>
      </x:c>
      <x:c r="L66" s="82" t="str">
        <x:v>Black RRLW5</x:v>
      </x:c>
      <x:c r="M66" s="82" t="str">
        <x:v>Black / / / Metal</x:v>
      </x:c>
      <x:c r="N66" s="82" t="str">
        <x:v>Smoke tint</x:v>
      </x:c>
      <x:c r="O66" s="82" t="str">
        <x:v>Black</x:v>
      </x:c>
      <x:c r="P66" s="82" t="str">
        <x:v>Thailand</x:v>
      </x:c>
      <x:c r="Q66" s="82" t="str"/>
      <x:c r="R66" s="82" t="str">
        <x:v>Mainline</x:v>
      </x:c>
      <x:c r="S66" s="82" t="str">
        <x:v>Comum / atual</x:v>
      </x:c>
      <x:c r="T66" s="82" t="str">
        <x:v>Lançado</x:v>
      </x:c>
      <x:c r="U66" s="82" t="str"/>
      <x:c r="V66" s="80" t="str">
        <x:v>Coleção principal (~1:64)</x:v>
      </x:c>
      <x:c r="W66" s="82" t="str">
        <x:v>https://hotwheels.fandom.com/wiki/Porsche_911_Carrera_RS_3.8</x:v>
      </x:c>
      <x:c r="X66" s="82" t="str">
        <x:v>https://hotwheels.fandom.com/wiki/Porsche_911_Carrera_RS_3.8</x:v>
      </x:c>
    </x:row>
    <x:row r="67">
      <x:c r="A67" s="80" t="str">
        <x:v>Não</x:v>
      </x:c>
      <x:c r="B67" s="80" t="str">
        <x:v>1 — Comprar agora</x:v>
      </x:c>
      <x:c r="C67" s="81" t="n">
        <x:v>2025</x:v>
      </x:c>
      <x:c r="D67" s="80" t="str">
        <x:v>Porsche 911 Carrera RS 3.8</x:v>
      </x:c>
      <x:c r="E67" s="80" t="str">
        <x:v>Porsche 911 Carrera RS 3.8</x:v>
      </x:c>
      <x:c r="F67" s="82" t="str">
        <x:v>JLW63</x:v>
      </x:c>
      <x:c r="G67" s="80" t="str"/>
      <x:c r="H67" s="80" t="str">
        <x:v>Australian Diecast Expo</x:v>
      </x:c>
      <x:c r="I67" s="83" t="str">
        <x:v>1,350 produced / Base code(s):</x:v>
      </x:c>
      <x:c r="J67" s="80" t="str">
        <x:v>Dark blue</x:v>
      </x:c>
      <x:c r="K67" s="82" t="str">
        <x:v>Detailed headlights and taillights, green "tribal" striping around body, "88" on sides, Porsche badging, "HW CON25" European license plate</x:v>
      </x:c>
      <x:c r="L67" s="82" t="str">
        <x:v>Black RRLW5</x:v>
      </x:c>
      <x:c r="M67" s="82" t="str">
        <x:v>Black / / / Metal</x:v>
      </x:c>
      <x:c r="N67" s="82" t="str">
        <x:v>Smoke tint</x:v>
      </x:c>
      <x:c r="O67" s="82" t="str">
        <x:v>Black</x:v>
      </x:c>
      <x:c r="P67" s="82" t="str">
        <x:v>Thailand</x:v>
      </x:c>
      <x:c r="Q67" s="82" t="str"/>
      <x:c r="R67" s="82" t="str">
        <x:v>Mainline</x:v>
      </x:c>
      <x:c r="S67" s="82" t="str">
        <x:v>Comum / atual</x:v>
      </x:c>
      <x:c r="T67" s="82" t="str">
        <x:v>Lançado</x:v>
      </x:c>
      <x:c r="U67" s="82" t="str"/>
      <x:c r="V67" s="80" t="str">
        <x:v>Coleção principal (~1:64)</x:v>
      </x:c>
      <x:c r="W67" s="82" t="str">
        <x:v>https://hotwheels.fandom.com/wiki/Porsche_911_Carrera_RS_3.8</x:v>
      </x:c>
      <x:c r="X67" s="82" t="str">
        <x:v>https://hotwheels.fandom.com/wiki/Porsche_911_Carrera_RS_3.8</x:v>
      </x:c>
    </x:row>
    <x:row r="68">
      <x:c r="A68" s="80" t="str">
        <x:v>Não</x:v>
      </x:c>
      <x:c r="B68" s="80" t="str">
        <x:v>1 — Comprar agora</x:v>
      </x:c>
      <x:c r="C68" s="81" t="n">
        <x:v>2025</x:v>
      </x:c>
      <x:c r="D68" s="80" t="str">
        <x:v>Porsche 911 GT2</x:v>
      </x:c>
      <x:c r="E68" s="80" t="str">
        <x:v>Porsche 911 GT2</x:v>
      </x:c>
      <x:c r="F68" s="82" t="str">
        <x:v>Multipack Exclusive</x:v>
      </x:c>
      <x:c r="G68" s="80" t="str"/>
      <x:c r="H68" s="80" t="str"/>
      <x:c r="I68" s="83" t="str">
        <x:v>X6999</x:v>
      </x:c>
      <x:c r="J68" s="80" t="str">
        <x:v>Metalflake Dark Blue</x:v>
      </x:c>
      <x:c r="K68" s="82" t="str">
        <x:v>Detailed taillights and GT2 badge on rear, Porsche badge on hood</x:v>
      </x:c>
      <x:c r="L68" s="82" t="str">
        <x:v>Black Y5</x:v>
      </x:c>
      <x:c r="M68" s="82" t="str">
        <x:v>Black / / / Plastic</x:v>
      </x:c>
      <x:c r="N68" s="82" t="str">
        <x:v>Tinted (Black)</x:v>
      </x:c>
      <x:c r="O68" s="82" t="str">
        <x:v>Black</x:v>
      </x:c>
      <x:c r="P68" s="82" t="str">
        <x:v>Malaysia</x:v>
      </x:c>
      <x:c r="Q68" s="82" t="str"/>
      <x:c r="R68" s="82" t="str">
        <x:v>Temática / multipack</x:v>
      </x:c>
      <x:c r="S68" s="82" t="str">
        <x:v>Comum / atual</x:v>
      </x:c>
      <x:c r="T68" s="82" t="str">
        <x:v>Lançado</x:v>
      </x:c>
      <x:c r="U68" s="82" t="str">
        <x:v>Base code(s): T41, U06N, U07N, U11N</x:v>
      </x:c>
      <x:c r="V68" s="80" t="str">
        <x:v>Coleção principal (~1:64)</x:v>
      </x:c>
      <x:c r="W68" s="82" t="str">
        <x:v>https://hotwheels.fandom.com/wiki/Porsche_911_GT2</x:v>
      </x:c>
      <x:c r="X68" s="82" t="str">
        <x:v>https://hotwheels.fandom.com/wiki/Porsche_911_GT2</x:v>
      </x:c>
    </x:row>
    <x:row r="69">
      <x:c r="A69" s="80" t="str">
        <x:v>Não</x:v>
      </x:c>
      <x:c r="B69" s="80" t="str">
        <x:v>1 — Comprar agora</x:v>
      </x:c>
      <x:c r="C69" s="81" t="n">
        <x:v>2025</x:v>
      </x:c>
      <x:c r="D69" s="80" t="str">
        <x:v>Porsche 911 GT2 EVO 993</x:v>
      </x:c>
      <x:c r="E69" s="80" t="str">
        <x:v>Porsche 911 GT2 EVO 993</x:v>
      </x:c>
      <x:c r="F69" s="82" t="str">
        <x:v>Elite 64</x:v>
      </x:c>
      <x:c r="G69" s="80" t="str"/>
      <x:c r="H69" s="80" t="str"/>
      <x:c r="I69" s="83" t="str">
        <x:v>HWR94</x:v>
      </x:c>
      <x:c r="J69" s="80" t="str"/>
      <x:c r="K69" s="82" t="str"/>
      <x:c r="L69" s="82" t="str"/>
      <x:c r="M69" s="82" t="str"/>
      <x:c r="N69" s="82" t="str"/>
      <x:c r="O69" s="82" t="str"/>
      <x:c r="P69" s="82" t="str"/>
      <x:c r="Q69" s="82" t="str"/>
      <x:c r="R69" s="82" t="str">
        <x:v>Elite 64</x:v>
      </x:c>
      <x:c r="S69" s="82" t="str">
        <x:v>Incomum</x:v>
      </x:c>
      <x:c r="T69" s="82" t="str">
        <x:v>Lançado</x:v>
      </x:c>
      <x:c r="U69" s="82" t="str"/>
      <x:c r="V69" s="80" t="str">
        <x:v>Coleção principal (~1:64)</x:v>
      </x:c>
      <x:c r="W69" s="82" t="str">
        <x:v>https://hotwheels.fandom.com/wiki/Porsche</x:v>
      </x:c>
      <x:c r="X69" s="82" t="str">
        <x:v>https://hotwheels.fandom.com/wiki/Porsche_911_GT2_EVO_993</x:v>
      </x:c>
    </x:row>
    <x:row r="70">
      <x:c r="A70" s="80" t="str">
        <x:v>Não</x:v>
      </x:c>
      <x:c r="B70" s="80" t="str">
        <x:v>1 — Comprar agora</x:v>
      </x:c>
      <x:c r="C70" s="81" t="n">
        <x:v>2025</x:v>
      </x:c>
      <x:c r="D70" s="80" t="str">
        <x:v>Porsche 911 GT2 EVO 993</x:v>
      </x:c>
      <x:c r="E70" s="80" t="str">
        <x:v>Porsche 911 GT2 EVO 993</x:v>
      </x:c>
      <x:c r="F70" s="82" t="str">
        <x:v>Elite 64 / #14</x:v>
      </x:c>
      <x:c r="G70" s="80" t="str"/>
      <x:c r="H70" s="80" t="str"/>
      <x:c r="I70" s="83" t="str">
        <x:v>China</x:v>
      </x:c>
      <x:c r="J70" s="80" t="str">
        <x:v>Black and red</x:v>
      </x:c>
      <x:c r="K70" s="82" t="str">
        <x:v>Detailed taillights, ADVAN racing livery, "83" on sides, ADVAN windshield banner</x:v>
      </x:c>
      <x:c r="L70" s="82" t="str">
        <x:v>Bespoke RR</x:v>
      </x:c>
      <x:c r="M70" s="82" t="str">
        <x:v>Cool gray metallic matte / / / Metal</x:v>
      </x:c>
      <x:c r="N70" s="82" t="str">
        <x:v>Medium smoke tint</x:v>
      </x:c>
      <x:c r="O70" s="82" t="str">
        <x:v>Black with white roll cage</x:v>
      </x:c>
      <x:c r="P70" s="82" t="str">
        <x:v>HWR94</x:v>
      </x:c>
      <x:c r="Q70" s="82" t="str"/>
      <x:c r="R70" s="82" t="str">
        <x:v>Elite 64</x:v>
      </x:c>
      <x:c r="S70" s="82" t="str">
        <x:v>Incomum</x:v>
      </x:c>
      <x:c r="T70" s="82" t="str">
        <x:v>Lançado</x:v>
      </x:c>
      <x:c r="U70" s="82" t="str">
        <x:v>Production code(s): 3534YY, 3604YY, 3614YY</x:v>
      </x:c>
      <x:c r="V70" s="80" t="str">
        <x:v>Coleção principal (~1:64)</x:v>
      </x:c>
      <x:c r="W70" s="82" t="str">
        <x:v>https://hotwheels.fandom.com/wiki/Porsche_911_GT2_EVO_993</x:v>
      </x:c>
      <x:c r="X70" s="82" t="str">
        <x:v>https://hotwheels.fandom.com/wiki/Porsche_911_GT2_EVO_993</x:v>
      </x:c>
    </x:row>
    <x:row r="71">
      <x:c r="A71" s="80" t="str">
        <x:v>Não</x:v>
      </x:c>
      <x:c r="B71" s="80" t="str">
        <x:v>1 — Comprar agora</x:v>
      </x:c>
      <x:c r="C71" s="81" t="n">
        <x:v>2025</x:v>
      </x:c>
      <x:c r="D71" s="80" t="str">
        <x:v>Porsche 911 GT3</x:v>
      </x:c>
      <x:c r="E71" s="80" t="str">
        <x:v>Porsche 911 GT3</x:v>
      </x:c>
      <x:c r="F71" s="82" t="str">
        <x:v>HW Race Day / 1/10</x:v>
      </x:c>
      <x:c r="G71" s="80" t="str"/>
      <x:c r="H71" s="80" t="str">
        <x:v>074/250</x:v>
      </x:c>
      <x:c r="I71" s="83" t="str">
        <x:v>HYX17</x:v>
      </x:c>
      <x:c r="J71" s="80" t="str">
        <x:v>Jet Black</x:v>
      </x:c>
      <x:c r="K71" s="82" t="str">
        <x:v>Detailed taillights and trim, goldenrod striping, "5" on hood, goldenrod striping, Porsche wordmark, "5", Hot Wheels logo, "R. ISAIAS" on sides</x:v>
      </x:c>
      <x:c r="L71" s="82" t="str">
        <x:v>Black Y5</x:v>
      </x:c>
      <x:c r="M71" s="82" t="str">
        <x:v>Black / / / Plastic</x:v>
      </x:c>
      <x:c r="N71" s="82" t="str">
        <x:v>Smoke tint</x:v>
      </x:c>
      <x:c r="O71" s="82" t="str">
        <x:v>Black</x:v>
      </x:c>
      <x:c r="P71" s="82" t="str">
        <x:v>Malaysia</x:v>
      </x:c>
      <x:c r="Q71" s="82" t="str"/>
      <x:c r="R71" s="82" t="str">
        <x:v>Mainline</x:v>
      </x:c>
      <x:c r="S71" s="82" t="str">
        <x:v>Comum / atual</x:v>
      </x:c>
      <x:c r="T71" s="82" t="str">
        <x:v>Lançado</x:v>
      </x:c>
      <x:c r="U71" s="82" t="str">
        <x:v>Base code(s): T40, T42, T43, T44</x:v>
      </x:c>
      <x:c r="V71" s="80" t="str">
        <x:v>Coleção principal (~1:64)</x:v>
      </x:c>
      <x:c r="W71" s="82" t="str">
        <x:v>https://hotwheels.fandom.com/wiki/Porsche_911_GT3</x:v>
      </x:c>
      <x:c r="X71" s="82" t="str">
        <x:v>https://hotwheels.fandom.com/wiki/Porsche_911_GT3</x:v>
      </x:c>
    </x:row>
    <x:row r="72">
      <x:c r="A72" s="80" t="str">
        <x:v>Não</x:v>
      </x:c>
      <x:c r="B72" s="80" t="str">
        <x:v>1 — Comprar agora</x:v>
      </x:c>
      <x:c r="C72" s="81" t="n">
        <x:v>2025</x:v>
      </x:c>
      <x:c r="D72" s="80" t="str">
        <x:v>Porsche 911 GT3 Cup</x:v>
      </x:c>
      <x:c r="E72" s="80" t="str">
        <x:v>Porsche 911 GT3 Cup</x:v>
      </x:c>
      <x:c r="F72" s="82" t="str">
        <x:v>Color Shifters</x:v>
      </x:c>
      <x:c r="G72" s="80" t="str"/>
      <x:c r="H72" s="80" t="str"/>
      <x:c r="I72" s="83" t="str">
        <x:v>JCM36</x:v>
      </x:c>
      <x:c r="J72" s="80" t="str">
        <x:v>Warm: Red / Mid: Dark Plum / Cold: Black</x:v>
      </x:c>
      <x:c r="K72" s="82" t="str">
        <x:v>Red stripes on sides , "25"</x:v>
      </x:c>
      <x:c r="L72" s="82" t="str">
        <x:v>LW</x:v>
      </x:c>
      <x:c r="M72" s="82" t="str">
        <x:v>Black / / / Plastic</x:v>
      </x:c>
      <x:c r="N72" s="82" t="str">
        <x:v>Smoke tint</x:v>
      </x:c>
      <x:c r="O72" s="82" t="str">
        <x:v>Grey</x:v>
      </x:c>
      <x:c r="P72" s="82" t="str">
        <x:v>Thailand</x:v>
      </x:c>
      <x:c r="Q72" s="82" t="str"/>
      <x:c r="R72" s="82" t="str">
        <x:v>Outra linha</x:v>
      </x:c>
      <x:c r="S72" s="82" t="str">
        <x:v>Comum / atual</x:v>
      </x:c>
      <x:c r="T72" s="82" t="str">
        <x:v>Lançado</x:v>
      </x:c>
      <x:c r="U72" s="82" t="str">
        <x:v>Original tooling / Base code(s): T50A, T52A, U05A</x:v>
      </x:c>
      <x:c r="V72" s="80" t="str">
        <x:v>Coleção principal (~1:64)</x:v>
      </x:c>
      <x:c r="W72" s="82" t="str">
        <x:v>https://hotwheels.fandom.com/wiki/Porsche_911_GT3_Cup</x:v>
      </x:c>
      <x:c r="X72" s="82" t="str">
        <x:v>https://hotwheels.fandom.com/wiki/Porsche_911_GT3_Cup</x:v>
      </x:c>
    </x:row>
    <x:row r="73">
      <x:c r="A73" s="80" t="str">
        <x:v>Não</x:v>
      </x:c>
      <x:c r="B73" s="80" t="str">
        <x:v>1 — Comprar agora</x:v>
      </x:c>
      <x:c r="C73" s="81" t="n">
        <x:v>2025</x:v>
      </x:c>
      <x:c r="D73" s="80" t="str">
        <x:v>Porsche 911 GT3 Cup</x:v>
      </x:c>
      <x:c r="E73" s="80" t="str">
        <x:v>Porsche 911 GT3 Cup</x:v>
      </x:c>
      <x:c r="F73" s="82" t="str">
        <x:v>Color Shifters</x:v>
      </x:c>
      <x:c r="G73" s="80" t="str"/>
      <x:c r="H73" s="80" t="str"/>
      <x:c r="I73" s="83" t="str">
        <x:v>JCM36</x:v>
      </x:c>
      <x:c r="J73" s="80" t="str">
        <x:v>Warm: RedMid: Dark PlumCold: Black</x:v>
      </x:c>
      <x:c r="K73" s="82" t="str">
        <x:v>Detailed front trim, red &amp; black striping, "25" and Porsche wordmark on sides</x:v>
      </x:c>
      <x:c r="L73" s="82" t="str">
        <x:v>LW</x:v>
      </x:c>
      <x:c r="M73" s="82" t="str">
        <x:v>Black / Plastic</x:v>
      </x:c>
      <x:c r="N73" s="82" t="str">
        <x:v>Smoke tint</x:v>
      </x:c>
      <x:c r="O73" s="82" t="str">
        <x:v>Grey</x:v>
      </x:c>
      <x:c r="P73" s="82" t="str">
        <x:v>Thailand</x:v>
      </x:c>
      <x:c r="Q73" s="82" t="str"/>
      <x:c r="R73" s="82" t="str">
        <x:v>Outra linha</x:v>
      </x:c>
      <x:c r="S73" s="82" t="str">
        <x:v>Comum / atual</x:v>
      </x:c>
      <x:c r="T73" s="82" t="str">
        <x:v>Lançado</x:v>
      </x:c>
      <x:c r="U73" s="82" t="str">
        <x:v>Original tooling Base code(s): T50A, T52A, U05A, V24A, V27A</x:v>
      </x:c>
      <x:c r="V73" s="80" t="str">
        <x:v>Coleção principal (~1:64)</x:v>
      </x:c>
      <x:c r="W73" s="82" t="str">
        <x:v>https://hotwheels.fandom.com/wiki/Porsche_911_GT3_Cup</x:v>
      </x:c>
      <x:c r="X73" s="82" t="str">
        <x:v>https://hotwheels.fandom.com/wiki/Porsche_911_GT3_Cup</x:v>
      </x:c>
    </x:row>
    <x:row r="74">
      <x:c r="A74" s="80" t="str">
        <x:v>Não</x:v>
      </x:c>
      <x:c r="B74" s="80" t="str">
        <x:v>1 — Comprar agora</x:v>
      </x:c>
      <x:c r="C74" s="81" t="n">
        <x:v>2025</x:v>
      </x:c>
      <x:c r="D74" s="80" t="str">
        <x:v>Porsche 911 GT3 R (992)</x:v>
      </x:c>
      <x:c r="E74" s="80" t="str">
        <x:v>Porsche 911 GT3 R (992)</x:v>
      </x:c>
      <x:c r="F74" s="82" t="str">
        <x:v>Car Culture: Circuit Legends / 5/5</x:v>
      </x:c>
      <x:c r="G74" s="80" t="str"/>
      <x:c r="H74" s="80" t="str"/>
      <x:c r="I74" s="83" t="str">
        <x:v>JBK65</x:v>
      </x:c>
      <x:c r="J74" s="80" t="str">
        <x:v>Gulf Racing Blue</x:v>
      </x:c>
      <x:c r="K74" s="82" t="str">
        <x:v>Detailed taillights, Gulf Racing livery</x:v>
      </x:c>
      <x:c r="L74" s="82" t="str">
        <x:v>Black RR10SPM</x:v>
      </x:c>
      <x:c r="M74" s="82" t="str">
        <x:v>Matte Black / / / Metal</x:v>
      </x:c>
      <x:c r="N74" s="82" t="str">
        <x:v>Smoke tint</x:v>
      </x:c>
      <x:c r="O74" s="82" t="str">
        <x:v>Black</x:v>
      </x:c>
      <x:c r="P74" s="82" t="str">
        <x:v>Thailand</x:v>
      </x:c>
      <x:c r="Q74" s="82" t="str"/>
      <x:c r="R74" s="82" t="str">
        <x:v>Premium</x:v>
      </x:c>
      <x:c r="S74" s="82" t="str">
        <x:v>Incomum</x:v>
      </x:c>
      <x:c r="T74" s="82" t="str">
        <x:v>Lançado</x:v>
      </x:c>
      <x:c r="U74" s="82" t="str">
        <x:v>Base code(s): U15A, U17A, U20A</x:v>
      </x:c>
      <x:c r="V74" s="80" t="str">
        <x:v>Coleção principal (~1:64)</x:v>
      </x:c>
      <x:c r="W74" s="82" t="str">
        <x:v>https://hotwheels.fandom.com/wiki/Porsche_911_GT3_R_(992)</x:v>
      </x:c>
      <x:c r="X74" s="82" t="str">
        <x:v>https://hotwheels.fandom.com/wiki/Porsche_911_GT3_R_(992)</x:v>
      </x:c>
    </x:row>
    <x:row r="75">
      <x:c r="A75" s="80" t="str">
        <x:v>Não</x:v>
      </x:c>
      <x:c r="B75" s="80" t="str">
        <x:v>1 — Comprar agora</x:v>
      </x:c>
      <x:c r="C75" s="81" t="n">
        <x:v>2025</x:v>
      </x:c>
      <x:c r="D75" s="80" t="str">
        <x:v>Porsche 911 GT3 RS (2011)</x:v>
      </x:c>
      <x:c r="E75" s="80" t="str">
        <x:v>Porsche 911 GT3 RS</x:v>
      </x:c>
      <x:c r="F75" s="82" t="str">
        <x:v>Fast &amp; Furious 5-Pack</x:v>
      </x:c>
      <x:c r="G75" s="80" t="str"/>
      <x:c r="H75" s="80" t="str"/>
      <x:c r="I75" s="83" t="str">
        <x:v>JBJ80 / JDR21</x:v>
      </x:c>
      <x:c r="J75" s="80" t="str">
        <x:v>Metalflake Lime Green</x:v>
      </x:c>
      <x:c r="K75" s="82" t="str">
        <x:v>Detailed headlights and Porsche badge on front, GT3 stripes on sides</x:v>
      </x:c>
      <x:c r="L75" s="82" t="str">
        <x:v>Bronze 10SP</x:v>
      </x:c>
      <x:c r="M75" s="82" t="str">
        <x:v>Black / / / Plastic</x:v>
      </x:c>
      <x:c r="N75" s="82" t="str">
        <x:v>Clear</x:v>
      </x:c>
      <x:c r="O75" s="82" t="str">
        <x:v>Black</x:v>
      </x:c>
      <x:c r="P75" s="82" t="str">
        <x:v>Indonesia</x:v>
      </x:c>
      <x:c r="Q75" s="82" t="str"/>
      <x:c r="R75" s="82" t="str">
        <x:v>Temática / multipack</x:v>
      </x:c>
      <x:c r="S75" s="82" t="str">
        <x:v>Comum / atual</x:v>
      </x:c>
      <x:c r="T75" s="82" t="str">
        <x:v>Lançado</x:v>
      </x:c>
      <x:c r="U75" s="82" t="str">
        <x:v>Base code(s): U21I</x:v>
      </x:c>
      <x:c r="V75" s="80" t="str">
        <x:v>Coleção principal (~1:64)</x:v>
      </x:c>
      <x:c r="W75" s="82" t="str">
        <x:v>https://hotwheels.fandom.com/wiki/Porsche_911_GT3_RS_(2011)</x:v>
      </x:c>
      <x:c r="X75" s="82" t="str">
        <x:v>https://hotwheels.fandom.com/wiki/Porsche_911_GT3_RS_(2011)</x:v>
      </x:c>
    </x:row>
    <x:row r="76">
      <x:c r="A76" s="80" t="str">
        <x:v>Não</x:v>
      </x:c>
      <x:c r="B76" s="80" t="str">
        <x:v>1 — Comprar agora</x:v>
      </x:c>
      <x:c r="C76" s="81" t="n">
        <x:v>2025</x:v>
      </x:c>
      <x:c r="D76" s="80" t="str">
        <x:v>Porsche 911 GT3 RS (2016)</x:v>
      </x:c>
      <x:c r="E76" s="80" t="str">
        <x:v>Porsche 911 GT3 RS</x:v>
      </x:c>
      <x:c r="F76" s="82" t="str">
        <x:v>Then and Now / 8/10</x:v>
      </x:c>
      <x:c r="G76" s="80" t="str"/>
      <x:c r="H76" s="80" t="str">
        <x:v>220/250</x:v>
      </x:c>
      <x:c r="I76" s="83" t="str">
        <x:v>JBB35</x:v>
      </x:c>
      <x:c r="J76" s="80" t="str">
        <x:v>Pink</x:v>
      </x:c>
      <x:c r="K76" s="82" t="str">
        <x:v>Black and gold swoops &amp; '27' on hood and sides, 'Porsche' on sides and wing, Porsche badge on nose</x:v>
      </x:c>
      <x:c r="L76" s="82" t="str">
        <x:v>Gold rim, Black PR5</x:v>
      </x:c>
      <x:c r="M76" s="82" t="str">
        <x:v>Black / / / Plastic</x:v>
      </x:c>
      <x:c r="N76" s="82" t="str">
        <x:v>Smoke tint</x:v>
      </x:c>
      <x:c r="O76" s="82" t="str">
        <x:v>Black</x:v>
      </x:c>
      <x:c r="P76" s="82" t="str">
        <x:v>Malaysia</x:v>
      </x:c>
      <x:c r="Q76" s="82" t="str"/>
      <x:c r="R76" s="82" t="str">
        <x:v>Mainline</x:v>
      </x:c>
      <x:c r="S76" s="82" t="str">
        <x:v>Comum / atual</x:v>
      </x:c>
      <x:c r="T76" s="82" t="str">
        <x:v>Lançado</x:v>
      </x:c>
      <x:c r="U76" s="82" t="str">
        <x:v>Base code(s): U16N, U18N, U19N, U20N, U21N,</x:v>
      </x:c>
      <x:c r="V76" s="80" t="str">
        <x:v>Coleção principal (~1:64)</x:v>
      </x:c>
      <x:c r="W76" s="82" t="str">
        <x:v>https://hotwheels.fandom.com/wiki/Porsche_911_GT3_RS_(2016)</x:v>
      </x:c>
      <x:c r="X76" s="82" t="str">
        <x:v>https://hotwheels.fandom.com/wiki/Porsche_911_GT3_RS_(2016)</x:v>
      </x:c>
    </x:row>
    <x:row r="77">
      <x:c r="A77" s="80" t="str">
        <x:v>Não</x:v>
      </x:c>
      <x:c r="B77" s="80" t="str">
        <x:v>1 — Comprar agora</x:v>
      </x:c>
      <x:c r="C77" s="81" t="n">
        <x:v>2025</x:v>
      </x:c>
      <x:c r="D77" s="80" t="str">
        <x:v>Porsche 911 Off-Roader</x:v>
      </x:c>
      <x:c r="E77" s="80" t="str">
        <x:v>Porsche 911 Off-Roader</x:v>
      </x:c>
      <x:c r="F77" s="82" t="str">
        <x:v>Track Fleet</x:v>
      </x:c>
      <x:c r="G77" s="80" t="str"/>
      <x:c r="H77" s="80" t="str"/>
      <x:c r="I77" s="83" t="str">
        <x:v>JCM61</x:v>
      </x:c>
      <x:c r="J77" s="80" t="str">
        <x:v>Car: Cream / Trailer: Black</x:v>
      </x:c>
      <x:c r="K77" s="82" t="str">
        <x:v>Black, yellow, &amp; reds stripes with brown mud splatter on car and trailer; black accents on hood; "FLAMMABLE" &amp; Hot Wheels logo on trailer; "HOT WHEELS", "VANCE", and yellow &amp; orange flames on black surfboard.</x:v>
      </x:c>
      <x:c r="L77" s="82" t="str">
        <x:v>Black &amp; brown BAJA5</x:v>
      </x:c>
      <x:c r="M77" s="82" t="str">
        <x:v>Car: Black / / / Plastic / &amp; / Trailer: ZAMAC</x:v>
      </x:c>
      <x:c r="N77" s="82" t="str">
        <x:v>Smoke tint</x:v>
      </x:c>
      <x:c r="O77" s="82" t="str">
        <x:v>Black</x:v>
      </x:c>
      <x:c r="P77" s="82" t="str">
        <x:v>Malaysia</x:v>
      </x:c>
      <x:c r="Q77" s="82" t="str"/>
      <x:c r="R77" s="82" t="str">
        <x:v>Outra linha</x:v>
      </x:c>
      <x:c r="S77" s="82" t="str">
        <x:v>Comum / atual</x:v>
      </x:c>
      <x:c r="T77" s="82" t="str">
        <x:v>Lançado</x:v>
      </x:c>
      <x:c r="U77" s="82" t="str">
        <x:v>Base code(s): T40, T43, T46, U04, U38N, U45N, U46N, V01N, V02N</x:v>
      </x:c>
      <x:c r="V77" s="80" t="str">
        <x:v>Coleção principal (~1:64)</x:v>
      </x:c>
      <x:c r="W77" s="82" t="str">
        <x:v>https://hotwheels.fandom.com/wiki/Porsche_911_Off-Roader</x:v>
      </x:c>
      <x:c r="X77" s="82" t="str">
        <x:v>https://hotwheels.fandom.com/wiki/Porsche_911_Off-Roader</x:v>
      </x:c>
    </x:row>
    <x:row r="78">
      <x:c r="A78" s="80" t="str">
        <x:v>Não</x:v>
      </x:c>
      <x:c r="B78" s="80" t="str">
        <x:v>1 — Comprar agora</x:v>
      </x:c>
      <x:c r="C78" s="81" t="n">
        <x:v>2025</x:v>
      </x:c>
      <x:c r="D78" s="80" t="str">
        <x:v>Porsche 911 Off-Roader</x:v>
      </x:c>
      <x:c r="E78" s="80" t="str">
        <x:v>Porsche 911 Off-Roader</x:v>
      </x:c>
      <x:c r="F78" s="82" t="str">
        <x:v>Track Fleet</x:v>
      </x:c>
      <x:c r="G78" s="80" t="str"/>
      <x:c r="H78" s="80" t="str"/>
      <x:c r="I78" s="83" t="str">
        <x:v>JCM65</x:v>
      </x:c>
      <x:c r="J78" s="80" t="str">
        <x:v>Car: Satin black / Trailer: Beige</x:v>
      </x:c>
      <x:c r="K78" s="82" t="str">
        <x:v>White, silver &amp; red graphics with "HW" decal "TOY HAULER" on doors; "HW" and "27" decals on hood; Hot Wheels logo and black zig-zag lines on trailer; black lines on the cream surfboard.</x:v>
      </x:c>
      <x:c r="L78" s="82" t="str">
        <x:v>Bronze BAJA5</x:v>
      </x:c>
      <x:c r="M78" s="82" t="str">
        <x:v>Car: Black / / / Plastic / &amp; / Trailer: Black / / / Metal</x:v>
      </x:c>
      <x:c r="N78" s="82" t="str">
        <x:v>Smoke tint</x:v>
      </x:c>
      <x:c r="O78" s="82" t="str">
        <x:v>Brown</x:v>
      </x:c>
      <x:c r="P78" s="82" t="str">
        <x:v>Malaysia</x:v>
      </x:c>
      <x:c r="Q78" s="82" t="str"/>
      <x:c r="R78" s="82" t="str">
        <x:v>Outra linha</x:v>
      </x:c>
      <x:c r="S78" s="82" t="str">
        <x:v>Comum / atual</x:v>
      </x:c>
      <x:c r="T78" s="82" t="str">
        <x:v>Lançado</x:v>
      </x:c>
      <x:c r="U78" s="82" t="str">
        <x:v>Base code(s): U10N, U13N, U22N, U23N, U24N, U34N</x:v>
      </x:c>
      <x:c r="V78" s="80" t="str">
        <x:v>Coleção principal (~1:64)</x:v>
      </x:c>
      <x:c r="W78" s="82" t="str">
        <x:v>https://hotwheels.fandom.com/wiki/Porsche_911_Off-Roader</x:v>
      </x:c>
      <x:c r="X78" s="82" t="str">
        <x:v>https://hotwheels.fandom.com/wiki/Porsche_911_Off-Roader</x:v>
      </x:c>
    </x:row>
    <x:row r="79">
      <x:c r="A79" s="80" t="str">
        <x:v>Não</x:v>
      </x:c>
      <x:c r="B79" s="80" t="str">
        <x:v>1 — Comprar agora</x:v>
      </x:c>
      <x:c r="C79" s="81" t="n">
        <x:v>2025</x:v>
      </x:c>
      <x:c r="D79" s="80" t="str">
        <x:v>Porsche 911 Rallye</x:v>
      </x:c>
      <x:c r="E79" s="80" t="str">
        <x:v>Porsche 911 Rallye</x:v>
      </x:c>
      <x:c r="F79" s="82" t="str">
        <x:v>Safari Mode / 2/5</x:v>
      </x:c>
      <x:c r="G79" s="80" t="str"/>
      <x:c r="H79" s="80" t="str">
        <x:v>154/250</x:v>
      </x:c>
      <x:c r="I79" s="83" t="str">
        <x:v>HYW87</x:v>
      </x:c>
      <x:c r="J79" s="80" t="str">
        <x:v>Dark green</x:v>
      </x:c>
      <x:c r="K79" s="82" t="str">
        <x:v>Detailed headlights, multicolored striping, "17" on sides</x:v>
      </x:c>
      <x:c r="L79" s="82" t="str">
        <x:v>Gold MC5</x:v>
      </x:c>
      <x:c r="M79" s="82" t="str">
        <x:v>Dark gray / / / Plastic</x:v>
      </x:c>
      <x:c r="N79" s="82" t="str">
        <x:v>Smoke tint</x:v>
      </x:c>
      <x:c r="O79" s="82" t="str">
        <x:v>Black</x:v>
      </x:c>
      <x:c r="P79" s="82" t="str">
        <x:v>Malaysia</x:v>
      </x:c>
      <x:c r="Q79" s="82" t="str"/>
      <x:c r="R79" s="82" t="str">
        <x:v>Mainline</x:v>
      </x:c>
      <x:c r="S79" s="82" t="str">
        <x:v>Comum / atual</x:v>
      </x:c>
      <x:c r="T79" s="82" t="str">
        <x:v>Lançado</x:v>
      </x:c>
      <x:c r="U79" s="82" t="str">
        <x:v>Base code(s): U02N, U05N, U06N, U07N</x:v>
      </x:c>
      <x:c r="V79" s="80" t="str">
        <x:v>Coleção principal (~1:64)</x:v>
      </x:c>
      <x:c r="W79" s="82" t="str">
        <x:v>https://hotwheels.fandom.com/wiki/Porsche_911_Rallye</x:v>
      </x:c>
      <x:c r="X79" s="82" t="str">
        <x:v>https://hotwheels.fandom.com/wiki/Porsche_911_Rallye</x:v>
      </x:c>
    </x:row>
    <x:row r="80">
      <x:c r="A80" s="80" t="str">
        <x:v>Não</x:v>
      </x:c>
      <x:c r="B80" s="80" t="str">
        <x:v>1 — Comprar agora</x:v>
      </x:c>
      <x:c r="C80" s="81" t="n">
        <x:v>2025</x:v>
      </x:c>
      <x:c r="D80" s="80" t="str">
        <x:v>Porsche 911 Turbo Cabriolet</x:v>
      </x:c>
      <x:c r="E80" s="80" t="str">
        <x:v>Porsche 911 Turbo Cabriolet</x:v>
      </x:c>
      <x:c r="F80" s="82" t="str">
        <x:v>Then and Now / 10/10</x:v>
      </x:c>
      <x:c r="G80" s="80" t="str"/>
      <x:c r="H80" s="80" t="str">
        <x:v>239/250</x:v>
      </x:c>
      <x:c r="I80" s="83" t="str">
        <x:v>HYW37</x:v>
      </x:c>
      <x:c r="J80" s="80" t="str">
        <x:v>Amethyst Metallic (magenta)</x:v>
      </x:c>
      <x:c r="K80" s="82" t="str">
        <x:v>Detailed headlights and taillight strip, "964 TURBO" license plates, Porsche logo on hood, Hot Wheels logo on rear bumper</x:v>
      </x:c>
      <x:c r="L80" s="82" t="str">
        <x:v>L4</x:v>
      </x:c>
      <x:c r="M80" s="82" t="str">
        <x:v>Black / / / Plastic</x:v>
      </x:c>
      <x:c r="N80" s="82" t="str">
        <x:v>Clear</x:v>
      </x:c>
      <x:c r="O80" s="82" t="str">
        <x:v>Pink</x:v>
      </x:c>
      <x:c r="P80" s="82" t="str">
        <x:v>Malaysia</x:v>
      </x:c>
      <x:c r="Q80" s="82" t="str"/>
      <x:c r="R80" s="82" t="str">
        <x:v>Mainline</x:v>
      </x:c>
      <x:c r="S80" s="82" t="str">
        <x:v>Comum / atual</x:v>
      </x:c>
      <x:c r="T80" s="82" t="str">
        <x:v>Lançado</x:v>
      </x:c>
      <x:c r="U80" s="82" t="str">
        <x:v>New Model / Base code(s): U22N, U23N, U24N, U25N, U28N</x:v>
      </x:c>
      <x:c r="V80" s="80" t="str">
        <x:v>Coleção principal (~1:64)</x:v>
      </x:c>
      <x:c r="W80" s="82" t="str">
        <x:v>https://hotwheels.fandom.com/wiki/Porsche_911_Turbo_Cabriolet</x:v>
      </x:c>
      <x:c r="X80" s="82" t="str">
        <x:v>https://hotwheels.fandom.com/wiki/Porsche_911_Turbo_Cabriolet</x:v>
      </x:c>
    </x:row>
    <x:row r="81">
      <x:c r="A81" s="80" t="str">
        <x:v>Não</x:v>
      </x:c>
      <x:c r="B81" s="80" t="str">
        <x:v>1 — Comprar agora</x:v>
      </x:c>
      <x:c r="C81" s="81" t="n">
        <x:v>2025</x:v>
      </x:c>
      <x:c r="D81" s="80" t="str">
        <x:v>Porsche 917KH</x:v>
      </x:c>
      <x:c r="E81" s="80" t="str">
        <x:v>Porsche 917KH</x:v>
      </x:c>
      <x:c r="F81" s="82" t="str">
        <x:v>Car Culture: Circuit Legends 3/5</x:v>
      </x:c>
      <x:c r="G81" s="80" t="str"/>
      <x:c r="H81" s="80" t="str"/>
      <x:c r="I81" s="83" t="str">
        <x:v>JBK63</x:v>
      </x:c>
      <x:c r="J81" s="80" t="str">
        <x:v>Red</x:v>
      </x:c>
      <x:c r="K81" s="82" t="str">
        <x:v>Detailed taillights and trim, white stripes, "23" on sides</x:v>
      </x:c>
      <x:c r="L81" s="82" t="str">
        <x:v>Black RR5SPM</x:v>
      </x:c>
      <x:c r="M81" s="82" t="str">
        <x:v>Black / Metal</x:v>
      </x:c>
      <x:c r="N81" s="82" t="str">
        <x:v>Clear</x:v>
      </x:c>
      <x:c r="O81" s="82" t="str">
        <x:v>Black</x:v>
      </x:c>
      <x:c r="P81" s="82" t="str">
        <x:v>Thailand</x:v>
      </x:c>
      <x:c r="Q81" s="82" t="str"/>
      <x:c r="R81" s="82" t="str">
        <x:v>Premium</x:v>
      </x:c>
      <x:c r="S81" s="82" t="str">
        <x:v>Incomum</x:v>
      </x:c>
      <x:c r="T81" s="82" t="str">
        <x:v>Lançado</x:v>
      </x:c>
      <x:c r="U81" s="82" t="str">
        <x:v>Base code(s): U15A, U19A</x:v>
      </x:c>
      <x:c r="V81" s="80" t="str">
        <x:v>Coleção principal (~1:64)</x:v>
      </x:c>
      <x:c r="W81" s="82" t="str">
        <x:v>https://hotwheels.fandom.com/wiki/Porsche_917KH</x:v>
      </x:c>
      <x:c r="X81" s="82" t="str">
        <x:v>https://hotwheels.fandom.com/wiki/Porsche_917KH</x:v>
      </x:c>
    </x:row>
    <x:row r="82">
      <x:c r="A82" s="80" t="str">
        <x:v>Não</x:v>
      </x:c>
      <x:c r="B82" s="80" t="str">
        <x:v>1 — Comprar agora</x:v>
      </x:c>
      <x:c r="C82" s="81" t="n">
        <x:v>2025</x:v>
      </x:c>
      <x:c r="D82" s="80" t="str">
        <x:v>Porsche 934 Turbo RSR</x:v>
      </x:c>
      <x:c r="E82" s="80" t="str">
        <x:v>Porsche 934 Turbo RSR</x:v>
      </x:c>
      <x:c r="F82" s="82" t="str">
        <x:v>Neon Speeders / 6/8</x:v>
      </x:c>
      <x:c r="G82" s="80" t="str"/>
      <x:c r="H82" s="80" t="str"/>
      <x:c r="I82" s="83" t="str">
        <x:v>JCB05</x:v>
      </x:c>
      <x:c r="J82" s="80" t="str">
        <x:v>Matte black</x:v>
      </x:c>
      <x:c r="K82" s="82" t="str">
        <x:v>Detailed headlights and taillights, green stripes and "76" on sides and hood, Hot Wheels logo on sides</x:v>
      </x:c>
      <x:c r="L82" s="82" t="str">
        <x:v>Copper NS6</x:v>
      </x:c>
      <x:c r="M82" s="82" t="str">
        <x:v>Black / / / Plastic</x:v>
      </x:c>
      <x:c r="N82" s="82" t="str">
        <x:v>Light smoke tint</x:v>
      </x:c>
      <x:c r="O82" s="82" t="str">
        <x:v>Black</x:v>
      </x:c>
      <x:c r="P82" s="82" t="str">
        <x:v>Indonesia</x:v>
      </x:c>
      <x:c r="Q82" s="82" t="str"/>
      <x:c r="R82" s="82" t="str">
        <x:v>Outra linha</x:v>
      </x:c>
      <x:c r="S82" s="82" t="str">
        <x:v>Comum / atual</x:v>
      </x:c>
      <x:c r="T82" s="82" t="str">
        <x:v>Lançado</x:v>
      </x:c>
      <x:c r="U82" s="82" t="str">
        <x:v>Base code(s): U09I, U10I, U11I, U12I, U13I, U16I, U27I</x:v>
      </x:c>
      <x:c r="V82" s="80" t="str">
        <x:v>Coleção principal (~1:64)</x:v>
      </x:c>
      <x:c r="W82" s="82" t="str">
        <x:v>https://hotwheels.fandom.com/wiki/Porsche_934_Turbo_RSR</x:v>
      </x:c>
      <x:c r="X82" s="82" t="str">
        <x:v>https://hotwheels.fandom.com/wiki/Porsche_934_Turbo_RSR</x:v>
      </x:c>
    </x:row>
    <x:row r="83">
      <x:c r="A83" s="80" t="str">
        <x:v>Não</x:v>
      </x:c>
      <x:c r="B83" s="80" t="str">
        <x:v>1 — Comprar agora</x:v>
      </x:c>
      <x:c r="C83" s="81" t="n">
        <x:v>2025</x:v>
      </x:c>
      <x:c r="D83" s="80" t="str">
        <x:v>Porsche 934.5</x:v>
      </x:c>
      <x:c r="E83" s="80" t="str">
        <x:v>Porsche 934.5</x:v>
      </x:c>
      <x:c r="F83" s="82" t="str">
        <x:v>Track Day Collector Set</x:v>
      </x:c>
      <x:c r="G83" s="80" t="str"/>
      <x:c r="H83" s="80" t="str"/>
      <x:c r="I83" s="83" t="str">
        <x:v>JBM05</x:v>
      </x:c>
      <x:c r="J83" s="80" t="str">
        <x:v>Orange</x:v>
      </x:c>
      <x:c r="K83" s="82" t="str">
        <x:v>Detailed headlights, 'PORSCHE' on wing</x:v>
      </x:c>
      <x:c r="L83" s="82" t="str">
        <x:v>Chrome Rim, Gold RREURO</x:v>
      </x:c>
      <x:c r="M83" s="82" t="str">
        <x:v>Black / / / Metal</x:v>
      </x:c>
      <x:c r="N83" s="82" t="str">
        <x:v>Smoke tint</x:v>
      </x:c>
      <x:c r="O83" s="82" t="str">
        <x:v>Black</x:v>
      </x:c>
      <x:c r="P83" s="82" t="str">
        <x:v>Thailand</x:v>
      </x:c>
      <x:c r="Q83" s="82" t="str"/>
      <x:c r="R83" s="82" t="str">
        <x:v>Temática / multipack</x:v>
      </x:c>
      <x:c r="S83" s="82" t="str">
        <x:v>Comum / atual</x:v>
      </x:c>
      <x:c r="T83" s="82" t="str">
        <x:v>Lançado</x:v>
      </x:c>
      <x:c r="U83" s="82" t="str">
        <x:v>Base code(s): T37</x:v>
      </x:c>
      <x:c r="V83" s="80" t="str">
        <x:v>Coleção principal (~1:64)</x:v>
      </x:c>
      <x:c r="W83" s="82" t="str">
        <x:v>https://hotwheels.fandom.com/wiki/Porsche_934.5</x:v>
      </x:c>
      <x:c r="X83" s="82" t="str">
        <x:v>https://hotwheels.fandom.com/wiki/Porsche_934.5</x:v>
      </x:c>
    </x:row>
    <x:row r="84">
      <x:c r="A84" s="80" t="str">
        <x:v>Não</x:v>
      </x:c>
      <x:c r="B84" s="80" t="str">
        <x:v>1 — Comprar agora</x:v>
      </x:c>
      <x:c r="C84" s="81" t="n">
        <x:v>2025</x:v>
      </x:c>
      <x:c r="D84" s="80" t="str">
        <x:v>Porsche 935 (2021)</x:v>
      </x:c>
      <x:c r="E84" s="80" t="str">
        <x:v>Porsche 935</x:v>
      </x:c>
      <x:c r="F84" s="82" t="str">
        <x:v>Hot Wheels Boulevard / #116</x:v>
      </x:c>
      <x:c r="G84" s="80" t="str"/>
      <x:c r="H84" s="80" t="str"/>
      <x:c r="I84" s="83" t="str">
        <x:v>JBL17</x:v>
      </x:c>
      <x:c r="J84" s="80" t="str">
        <x:v>Black gloss</x:v>
      </x:c>
      <x:c r="K84" s="82" t="str">
        <x:v>Grey accents &amp; driver door, white striping &amp; door right, "935X" on hood, "SUPERCOLLCTR" on sides</x:v>
      </x:c>
      <x:c r="L84" s="82" t="str">
        <x:v>Black C4SPRR &amp; RRA</x:v>
      </x:c>
      <x:c r="M84" s="82" t="str">
        <x:v>Matte Black / / / Metal</x:v>
      </x:c>
      <x:c r="N84" s="82" t="str">
        <x:v>Smoke tint</x:v>
      </x:c>
      <x:c r="O84" s="82" t="str">
        <x:v>Black</x:v>
      </x:c>
      <x:c r="P84" s="82" t="str">
        <x:v>Thailand</x:v>
      </x:c>
      <x:c r="Q84" s="82" t="str"/>
      <x:c r="R84" s="82" t="str">
        <x:v>Premium</x:v>
      </x:c>
      <x:c r="S84" s="82" t="str">
        <x:v>Incomum</x:v>
      </x:c>
      <x:c r="T84" s="82" t="str">
        <x:v>Lançado</x:v>
      </x:c>
      <x:c r="U84" s="82" t="str">
        <x:v>Base code(s): T43, T45, T46, T47, T49A, T50A</x:v>
      </x:c>
      <x:c r="V84" s="80" t="str">
        <x:v>Coleção principal (~1:64)</x:v>
      </x:c>
      <x:c r="W84" s="82" t="str">
        <x:v>https://hotwheels.fandom.com/wiki/Porsche_935_(2021)</x:v>
      </x:c>
      <x:c r="X84" s="82" t="str">
        <x:v>https://hotwheels.fandom.com/wiki/Porsche_935_(2021)</x:v>
      </x:c>
    </x:row>
    <x:row r="85">
      <x:c r="A85" s="80" t="str">
        <x:v>Não</x:v>
      </x:c>
      <x:c r="B85" s="80" t="str">
        <x:v>1 — Comprar agora</x:v>
      </x:c>
      <x:c r="C85" s="81" t="n">
        <x:v>2025</x:v>
      </x:c>
      <x:c r="D85" s="80" t="str">
        <x:v>Porsche 935 (2022)</x:v>
      </x:c>
      <x:c r="E85" s="80" t="str">
        <x:v>Porsche 935</x:v>
      </x:c>
      <x:c r="F85" s="82" t="str">
        <x:v>Legends Tour Special Edition</x:v>
      </x:c>
      <x:c r="G85" s="80" t="str"/>
      <x:c r="H85" s="80" t="str"/>
      <x:c r="I85" s="83" t="str">
        <x:v>JCB37</x:v>
      </x:c>
      <x:c r="J85" s="80" t="str">
        <x:v>Spectraflame pink</x:v>
      </x:c>
      <x:c r="K85" s="82" t="str">
        <x:v>Detailed headlights, black and gold striping on sides and hood, Hot Wheels Legends Tour logo on doors, Porsche logo on hood</x:v>
      </x:c>
      <x:c r="L85" s="82" t="str">
        <x:v>Gold chrome and white RRA</x:v>
      </x:c>
      <x:c r="M85" s="82" t="str">
        <x:v>Black / / / Plastic</x:v>
      </x:c>
      <x:c r="N85" s="82" t="str">
        <x:v>Smoke tint</x:v>
      </x:c>
      <x:c r="O85" s="82" t="str">
        <x:v>Black</x:v>
      </x:c>
      <x:c r="P85" s="82" t="str">
        <x:v>Malaysia</x:v>
      </x:c>
      <x:c r="Q85" s="82" t="str"/>
      <x:c r="R85" s="82" t="str">
        <x:v>Outra linha</x:v>
      </x:c>
      <x:c r="S85" s="82" t="str">
        <x:v>Comum / atual</x:v>
      </x:c>
      <x:c r="T85" s="82" t="str">
        <x:v>Lançado</x:v>
      </x:c>
      <x:c r="U85" s="82" t="str">
        <x:v>Base code(s): T45</x:v>
      </x:c>
      <x:c r="V85" s="80" t="str">
        <x:v>Coleção principal (~1:64)</x:v>
      </x:c>
      <x:c r="W85" s="82" t="str">
        <x:v>https://hotwheels.fandom.com/wiki/Porsche_935_(2022)</x:v>
      </x:c>
      <x:c r="X85" s="82" t="str">
        <x:v>https://hotwheels.fandom.com/wiki/Porsche_935_(2022)</x:v>
      </x:c>
    </x:row>
    <x:row r="86">
      <x:c r="A86" s="80" t="str">
        <x:v>Não</x:v>
      </x:c>
      <x:c r="B86" s="80" t="str">
        <x:v>1 — Comprar agora</x:v>
      </x:c>
      <x:c r="C86" s="81" t="n">
        <x:v>2025</x:v>
      </x:c>
      <x:c r="D86" s="80" t="str">
        <x:v>Porsche 962</x:v>
      </x:c>
      <x:c r="E86" s="80" t="str">
        <x:v>Porsche 962</x:v>
      </x:c>
      <x:c r="F86" s="82" t="str">
        <x:v>ADVAN Collector Set</x:v>
      </x:c>
      <x:c r="G86" s="80" t="str"/>
      <x:c r="H86" s="80" t="str"/>
      <x:c r="I86" s="83" t="str">
        <x:v>JBM06</x:v>
      </x:c>
      <x:c r="J86" s="80" t="str">
        <x:v>Black</x:v>
      </x:c>
      <x:c r="K86" s="82" t="str">
        <x:v>Advan livery, "25"</x:v>
      </x:c>
      <x:c r="L86" s="82" t="str">
        <x:v>White &amp; Black RRA</x:v>
      </x:c>
      <x:c r="M86" s="82" t="str">
        <x:v>Black / / / Metal</x:v>
      </x:c>
      <x:c r="N86" s="82" t="str">
        <x:v>Clear</x:v>
      </x:c>
      <x:c r="O86" s="82" t="str">
        <x:v>Black</x:v>
      </x:c>
      <x:c r="P86" s="82" t="str">
        <x:v>Thailand</x:v>
      </x:c>
      <x:c r="Q86" s="82" t="str"/>
      <x:c r="R86" s="82" t="str">
        <x:v>Temática / multipack</x:v>
      </x:c>
      <x:c r="S86" s="82" t="str">
        <x:v>Comum / atual</x:v>
      </x:c>
      <x:c r="T86" s="82" t="str">
        <x:v>Lançado</x:v>
      </x:c>
      <x:c r="U86" s="82" t="str">
        <x:v>Similar to FLC29 / Base code(s): T48A, T51, U06A</x:v>
      </x:c>
      <x:c r="V86" s="80" t="str">
        <x:v>Coleção principal (~1:64)</x:v>
      </x:c>
      <x:c r="W86" s="82" t="str">
        <x:v>https://hotwheels.fandom.com/wiki/Porsche_962</x:v>
      </x:c>
      <x:c r="X86" s="82" t="str">
        <x:v>https://hotwheels.fandom.com/wiki/Porsche_962</x:v>
      </x:c>
    </x:row>
    <x:row r="87">
      <x:c r="A87" s="80" t="str">
        <x:v>Não</x:v>
      </x:c>
      <x:c r="B87" s="80" t="str">
        <x:v>1 — Comprar agora</x:v>
      </x:c>
      <x:c r="C87" s="81" t="n">
        <x:v>2025</x:v>
      </x:c>
      <x:c r="D87" s="80" t="str">
        <x:v>Porsche 963</x:v>
      </x:c>
      <x:c r="E87" s="80" t="str">
        <x:v>Porsche 963</x:v>
      </x:c>
      <x:c r="F87" s="82" t="str">
        <x:v>Elite 64 / #17</x:v>
      </x:c>
      <x:c r="G87" s="80" t="str"/>
      <x:c r="H87" s="80" t="str"/>
      <x:c r="I87" s="83" t="str">
        <x:v>JCP46</x:v>
      </x:c>
      <x:c r="J87" s="80" t="str">
        <x:v>White</x:v>
      </x:c>
      <x:c r="K87" s="82" t="str">
        <x:v>Porsche Penske Motorsport livery</x:v>
      </x:c>
      <x:c r="L87" s="82" t="str">
        <x:v>RR</x:v>
      </x:c>
      <x:c r="M87" s="82" t="str">
        <x:v>Black / / / Metal</x:v>
      </x:c>
      <x:c r="N87" s="82" t="str">
        <x:v>Clear</x:v>
      </x:c>
      <x:c r="O87" s="82" t="str">
        <x:v>Black</x:v>
      </x:c>
      <x:c r="P87" s="82" t="str">
        <x:v>China</x:v>
      </x:c>
      <x:c r="Q87" s="82" t="str"/>
      <x:c r="R87" s="82" t="str">
        <x:v>Elite 64</x:v>
      </x:c>
      <x:c r="S87" s="82" t="str">
        <x:v>Incomum</x:v>
      </x:c>
      <x:c r="T87" s="82" t="str">
        <x:v>Lançado</x:v>
      </x:c>
      <x:c r="U87" s="82" t="str">
        <x:v>Production code(s): 1865YY</x:v>
      </x:c>
      <x:c r="V87" s="80" t="str">
        <x:v>Coleção principal (~1:64)</x:v>
      </x:c>
      <x:c r="W87" s="82" t="str">
        <x:v>https://hotwheels.fandom.com/wiki/Porsche_963</x:v>
      </x:c>
      <x:c r="X87" s="82" t="str">
        <x:v>https://hotwheels.fandom.com/wiki/Porsche_963</x:v>
      </x:c>
    </x:row>
    <x:row r="88">
      <x:c r="A88" s="80" t="str">
        <x:v>Não</x:v>
      </x:c>
      <x:c r="B88" s="80" t="str">
        <x:v>1 — Comprar agora</x:v>
      </x:c>
      <x:c r="C88" s="81" t="n">
        <x:v>2025</x:v>
      </x:c>
      <x:c r="D88" s="80" t="str">
        <x:v>Porsche 993 GT2</x:v>
      </x:c>
      <x:c r="E88" s="80" t="str">
        <x:v>Porsche 993 GT2</x:v>
      </x:c>
      <x:c r="F88" s="82" t="str">
        <x:v>Neon Speeders / 8/8</x:v>
      </x:c>
      <x:c r="G88" s="80" t="str"/>
      <x:c r="H88" s="80" t="str"/>
      <x:c r="I88" s="83" t="str">
        <x:v>JBY99</x:v>
      </x:c>
      <x:c r="J88" s="80" t="str">
        <x:v>Gloss Black</x:v>
      </x:c>
      <x:c r="K88" s="82" t="str">
        <x:v>Detailed taillights, orange accent striping, "9" on front fender, horse logo on sides, Hot Wheels, Sparco, Bilstein logos on rear fender</x:v>
      </x:c>
      <x:c r="L88" s="82" t="str">
        <x:v>Chrome Orange NS6</x:v>
      </x:c>
      <x:c r="M88" s="82" t="str">
        <x:v>ZAMAC</x:v>
      </x:c>
      <x:c r="N88" s="82" t="str">
        <x:v>Smoke tint</x:v>
      </x:c>
      <x:c r="O88" s="82" t="str">
        <x:v>Beige</x:v>
      </x:c>
      <x:c r="P88" s="82" t="str">
        <x:v>Thailand</x:v>
      </x:c>
      <x:c r="Q88" s="82" t="str"/>
      <x:c r="R88" s="82" t="str">
        <x:v>Outra linha</x:v>
      </x:c>
      <x:c r="S88" s="82" t="str">
        <x:v>Comum / atual</x:v>
      </x:c>
      <x:c r="T88" s="82" t="str">
        <x:v>Lançado</x:v>
      </x:c>
      <x:c r="U88" s="82" t="str">
        <x:v>Base code(s): T37, T44, T47A</x:v>
      </x:c>
      <x:c r="V88" s="80" t="str">
        <x:v>Coleção principal (~1:64)</x:v>
      </x:c>
      <x:c r="W88" s="82" t="str">
        <x:v>https://hotwheels.fandom.com/wiki/Porsche_993_GT2</x:v>
      </x:c>
      <x:c r="X88" s="82" t="str">
        <x:v>https://hotwheels.fandom.com/wiki/Porsche_993_GT2</x:v>
      </x:c>
    </x:row>
    <x:row r="89">
      <x:c r="A89" s="80" t="str">
        <x:v>Não</x:v>
      </x:c>
      <x:c r="B89" s="80" t="str">
        <x:v>1 — Comprar agora</x:v>
      </x:c>
      <x:c r="C89" s="81" t="n">
        <x:v>2025</x:v>
      </x:c>
      <x:c r="D89" s="80" t="str">
        <x:v>Porsche Carrera GT</x:v>
      </x:c>
      <x:c r="E89" s="80" t="str">
        <x:v>Porsche Carrera GT</x:v>
      </x:c>
      <x:c r="F89" s="82" t="str">
        <x:v>Car Culture: Timeless Icons / 3/5</x:v>
      </x:c>
      <x:c r="G89" s="80" t="str"/>
      <x:c r="H89" s="80" t="str"/>
      <x:c r="I89" s="83" t="str">
        <x:v>JBK91</x:v>
      </x:c>
      <x:c r="J89" s="80" t="str">
        <x:v>Fayence Yellow</x:v>
      </x:c>
      <x:c r="K89" s="82" t="str">
        <x:v>Detailed Headlights, Tailights, rear window and Trim, Porsche Logo, Carrera GT on rear</x:v>
      </x:c>
      <x:c r="L89" s="82" t="str">
        <x:v>Gray RR5SPM</x:v>
      </x:c>
      <x:c r="M89" s="82" t="str">
        <x:v>Black / / / Metal</x:v>
      </x:c>
      <x:c r="N89" s="82" t="str">
        <x:v>Smoke tint</x:v>
      </x:c>
      <x:c r="O89" s="82" t="str">
        <x:v>Black</x:v>
      </x:c>
      <x:c r="P89" s="82" t="str">
        <x:v>Thailand</x:v>
      </x:c>
      <x:c r="Q89" s="82" t="str"/>
      <x:c r="R89" s="82" t="str">
        <x:v>Premium</x:v>
      </x:c>
      <x:c r="S89" s="82" t="str">
        <x:v>Incomum</x:v>
      </x:c>
      <x:c r="T89" s="82" t="str">
        <x:v>Lançado</x:v>
      </x:c>
      <x:c r="U89" s="82" t="str">
        <x:v>New Die-Cast Chassis / Base code(s): U34A, U35A, U36A</x:v>
      </x:c>
      <x:c r="V89" s="80" t="str">
        <x:v>Coleção principal (~1:64)</x:v>
      </x:c>
      <x:c r="W89" s="82" t="str">
        <x:v>https://hotwheels.fandom.com/wiki/Porsche_Carrera_GT</x:v>
      </x:c>
      <x:c r="X89" s="82" t="str">
        <x:v>https://hotwheels.fandom.com/wiki/Porsche_Carrera_GT</x:v>
      </x:c>
    </x:row>
    <x:row r="90">
      <x:c r="A90" s="80" t="str">
        <x:v>Não</x:v>
      </x:c>
      <x:c r="B90" s="80" t="str">
        <x:v>1 — Comprar agora</x:v>
      </x:c>
      <x:c r="C90" s="81" t="n">
        <x:v>2025</x:v>
      </x:c>
      <x:c r="D90" s="80" t="str">
        <x:v>Porsche Cayman S</x:v>
      </x:c>
      <x:c r="E90" s="80" t="str">
        <x:v>Porsche Cayman S</x:v>
      </x:c>
      <x:c r="F90" s="82" t="str">
        <x:v>Purple and Gold 5/6</x:v>
      </x:c>
      <x:c r="G90" s="80" t="str"/>
      <x:c r="H90" s="80" t="str"/>
      <x:c r="I90" s="83" t="str">
        <x:v>JDM30</x:v>
      </x:c>
      <x:c r="J90" s="80" t="str">
        <x:v>Metalflake plum</x:v>
      </x:c>
      <x:c r="K90" s="82" t="str">
        <x:v>Hot Wheels logo, "57", gold &amp; purple stripes on sides, Porsche logo on hood</x:v>
      </x:c>
      <x:c r="L90" s="82" t="str">
        <x:v>CGPR5</x:v>
      </x:c>
      <x:c r="M90" s="82" t="str">
        <x:v>Gold chrome / Plastic</x:v>
      </x:c>
      <x:c r="N90" s="82" t="str">
        <x:v>Clear</x:v>
      </x:c>
      <x:c r="O90" s="82" t="str">
        <x:v>Black</x:v>
      </x:c>
      <x:c r="P90" s="82" t="str">
        <x:v>Malaysia</x:v>
      </x:c>
      <x:c r="Q90" s="82" t="str"/>
      <x:c r="R90" s="82" t="str">
        <x:v>Outra linha</x:v>
      </x:c>
      <x:c r="S90" s="82" t="str">
        <x:v>Comum / atual</x:v>
      </x:c>
      <x:c r="T90" s="82" t="str">
        <x:v>Lançado</x:v>
      </x:c>
      <x:c r="U90" s="82" t="str">
        <x:v>Base code(s): U05N, U24N,</x:v>
      </x:c>
      <x:c r="V90" s="80" t="str">
        <x:v>Coleção principal (~1:64)</x:v>
      </x:c>
      <x:c r="W90" s="82" t="str">
        <x:v>https://hotwheels.fandom.com/wiki/Porsche_Cayman_S</x:v>
      </x:c>
      <x:c r="X90" s="82" t="str">
        <x:v>https://hotwheels.fandom.com/wiki/Porsche_Cayman_S</x:v>
      </x:c>
    </x:row>
    <x:row r="91">
      <x:c r="A91" s="80" t="str">
        <x:v>Não</x:v>
      </x:c>
      <x:c r="B91" s="80" t="str">
        <x:v>1 — Comprar agora</x:v>
      </x:c>
      <x:c r="C91" s="81" t="n">
        <x:v>2025</x:v>
      </x:c>
      <x:c r="D91" s="80" t="str">
        <x:v>Porsche Panamera Turbo S E-Hybrid Sport Turismo</x:v>
      </x:c>
      <x:c r="E91" s="80" t="str">
        <x:v>Porsche Panamera Turbo S E-Hybrid Sport Turismo</x:v>
      </x:c>
      <x:c r="F91" s="82" t="str">
        <x:v>Hybrid Speed / 4/5</x:v>
      </x:c>
      <x:c r="G91" s="80" t="str"/>
      <x:c r="H91" s="80" t="str"/>
      <x:c r="I91" s="83" t="str">
        <x:v>JCB79</x:v>
      </x:c>
      <x:c r="J91" s="80" t="str">
        <x:v>Metalflake Blue</x:v>
      </x:c>
      <x:c r="K91" s="82" t="str">
        <x:v>Detailed headlights, taillights and trim, black roof, "e-hybrid" on sides, "PORSCHE" on rear, Hot Wheels logo on front &amp; rear license plates</x:v>
      </x:c>
      <x:c r="L91" s="82" t="str">
        <x:v>MM5</x:v>
      </x:c>
      <x:c r="M91" s="82" t="str">
        <x:v>Black / / / Plastic</x:v>
      </x:c>
      <x:c r="N91" s="82" t="str">
        <x:v>Smoke tint</x:v>
      </x:c>
      <x:c r="O91" s="82" t="str">
        <x:v>Dark Gray</x:v>
      </x:c>
      <x:c r="P91" s="82" t="str">
        <x:v>Malaysia</x:v>
      </x:c>
      <x:c r="Q91" s="82" t="str"/>
      <x:c r="R91" s="82" t="str">
        <x:v>Outra linha</x:v>
      </x:c>
      <x:c r="S91" s="82" t="str">
        <x:v>Comum / atual</x:v>
      </x:c>
      <x:c r="T91" s="82" t="str">
        <x:v>Lançado</x:v>
      </x:c>
      <x:c r="U91" s="82" t="str">
        <x:v>Base code(s): U21N, U23N</x:v>
      </x:c>
      <x:c r="V91" s="80" t="str">
        <x:v>Coleção principal (~1:64)</x:v>
      </x:c>
      <x:c r="W91" s="82" t="str">
        <x:v>https://hotwheels.fandom.com/wiki/Porsche_Panamera_Turbo_S_E-Hybrid_Sport_Turismo</x:v>
      </x:c>
      <x:c r="X91" s="82" t="str">
        <x:v>https://hotwheels.fandom.com/wiki/Porsche_Panamera_Turbo_S_E-Hybrid_Sport_Turismo</x:v>
      </x:c>
    </x:row>
    <x:row r="92">
      <x:c r="A92" s="80" t="str">
        <x:v>Não</x:v>
      </x:c>
      <x:c r="B92" s="80" t="str">
        <x:v>1 — Comprar agora</x:v>
      </x:c>
      <x:c r="C92" s="81" t="n">
        <x:v>2025</x:v>
      </x:c>
      <x:c r="D92" s="80" t="str">
        <x:v>RWB Porsche 930</x:v>
      </x:c>
      <x:c r="E92" s="80" t="str">
        <x:v>RWB Porsche 930</x:v>
      </x:c>
      <x:c r="F92" s="82" t="str">
        <x:v>Car Culture: Silhouettes / 5/5</x:v>
      </x:c>
      <x:c r="G92" s="80" t="str"/>
      <x:c r="H92" s="80" t="str"/>
      <x:c r="I92" s="83" t="str">
        <x:v>JBK58</x:v>
      </x:c>
      <x:c r="J92" s="80" t="str">
        <x:v>White</x:v>
      </x:c>
      <x:c r="K92" s="82" t="str">
        <x:v>Detailed headlights and taillights, "1048 Style", " Kamiwaza Japan " on sides, "RAUH-Welt" windshield banner</x:v>
      </x:c>
      <x:c r="L92" s="82" t="str">
        <x:v>Chrome &amp; Copper RR6SPM</x:v>
      </x:c>
      <x:c r="M92" s="82" t="str">
        <x:v>Black / / / Metal</x:v>
      </x:c>
      <x:c r="N92" s="82" t="str">
        <x:v>Clear</x:v>
      </x:c>
      <x:c r="O92" s="82" t="str">
        <x:v>Black</x:v>
      </x:c>
      <x:c r="P92" s="82" t="str">
        <x:v>Thailand</x:v>
      </x:c>
      <x:c r="Q92" s="82" t="str"/>
      <x:c r="R92" s="82" t="str">
        <x:v>Premium</x:v>
      </x:c>
      <x:c r="S92" s="82" t="str">
        <x:v>Incomum</x:v>
      </x:c>
      <x:c r="T92" s="82" t="str">
        <x:v>Lançado</x:v>
      </x:c>
      <x:c r="U92" s="82" t="str">
        <x:v>Base code(s): T48, T52A, U02A</x:v>
      </x:c>
      <x:c r="V92" s="80" t="str">
        <x:v>Coleção principal (~1:64)</x:v>
      </x:c>
      <x:c r="W92" s="82" t="str">
        <x:v>https://hotwheels.fandom.com/wiki/RWB_Porsche_930</x:v>
      </x:c>
      <x:c r="X92" s="82" t="str">
        <x:v>https://hotwheels.fandom.com/wiki/RWB_Porsche_930</x:v>
      </x:c>
    </x:row>
    <x:row r="93">
      <x:c r="A93" s="80" t="str">
        <x:v>Não</x:v>
      </x:c>
      <x:c r="B93" s="80" t="str">
        <x:v>1 — Comprar agora</x:v>
      </x:c>
      <x:c r="C93" s="81" t="n">
        <x:v>2024</x:v>
      </x:c>
      <x:c r="D93" s="80" t="str">
        <x:v>'66 Porsche 906 Carrera 6</x:v>
      </x:c>
      <x:c r="E93" s="80" t="str">
        <x:v>'66 Porsche 906 Carrera 6</x:v>
      </x:c>
      <x:c r="F93" s="82" t="str">
        <x:v>Car Culture: Team Transport / #66</x:v>
      </x:c>
      <x:c r="G93" s="80" t="str"/>
      <x:c r="H93" s="80" t="str"/>
      <x:c r="I93" s="83" t="str">
        <x:v>HRV47</x:v>
      </x:c>
      <x:c r="J93" s="80" t="str">
        <x:v>White</x:v>
      </x:c>
      <x:c r="K93" s="82" t="str">
        <x:v>Detailed headlights and taillights, Finnish flag, Shell logos, "S", "82", "Carrera 6" on sides, red hood, "82" on hood</x:v>
      </x:c>
      <x:c r="L93" s="82" t="str">
        <x:v>Gray SRR</x:v>
      </x:c>
      <x:c r="M93" s="82" t="str">
        <x:v>Metalflake gray / / / Metal</x:v>
      </x:c>
      <x:c r="N93" s="82" t="str">
        <x:v>Clear</x:v>
      </x:c>
      <x:c r="O93" s="82" t="str">
        <x:v>Black</x:v>
      </x:c>
      <x:c r="P93" s="82" t="str">
        <x:v>Thailand</x:v>
      </x:c>
      <x:c r="Q93" s="82" t="str"/>
      <x:c r="R93" s="82" t="str">
        <x:v>Premium</x:v>
      </x:c>
      <x:c r="S93" s="82" t="str">
        <x:v>Incomum</x:v>
      </x:c>
      <x:c r="T93" s="82" t="str">
        <x:v>Lançado</x:v>
      </x:c>
      <x:c r="U93" s="82" t="str">
        <x:v>Base code(s): T15, T16</x:v>
      </x:c>
      <x:c r="V93" s="80" t="str">
        <x:v>Coleção principal (~1:64)</x:v>
      </x:c>
      <x:c r="W93" s="82" t="str">
        <x:v>https://hotwheels.fandom.com/wiki/%2766_Porsche_906_Carrera_6</x:v>
      </x:c>
      <x:c r="X93" s="82" t="str">
        <x:v>https://hotwheels.fandom.com/wiki/%2766_Porsche_906_Carrera_6</x:v>
      </x:c>
    </x:row>
    <x:row r="94">
      <x:c r="A94" s="80" t="str">
        <x:v>Não</x:v>
      </x:c>
      <x:c r="B94" s="80" t="str">
        <x:v>1 — Comprar agora</x:v>
      </x:c>
      <x:c r="C94" s="81" t="n">
        <x:v>2024</x:v>
      </x:c>
      <x:c r="D94" s="80" t="str">
        <x:v>'67 Porsche 911 R</x:v>
      </x:c>
      <x:c r="E94" s="80" t="str">
        <x:v>'67 Porsche 911 R</x:v>
      </x:c>
      <x:c r="F94" s="82" t="str">
        <x:v>German Racers Collector Set</x:v>
      </x:c>
      <x:c r="G94" s="80" t="str"/>
      <x:c r="H94" s="80" t="str"/>
      <x:c r="I94" s="83" t="str">
        <x:v>HRT54</x:v>
      </x:c>
      <x:c r="J94" s="80" t="str">
        <x:v>Yellow</x:v>
      </x:c>
      <x:c r="K94" s="82" t="str">
        <x:v>Detailed headlights, taillights, indicators and trim, black arrows down hood, "67" on hood and sides, Porsche and "911R" wordmarks on rear</x:v>
      </x:c>
      <x:c r="L94" s="82" t="str">
        <x:v>Gray RRLW5</x:v>
      </x:c>
      <x:c r="M94" s="82" t="str">
        <x:v>Metalflake black / / / Metal</x:v>
      </x:c>
      <x:c r="N94" s="82" t="str">
        <x:v>Smoke tint</x:v>
      </x:c>
      <x:c r="O94" s="82" t="str">
        <x:v>Black</x:v>
      </x:c>
      <x:c r="P94" s="82" t="str">
        <x:v>Thailand</x:v>
      </x:c>
      <x:c r="Q94" s="82" t="str"/>
      <x:c r="R94" s="82" t="str">
        <x:v>Temática / multipack</x:v>
      </x:c>
      <x:c r="S94" s="82" t="str">
        <x:v>Comum / atual</x:v>
      </x:c>
      <x:c r="T94" s="82" t="str">
        <x:v>Lançado</x:v>
      </x:c>
      <x:c r="U94" s="82" t="str">
        <x:v>Named 1967 Porsche 911 R / Base code(s): T03, T04, T05, T06</x:v>
      </x:c>
      <x:c r="V94" s="80" t="str">
        <x:v>Coleção principal (~1:64)</x:v>
      </x:c>
      <x:c r="W94" s="82" t="str">
        <x:v>https://hotwheels.fandom.com/wiki/%2767_Porsche_911_R</x:v>
      </x:c>
      <x:c r="X94" s="82" t="str">
        <x:v>https://hotwheels.fandom.com/wiki/%2767_Porsche_911_R</x:v>
      </x:c>
    </x:row>
    <x:row r="95">
      <x:c r="A95" s="80" t="str">
        <x:v>Não</x:v>
      </x:c>
      <x:c r="B95" s="80" t="str">
        <x:v>1 — Comprar agora</x:v>
      </x:c>
      <x:c r="C95" s="81" t="n">
        <x:v>2024</x:v>
      </x:c>
      <x:c r="D95" s="80" t="str">
        <x:v>'71 Porsche 911</x:v>
      </x:c>
      <x:c r="E95" s="80" t="str">
        <x:v>'71 Porsche 911</x:v>
      </x:c>
      <x:c r="F95" s="82" t="str">
        <x:v>Car Culture: Exotic Envy / 1/5</x:v>
      </x:c>
      <x:c r="G95" s="80" t="str"/>
      <x:c r="H95" s="80" t="str"/>
      <x:c r="I95" s="83" t="str">
        <x:v>HKC80</x:v>
      </x:c>
      <x:c r="J95" s="80" t="str">
        <x:v>Yellow</x:v>
      </x:c>
      <x:c r="K95" s="82" t="str">
        <x:v>Detailed headlights and taillights, "71" in white number plate on sides and hood, Goodyear, Bell, Bilstein &amp; Castrol logos, red and black stripes on sides, red and black stripes with white highlights lengthwise from hood to rear, Porsche windshield banner</x:v>
      </x:c>
      <x:c r="L95" s="82" t="str">
        <x:v>Chrome rim, Red RRLW5</x:v>
      </x:c>
      <x:c r="M95" s="82" t="str">
        <x:v>Black / / / Metal</x:v>
      </x:c>
      <x:c r="N95" s="82" t="str">
        <x:v>Smoke tint</x:v>
      </x:c>
      <x:c r="O95" s="82" t="str">
        <x:v>Black</x:v>
      </x:c>
      <x:c r="P95" s="82" t="str">
        <x:v>Thailand</x:v>
      </x:c>
      <x:c r="Q95" s="82" t="str"/>
      <x:c r="R95" s="82" t="str">
        <x:v>Premium</x:v>
      </x:c>
      <x:c r="S95" s="82" t="str">
        <x:v>Incomum</x:v>
      </x:c>
      <x:c r="T95" s="82" t="str">
        <x:v>Lançado</x:v>
      </x:c>
      <x:c r="U95" s="82" t="str">
        <x:v>Base code(s): T01, T03</x:v>
      </x:c>
      <x:c r="V95" s="80" t="str">
        <x:v>Coleção principal (~1:64)</x:v>
      </x:c>
      <x:c r="W95" s="82" t="str">
        <x:v>https://hotwheels.fandom.com/wiki/%2771_Porsche_911</x:v>
      </x:c>
      <x:c r="X95" s="82" t="str">
        <x:v>https://hotwheels.fandom.com/wiki/%2771_Porsche_911</x:v>
      </x:c>
    </x:row>
    <x:row r="96">
      <x:c r="A96" s="80" t="str">
        <x:v>Não</x:v>
      </x:c>
      <x:c r="B96" s="80" t="str">
        <x:v>1 — Comprar agora</x:v>
      </x:c>
      <x:c r="C96" s="81" t="n">
        <x:v>2024</x:v>
      </x:c>
      <x:c r="D96" s="80" t="str">
        <x:v>'71 Porsche 911</x:v>
      </x:c>
      <x:c r="E96" s="80" t="str">
        <x:v>'71 Porsche 911</x:v>
      </x:c>
      <x:c r="F96" s="82" t="str">
        <x:v>Multipack Exclusive</x:v>
      </x:c>
      <x:c r="G96" s="80" t="str"/>
      <x:c r="H96" s="80" t="str"/>
      <x:c r="I96" s="83" t="str">
        <x:v>X6999</x:v>
      </x:c>
      <x:c r="J96" s="80" t="str">
        <x:v>Black</x:v>
      </x:c>
      <x:c r="K96" s="82" t="str">
        <x:v>"71"inside white roundel, copper lines on hood &amp; doors, white sponsors &amp; copper PORSCHE on doors</x:v>
      </x:c>
      <x:c r="L96" s="82" t="str">
        <x:v>Gold Rim RSW</x:v>
      </x:c>
      <x:c r="M96" s="82" t="str">
        <x:v>Black / / / Plastic</x:v>
      </x:c>
      <x:c r="N96" s="82" t="str">
        <x:v>Smoke tint</x:v>
      </x:c>
      <x:c r="O96" s="82" t="str">
        <x:v>Black</x:v>
      </x:c>
      <x:c r="P96" s="82" t="str">
        <x:v>Malaysia</x:v>
      </x:c>
      <x:c r="Q96" s="82" t="str"/>
      <x:c r="R96" s="82" t="str">
        <x:v>Temática / multipack</x:v>
      </x:c>
      <x:c r="S96" s="82" t="str">
        <x:v>Comum / atual</x:v>
      </x:c>
      <x:c r="T96" s="82" t="str">
        <x:v>Lançado</x:v>
      </x:c>
      <x:c r="U96" s="82" t="str">
        <x:v>Base code(s): S39, S49, T40</x:v>
      </x:c>
      <x:c r="V96" s="80" t="str">
        <x:v>Coleção principal (~1:64)</x:v>
      </x:c>
      <x:c r="W96" s="82" t="str">
        <x:v>https://hotwheels.fandom.com/wiki/%2771_Porsche_911</x:v>
      </x:c>
      <x:c r="X96" s="82" t="str">
        <x:v>https://hotwheels.fandom.com/wiki/%2771_Porsche_911</x:v>
      </x:c>
    </x:row>
    <x:row r="97">
      <x:c r="A97" s="80" t="str">
        <x:v>Não</x:v>
      </x:c>
      <x:c r="B97" s="80" t="str">
        <x:v>1 — Comprar agora</x:v>
      </x:c>
      <x:c r="C97" s="81" t="n">
        <x:v>2024</x:v>
      </x:c>
      <x:c r="D97" s="80" t="str">
        <x:v>'71 Porsche 911</x:v>
      </x:c>
      <x:c r="E97" s="80" t="str">
        <x:v>'71 Porsche 911</x:v>
      </x:c>
      <x:c r="F97" s="82" t="str">
        <x:v>Porsche / 2/6</x:v>
      </x:c>
      <x:c r="G97" s="80" t="str"/>
      <x:c r="H97" s="80" t="str"/>
      <x:c r="I97" s="83" t="str">
        <x:v>HRW57</x:v>
      </x:c>
      <x:c r="J97" s="80" t="str">
        <x:v>Orange Metalflake</x:v>
      </x:c>
      <x:c r="K97" s="82" t="str">
        <x:v>Detailed headlights and taillights, "PORSCHE" on sides, black stripe on hood and sides; HW71911 Euro plates; PORSCHE on rear</x:v>
      </x:c>
      <x:c r="L97" s="82" t="str">
        <x:v>C5</x:v>
      </x:c>
      <x:c r="M97" s="82" t="str">
        <x:v>Orange Metalflake / / / Metal</x:v>
      </x:c>
      <x:c r="N97" s="82" t="str">
        <x:v>Light smoke tint</x:v>
      </x:c>
      <x:c r="O97" s="82" t="str">
        <x:v>Black</x:v>
      </x:c>
      <x:c r="P97" s="82" t="str">
        <x:v>Thailand</x:v>
      </x:c>
      <x:c r="Q97" s="82" t="str"/>
      <x:c r="R97" s="82" t="str">
        <x:v>Outra linha</x:v>
      </x:c>
      <x:c r="S97" s="82" t="str">
        <x:v>Comum / atual</x:v>
      </x:c>
      <x:c r="T97" s="82" t="str">
        <x:v>Lançado</x:v>
      </x:c>
      <x:c r="U97" s="82" t="str">
        <x:v>Base code(s): S40, S41, S47, S49, T34</x:v>
      </x:c>
      <x:c r="V97" s="80" t="str">
        <x:v>Coleção principal (~1:64)</x:v>
      </x:c>
      <x:c r="W97" s="82" t="str">
        <x:v>https://hotwheels.fandom.com/wiki/%2771_Porsche_911</x:v>
      </x:c>
      <x:c r="X97" s="82" t="str">
        <x:v>https://hotwheels.fandom.com/wiki/%2771_Porsche_911</x:v>
      </x:c>
    </x:row>
    <x:row r="98">
      <x:c r="A98" s="80" t="str">
        <x:v>Não</x:v>
      </x:c>
      <x:c r="B98" s="80" t="str">
        <x:v>1 — Comprar agora</x:v>
      </x:c>
      <x:c r="C98" s="81" t="n">
        <x:v>2024</x:v>
      </x:c>
      <x:c r="D98" s="80" t="str">
        <x:v>'71 Porsche 911</x:v>
      </x:c>
      <x:c r="E98" s="80" t="str">
        <x:v>'71 Porsche 911</x:v>
      </x:c>
      <x:c r="F98" s="82" t="str">
        <x:v>Vintage Racing Club / 5/6</x:v>
      </x:c>
      <x:c r="G98" s="80" t="str"/>
      <x:c r="H98" s="80" t="str"/>
      <x:c r="I98" s="83" t="str">
        <x:v>HRV04</x:v>
      </x:c>
      <x:c r="J98" s="80" t="str">
        <x:v>Green</x:v>
      </x:c>
      <x:c r="K98" s="82" t="str">
        <x:v>Detailed headlights and taillights, various sponsors, "71" on sides</x:v>
      </x:c>
      <x:c r="L98" s="82" t="str">
        <x:v>C5</x:v>
      </x:c>
      <x:c r="M98" s="82" t="str">
        <x:v>White / / / Plastic</x:v>
      </x:c>
      <x:c r="N98" s="82" t="str">
        <x:v>Smoke tint</x:v>
      </x:c>
      <x:c r="O98" s="82" t="str">
        <x:v>Black</x:v>
      </x:c>
      <x:c r="P98" s="82" t="str">
        <x:v>Thailand</x:v>
      </x:c>
      <x:c r="Q98" s="82" t="str"/>
      <x:c r="R98" s="82" t="str">
        <x:v>Outra linha</x:v>
      </x:c>
      <x:c r="S98" s="82" t="str">
        <x:v>Comum / atual</x:v>
      </x:c>
      <x:c r="T98" s="82" t="str">
        <x:v>Lançado</x:v>
      </x:c>
      <x:c r="U98" s="82" t="str">
        <x:v>Base code(s): S41. S42, S45, S47</x:v>
      </x:c>
      <x:c r="V98" s="80" t="str">
        <x:v>Coleção principal (~1:64)</x:v>
      </x:c>
      <x:c r="W98" s="82" t="str">
        <x:v>https://hotwheels.fandom.com/wiki/%2771_Porsche_911</x:v>
      </x:c>
      <x:c r="X98" s="82" t="str">
        <x:v>https://hotwheels.fandom.com/wiki/%2771_Porsche_911</x:v>
      </x:c>
    </x:row>
    <x:row r="99">
      <x:c r="A99" s="80" t="str">
        <x:v>Não</x:v>
      </x:c>
      <x:c r="B99" s="80" t="str">
        <x:v>1 — Comprar agora</x:v>
      </x:c>
      <x:c r="C99" s="81" t="n">
        <x:v>2024</x:v>
      </x:c>
      <x:c r="D99" s="80" t="str">
        <x:v>'78 Porsche 935-78</x:v>
      </x:c>
      <x:c r="E99" s="80" t="str">
        <x:v>'78 Porsche 935-78</x:v>
      </x:c>
      <x:c r="F99" s="82" t="str">
        <x:v>NFT Garage (Series 6) / #58</x:v>
      </x:c>
      <x:c r="G99" s="80" t="str"/>
      <x:c r="H99" s="80" t="str"/>
      <x:c r="I99" s="83" t="str">
        <x:v>HWW86</x:v>
      </x:c>
      <x:c r="J99" s="80" t="str">
        <x:v>Spectraflame red</x:v>
      </x:c>
      <x:c r="K99" s="82" t="str">
        <x:v>White stripes on sides, hood, roof, &amp; top of rear panels; "HWNFTG 78" &amp; black stripes on sides &amp; hood; various sponsor logos on sides, hood, &amp; roof; Hot Wheels logo on sides; "HWNFTG" on top of rear panels; "PORSCHE" on hood</x:v>
      </x:c>
      <x:c r="L99" s="82" t="str">
        <x:v>CPRREURO</x:v>
      </x:c>
      <x:c r="M99" s="82" t="str">
        <x:v>Black / / / Metal</x:v>
      </x:c>
      <x:c r="N99" s="82" t="str">
        <x:v>Smoke tint</x:v>
      </x:c>
      <x:c r="O99" s="82" t="str">
        <x:v>Black</x:v>
      </x:c>
      <x:c r="P99" s="82" t="str">
        <x:v>Malaysia</x:v>
      </x:c>
      <x:c r="Q99" s="82" t="str"/>
      <x:c r="R99" s="82" t="str">
        <x:v>Outra linha</x:v>
      </x:c>
      <x:c r="S99" s="82" t="str">
        <x:v>Comum / atual</x:v>
      </x:c>
      <x:c r="T99" s="82" t="str">
        <x:v>Lançado</x:v>
      </x:c>
      <x:c r="U99" s="82" t="str"/>
      <x:c r="V99" s="80" t="str">
        <x:v>Coleção principal (~1:64)</x:v>
      </x:c>
      <x:c r="W99" s="82" t="str">
        <x:v>https://hotwheels.fandom.com/wiki/%2778_Porsche_935-78</x:v>
      </x:c>
      <x:c r="X99" s="82" t="str">
        <x:v>https://hotwheels.fandom.com/wiki/%2778_Porsche_935-78</x:v>
      </x:c>
    </x:row>
    <x:row r="100">
      <x:c r="A100" s="80" t="str">
        <x:v>Não</x:v>
      </x:c>
      <x:c r="B100" s="80" t="str">
        <x:v>1 — Comprar agora</x:v>
      </x:c>
      <x:c r="C100" s="81" t="n">
        <x:v>2024</x:v>
      </x:c>
      <x:c r="D100" s="80" t="str">
        <x:v>'89 Porsche 944 Turbo</x:v>
      </x:c>
      <x:c r="E100" s="80" t="str">
        <x:v>'89 Porsche 944 Turbo</x:v>
      </x:c>
      <x:c r="F100" s="82" t="str">
        <x:v>Mystery Models (Series 3) / 2/10</x:v>
      </x:c>
      <x:c r="G100" s="80" t="str"/>
      <x:c r="H100" s="80" t="str"/>
      <x:c r="I100" s="83" t="str">
        <x:v>HVW94</x:v>
      </x:c>
      <x:c r="J100" s="80" t="str">
        <x:v>Red</x:v>
      </x:c>
      <x:c r="K100" s="82" t="str">
        <x:v>Black, white and light blue striping on hood and sides; "Porsche" on sides; "944" on hood; 2 number plate on hood and sides.</x:v>
      </x:c>
      <x:c r="L100" s="82" t="str">
        <x:v>White AeroDisc</x:v>
      </x:c>
      <x:c r="M100" s="82" t="str">
        <x:v>Black / / / Plastic</x:v>
      </x:c>
      <x:c r="N100" s="82" t="str">
        <x:v>Smoke tint</x:v>
      </x:c>
      <x:c r="O100" s="82" t="str">
        <x:v>Black</x:v>
      </x:c>
      <x:c r="P100" s="82" t="str">
        <x:v>Malaysia</x:v>
      </x:c>
      <x:c r="Q100" s="82" t="str"/>
      <x:c r="R100" s="82" t="str">
        <x:v>Outra linha</x:v>
      </x:c>
      <x:c r="S100" s="82" t="str">
        <x:v>Comum / atual</x:v>
      </x:c>
      <x:c r="T100" s="82" t="str">
        <x:v>Lançado</x:v>
      </x:c>
      <x:c r="U100" s="82" t="str">
        <x:v>Base code(s): T19, T20</x:v>
      </x:c>
      <x:c r="V100" s="80" t="str">
        <x:v>Coleção principal (~1:64)</x:v>
      </x:c>
      <x:c r="W100" s="82" t="str">
        <x:v>https://hotwheels.fandom.com/wiki/%2789_Porsche_944_Turbo</x:v>
      </x:c>
      <x:c r="X100" s="82" t="str">
        <x:v>https://hotwheels.fandom.com/wiki/%2789_Porsche_944_Turbo</x:v>
      </x:c>
    </x:row>
    <x:row r="101">
      <x:c r="A101" s="80" t="str">
        <x:v>Não</x:v>
      </x:c>
      <x:c r="B101" s="80" t="str">
        <x:v>1 — Comprar agora</x:v>
      </x:c>
      <x:c r="C101" s="81" t="n">
        <x:v>2024</x:v>
      </x:c>
      <x:c r="D101" s="80" t="str">
        <x:v>'89 Porsche 944 Turbo</x:v>
      </x:c>
      <x:c r="E101" s="80" t="str">
        <x:v>'89 Porsche 944 Turbo</x:v>
      </x:c>
      <x:c r="F101" s="82" t="str">
        <x:v>Porsche / 3/6</x:v>
      </x:c>
      <x:c r="G101" s="80" t="str"/>
      <x:c r="H101" s="80" t="str"/>
      <x:c r="I101" s="83" t="str">
        <x:v>HRW58</x:v>
      </x:c>
      <x:c r="J101" s="80" t="str">
        <x:v>Black</x:v>
      </x:c>
      <x:c r="K101" s="82" t="str">
        <x:v>Detailed taillights, "PORSCHE" on sides, White stripes on hood</x:v>
      </x:c>
      <x:c r="L101" s="82" t="str">
        <x:v>S5</x:v>
      </x:c>
      <x:c r="M101" s="82" t="str">
        <x:v>Black / / / Plastic</x:v>
      </x:c>
      <x:c r="N101" s="82" t="str">
        <x:v>Smoke tint</x:v>
      </x:c>
      <x:c r="O101" s="82" t="str">
        <x:v>Black / Silver painted stethoscope</x:v>
      </x:c>
      <x:c r="P101" s="82" t="str">
        <x:v>Thailand</x:v>
      </x:c>
      <x:c r="Q101" s="82" t="str"/>
      <x:c r="R101" s="82" t="str">
        <x:v>Outra linha</x:v>
      </x:c>
      <x:c r="S101" s="82" t="str">
        <x:v>Comum / atual</x:v>
      </x:c>
      <x:c r="T101" s="82" t="str">
        <x:v>Lançado</x:v>
      </x:c>
      <x:c r="U101" s="82" t="str">
        <x:v>Base code(s): S40, S41, S44, S51, T34</x:v>
      </x:c>
      <x:c r="V101" s="80" t="str">
        <x:v>Coleção principal (~1:64)</x:v>
      </x:c>
      <x:c r="W101" s="82" t="str">
        <x:v>https://hotwheels.fandom.com/wiki/%2789_Porsche_944_Turbo</x:v>
      </x:c>
      <x:c r="X101" s="82" t="str">
        <x:v>https://hotwheels.fandom.com/wiki/%2789_Porsche_944_Turbo</x:v>
      </x:c>
    </x:row>
    <x:row r="102">
      <x:c r="A102" s="80" t="str">
        <x:v>Não</x:v>
      </x:c>
      <x:c r="B102" s="80" t="str">
        <x:v>1 — Comprar agora</x:v>
      </x:c>
      <x:c r="C102" s="81" t="n">
        <x:v>2024</x:v>
      </x:c>
      <x:c r="D102" s="80" t="str">
        <x:v>'89 Porsche 944 Turbo</x:v>
      </x:c>
      <x:c r="E102" s="80" t="str">
        <x:v>'89 Porsche 944 Turbo</x:v>
      </x:c>
      <x:c r="F102" s="82" t="str">
        <x:v>Virtual Garage (Series 9) / #31</x:v>
      </x:c>
      <x:c r="G102" s="80" t="str"/>
      <x:c r="H102" s="80" t="str"/>
      <x:c r="I102" s="83" t="str">
        <x:v>JDK55</x:v>
      </x:c>
      <x:c r="J102" s="80" t="str">
        <x:v>Spectraflame black</x:v>
      </x:c>
      <x:c r="K102" s="82" t="str">
        <x:v>Hot Wheels logo on sides, white accents on sides and spoiler, "PORSCHE" and "944" on sides and hood, white stripe across hood, gold stripes along top, detailed taillights</x:v>
      </x:c>
      <x:c r="L102" s="82" t="str">
        <x:v>Copper RRE</x:v>
      </x:c>
      <x:c r="M102" s="82" t="str">
        <x:v>Black / / / Metal</x:v>
      </x:c>
      <x:c r="N102" s="82" t="str">
        <x:v>Smoke tint</x:v>
      </x:c>
      <x:c r="O102" s="82" t="str">
        <x:v>Black</x:v>
      </x:c>
      <x:c r="P102" s="82" t="str">
        <x:v>Malaysia</x:v>
      </x:c>
      <x:c r="Q102" s="82" t="str"/>
      <x:c r="R102" s="82" t="str">
        <x:v>Outra linha</x:v>
      </x:c>
      <x:c r="S102" s="82" t="str">
        <x:v>Comum / atual</x:v>
      </x:c>
      <x:c r="T102" s="82" t="str">
        <x:v>Lançado</x:v>
      </x:c>
      <x:c r="U102" s="82" t="str">
        <x:v>4,350 produced / Base code(s): T33, T36</x:v>
      </x:c>
      <x:c r="V102" s="80" t="str">
        <x:v>Coleção principal (~1:64)</x:v>
      </x:c>
      <x:c r="W102" s="82" t="str">
        <x:v>https://hotwheels.fandom.com/wiki/%2789_Porsche_944_Turbo</x:v>
      </x:c>
      <x:c r="X102" s="82" t="str">
        <x:v>https://hotwheels.fandom.com/wiki/%2789_Porsche_944_Turbo</x:v>
      </x:c>
    </x:row>
    <x:row r="103">
      <x:c r="A103" s="80" t="str">
        <x:v>Não</x:v>
      </x:c>
      <x:c r="B103" s="80" t="str">
        <x:v>1 — Comprar agora</x:v>
      </x:c>
      <x:c r="C103" s="81" t="n">
        <x:v>2024</x:v>
      </x:c>
      <x:c r="D103" s="80" t="str">
        <x:v>'96 Porsche Carrera</x:v>
      </x:c>
      <x:c r="E103" s="80" t="str">
        <x:v>'96 Porsche Carrera</x:v>
      </x:c>
      <x:c r="F103" s="82" t="str">
        <x:v>HW: The '90s / 1/10</x:v>
      </x:c>
      <x:c r="G103" s="80" t="str"/>
      <x:c r="H103" s="80" t="str">
        <x:v>174/250</x:v>
      </x:c>
      <x:c r="I103" s="83" t="str">
        <x:v>HTB03</x:v>
      </x:c>
      <x:c r="J103" s="80" t="str">
        <x:v>Blue</x:v>
      </x:c>
      <x:c r="K103" s="82" t="str">
        <x:v>White, black, &amp; yellow decals on sides &amp; hood painted in black</x:v>
      </x:c>
      <x:c r="L103" s="82" t="str">
        <x:v>GLW</x:v>
      </x:c>
      <x:c r="M103" s="82" t="str"/>
      <x:c r="N103" s="82" t="str">
        <x:v>Smoke tint</x:v>
      </x:c>
      <x:c r="O103" s="82" t="str">
        <x:v>Black</x:v>
      </x:c>
      <x:c r="P103" s="82" t="str">
        <x:v>Malaysia</x:v>
      </x:c>
      <x:c r="Q103" s="82" t="str"/>
      <x:c r="R103" s="82" t="str">
        <x:v>Mainline</x:v>
      </x:c>
      <x:c r="S103" s="82" t="str">
        <x:v>Comum / atual</x:v>
      </x:c>
      <x:c r="T103" s="82" t="str">
        <x:v>Lançado</x:v>
      </x:c>
      <x:c r="U103" s="82" t="str">
        <x:v>Urban Outlaw / Base code(s): T12, T13, T14, T16, T17, T18</x:v>
      </x:c>
      <x:c r="V103" s="80" t="str">
        <x:v>Coleção principal (~1:64)</x:v>
      </x:c>
      <x:c r="W103" s="82" t="str">
        <x:v>https://hotwheels.fandom.com/wiki/%2796_Porsche_Carrera</x:v>
      </x:c>
      <x:c r="X103" s="82" t="str">
        <x:v>https://hotwheels.fandom.com/wiki/%2796_Porsche_Carrera</x:v>
      </x:c>
    </x:row>
    <x:row r="104">
      <x:c r="A104" s="80" t="str">
        <x:v>Não</x:v>
      </x:c>
      <x:c r="B104" s="80" t="str">
        <x:v>1 — Comprar agora</x:v>
      </x:c>
      <x:c r="C104" s="81" t="n">
        <x:v>2024</x:v>
      </x:c>
      <x:c r="D104" s="80" t="str">
        <x:v>'96 Porsche Carrera</x:v>
      </x:c>
      <x:c r="E104" s="80" t="str">
        <x:v>'96 Porsche Carrera</x:v>
      </x:c>
      <x:c r="F104" s="82" t="str">
        <x:v>HW: The '90s / 1/10</x:v>
      </x:c>
      <x:c r="G104" s="80" t="str"/>
      <x:c r="H104" s="80" t="str">
        <x:v>174/250</x:v>
      </x:c>
      <x:c r="I104" s="83" t="str">
        <x:v>HTF01</x:v>
      </x:c>
      <x:c r="J104" s="80" t="str">
        <x:v>White</x:v>
      </x:c>
      <x:c r="K104" s="82" t="str">
        <x:v>Blue, black, &amp; yellow decals on sides, hood, &amp; trunk, Hot Wheels logo &amp; Magnus Walker Urban Outlaw logo on sides, "Carrera" on rear</x:v>
      </x:c>
      <x:c r="L104" s="82" t="str">
        <x:v>BLW</x:v>
      </x:c>
      <x:c r="M104" s="82" t="str"/>
      <x:c r="N104" s="82" t="str">
        <x:v>Smoke tint</x:v>
      </x:c>
      <x:c r="O104" s="82" t="str">
        <x:v>Black</x:v>
      </x:c>
      <x:c r="P104" s="82" t="str">
        <x:v>Malaysia</x:v>
      </x:c>
      <x:c r="Q104" s="82" t="str"/>
      <x:c r="R104" s="82" t="str">
        <x:v>Mainline</x:v>
      </x:c>
      <x:c r="S104" s="82" t="str">
        <x:v>Comum / atual</x:v>
      </x:c>
      <x:c r="T104" s="82" t="str">
        <x:v>Lançado</x:v>
      </x:c>
      <x:c r="U104" s="82" t="str">
        <x:v>Base code(s): T29, T30, T31, T32, T33, T34, T35, T40</x:v>
      </x:c>
      <x:c r="V104" s="80" t="str">
        <x:v>Coleção principal (~1:64)</x:v>
      </x:c>
      <x:c r="W104" s="82" t="str">
        <x:v>https://hotwheels.fandom.com/wiki/%2796_Porsche_Carrera</x:v>
      </x:c>
      <x:c r="X104" s="82" t="str">
        <x:v>https://hotwheels.fandom.com/wiki/%2796_Porsche_Carrera</x:v>
      </x:c>
    </x:row>
    <x:row r="105">
      <x:c r="A105" s="80" t="str">
        <x:v>Não</x:v>
      </x:c>
      <x:c r="B105" s="80" t="str">
        <x:v>1 — Comprar agora</x:v>
      </x:c>
      <x:c r="C105" s="81" t="n">
        <x:v>2024</x:v>
      </x:c>
      <x:c r="D105" s="80" t="str">
        <x:v>Eroded Safari</x:v>
      </x:c>
      <x:c r="E105" s="80" t="str">
        <x:v>Eroded Safari</x:v>
      </x:c>
      <x:c r="F105" s="82" t="str">
        <x:v>Mattel Creations Collaboratory</x:v>
      </x:c>
      <x:c r="G105" s="80" t="str"/>
      <x:c r="H105" s="80" t="str"/>
      <x:c r="I105" s="83" t="str">
        <x:v>HPJ31</x:v>
      </x:c>
      <x:c r="J105" s="80" t="str">
        <x:v>Arsham grey</x:v>
      </x:c>
      <x:c r="K105" s="82" t="str">
        <x:v>Colored crystalized erosions</x:v>
      </x:c>
      <x:c r="L105" s="82" t="str">
        <x:v>RRPrf</x:v>
      </x:c>
      <x:c r="M105" s="82" t="str">
        <x:v>ZAMAC</x:v>
      </x:c>
      <x:c r="N105" s="82" t="str">
        <x:v>Arsham grey</x:v>
      </x:c>
      <x:c r="O105" s="82" t="str">
        <x:v>N/A</x:v>
      </x:c>
      <x:c r="P105" s="82" t="str">
        <x:v>China</x:v>
      </x:c>
      <x:c r="Q105" s="82" t="str"/>
      <x:c r="R105" s="82" t="str">
        <x:v>Outra linha</x:v>
      </x:c>
      <x:c r="S105" s="82" t="str">
        <x:v>Comum / atual</x:v>
      </x:c>
      <x:c r="T105" s="82" t="str">
        <x:v>Lançado</x:v>
      </x:c>
      <x:c r="U105" s="82" t="str">
        <x:v>Production code(s): 3253EAA, 3383EAA</x:v>
      </x:c>
      <x:c r="V105" s="80" t="str">
        <x:v>Coleção principal (~1:64)</x:v>
      </x:c>
      <x:c r="W105" s="82" t="str">
        <x:v>https://hotwheels.fandom.com/wiki/Eroded_Safari</x:v>
      </x:c>
      <x:c r="X105" s="82" t="str">
        <x:v>https://hotwheels.fandom.com/wiki/Eroded_Safari</x:v>
      </x:c>
    </x:row>
    <x:row r="106">
      <x:c r="A106" s="80" t="str">
        <x:v>Não</x:v>
      </x:c>
      <x:c r="B106" s="80" t="str">
        <x:v>1 — Comprar agora</x:v>
      </x:c>
      <x:c r="C106" s="81" t="n">
        <x:v>2024</x:v>
      </x:c>
      <x:c r="D106" s="80" t="str">
        <x:v>Porsche 356 Speedster</x:v>
      </x:c>
      <x:c r="E106" s="80" t="str">
        <x:v>Porsche 356 Speedster</x:v>
      </x:c>
      <x:c r="F106" s="82" t="str">
        <x:v>Porsche / 1/6</x:v>
      </x:c>
      <x:c r="G106" s="80" t="str"/>
      <x:c r="H106" s="80" t="str"/>
      <x:c r="I106" s="83" t="str">
        <x:v>HRW56</x:v>
      </x:c>
      <x:c r="J106" s="80" t="str">
        <x:v>White</x:v>
      </x:c>
      <x:c r="K106" s="82" t="str">
        <x:v>Detailed headlights and taillights, SPDSTR plate, "PORSCHE" on sides</x:v>
      </x:c>
      <x:c r="L106" s="82" t="str">
        <x:v>C5</x:v>
      </x:c>
      <x:c r="M106" s="82" t="str">
        <x:v>ZAMAC</x:v>
      </x:c>
      <x:c r="N106" s="82" t="str">
        <x:v>Clear</x:v>
      </x:c>
      <x:c r="O106" s="82" t="str">
        <x:v>Dark Maroon</x:v>
      </x:c>
      <x:c r="P106" s="82" t="str">
        <x:v>Thailand</x:v>
      </x:c>
      <x:c r="Q106" s="82" t="str"/>
      <x:c r="R106" s="82" t="str">
        <x:v>Outra linha</x:v>
      </x:c>
      <x:c r="S106" s="82" t="str">
        <x:v>Comum / atual</x:v>
      </x:c>
      <x:c r="T106" s="82" t="str">
        <x:v>Lançado</x:v>
      </x:c>
      <x:c r="U106" s="82" t="str"/>
      <x:c r="V106" s="80" t="str">
        <x:v>Coleção principal (~1:64)</x:v>
      </x:c>
      <x:c r="W106" s="82" t="str">
        <x:v>https://hotwheels.fandom.com/wiki/Porsche_356_Speedster</x:v>
      </x:c>
      <x:c r="X106" s="82" t="str">
        <x:v>https://hotwheels.fandom.com/wiki/Porsche_356_Speedster</x:v>
      </x:c>
    </x:row>
    <x:row r="107">
      <x:c r="A107" s="80" t="str">
        <x:v>Não</x:v>
      </x:c>
      <x:c r="B107" s="80" t="str">
        <x:v>1 — Comprar agora</x:v>
      </x:c>
      <x:c r="C107" s="81" t="n">
        <x:v>2024</x:v>
      </x:c>
      <x:c r="D107" s="80" t="str">
        <x:v>Porsche 718 Cayman GT4</x:v>
      </x:c>
      <x:c r="E107" s="80" t="str">
        <x:v>Porsche 718 Cayman GT4</x:v>
      </x:c>
      <x:c r="F107" s="82" t="str">
        <x:v>Fast &amp; Furious: Women of Fast / 3/5</x:v>
      </x:c>
      <x:c r="G107" s="80" t="str"/>
      <x:c r="H107" s="80" t="str"/>
      <x:c r="I107" s="83" t="str">
        <x:v>HRW38</x:v>
      </x:c>
      <x:c r="J107" s="80" t="str">
        <x:v>Carrara White</x:v>
      </x:c>
      <x:c r="K107" s="82" t="str">
        <x:v>Detailed taillights, trim and badging, detailed wing</x:v>
      </x:c>
      <x:c r="L107" s="82" t="str">
        <x:v>BS5</x:v>
      </x:c>
      <x:c r="M107" s="82" t="str">
        <x:v>Black / / / Metal</x:v>
      </x:c>
      <x:c r="N107" s="82" t="str">
        <x:v>Smoke tint</x:v>
      </x:c>
      <x:c r="O107" s="82" t="str">
        <x:v>Black</x:v>
      </x:c>
      <x:c r="P107" s="82" t="str">
        <x:v>Thailand</x:v>
      </x:c>
      <x:c r="Q107" s="82" t="str"/>
      <x:c r="R107" s="82" t="str">
        <x:v>Outra linha</x:v>
      </x:c>
      <x:c r="S107" s="82" t="str">
        <x:v>Comum / atual</x:v>
      </x:c>
      <x:c r="T107" s="82" t="str">
        <x:v>Lançado</x:v>
      </x:c>
      <x:c r="U107" s="82" t="str">
        <x:v>Base code(s): S38, S40, S42</x:v>
      </x:c>
      <x:c r="V107" s="80" t="str">
        <x:v>Coleção principal (~1:64)</x:v>
      </x:c>
      <x:c r="W107" s="82" t="str">
        <x:v>https://hotwheels.fandom.com/wiki/Porsche_718_Cayman_GT4</x:v>
      </x:c>
      <x:c r="X107" s="82" t="str">
        <x:v>https://hotwheels.fandom.com/wiki/Porsche_718_Cayman_GT4</x:v>
      </x:c>
    </x:row>
    <x:row r="108">
      <x:c r="A108" s="80" t="str">
        <x:v>Não</x:v>
      </x:c>
      <x:c r="B108" s="80" t="str">
        <x:v>1 — Comprar agora</x:v>
      </x:c>
      <x:c r="C108" s="81" t="n">
        <x:v>2024</x:v>
      </x:c>
      <x:c r="D108" s="80" t="str">
        <x:v>Porsche 718 Cayman GT4</x:v>
      </x:c>
      <x:c r="E108" s="80" t="str">
        <x:v>Porsche 718 Cayman GT4</x:v>
      </x:c>
      <x:c r="F108" s="82" t="str">
        <x:v>Hot Wheels Boulevard / #93</x:v>
      </x:c>
      <x:c r="G108" s="80" t="str"/>
      <x:c r="H108" s="80" t="str"/>
      <x:c r="I108" s="83" t="str">
        <x:v>HRT71</x:v>
      </x:c>
      <x:c r="J108" s="80" t="str">
        <x:v>Miami Blue</x:v>
      </x:c>
      <x:c r="K108" s="82" t="str">
        <x:v>Detailed taillights, detailed front and vents, Porsche logo on hood, "GT4" on rear, "HWC RAY" on front &amp; rear license plates</x:v>
      </x:c>
      <x:c r="L108" s="82" t="str">
        <x:v>BRR10SPM</x:v>
      </x:c>
      <x:c r="M108" s="82" t="str">
        <x:v>Black / / / Metal</x:v>
      </x:c>
      <x:c r="N108" s="82" t="str">
        <x:v>Smoke tint</x:v>
      </x:c>
      <x:c r="O108" s="82" t="str">
        <x:v>Black</x:v>
      </x:c>
      <x:c r="P108" s="82" t="str">
        <x:v>Thailand</x:v>
      </x:c>
      <x:c r="Q108" s="82" t="str"/>
      <x:c r="R108" s="82" t="str">
        <x:v>Premium</x:v>
      </x:c>
      <x:c r="S108" s="82" t="str">
        <x:v>Incomum</x:v>
      </x:c>
      <x:c r="T108" s="82" t="str">
        <x:v>Lançado</x:v>
      </x:c>
      <x:c r="U108" s="82" t="str">
        <x:v>Base code(s): S50, S51, T02</x:v>
      </x:c>
      <x:c r="V108" s="80" t="str">
        <x:v>Coleção principal (~1:64)</x:v>
      </x:c>
      <x:c r="W108" s="82" t="str">
        <x:v>https://hotwheels.fandom.com/wiki/Porsche_718_Cayman_GT4</x:v>
      </x:c>
      <x:c r="X108" s="82" t="str">
        <x:v>https://hotwheels.fandom.com/wiki/Porsche_718_Cayman_GT4</x:v>
      </x:c>
    </x:row>
    <x:row r="109">
      <x:c r="A109" s="80" t="str">
        <x:v>Não</x:v>
      </x:c>
      <x:c r="B109" s="80" t="str">
        <x:v>1 — Comprar agora</x:v>
      </x:c>
      <x:c r="C109" s="81" t="n">
        <x:v>2024</x:v>
      </x:c>
      <x:c r="D109" s="80" t="str">
        <x:v>Porsche 718 Cayman GT4</x:v>
      </x:c>
      <x:c r="E109" s="80" t="str">
        <x:v>Porsche 718 Cayman GT4</x:v>
      </x:c>
      <x:c r="F109" s="82" t="str">
        <x:v>HVX27</x:v>
      </x:c>
      <x:c r="G109" s="80" t="str"/>
      <x:c r="H109" s="80" t="str">
        <x:v>Fast &amp; Furious 10-Pack</x:v>
      </x:c>
      <x:c r="I109" s="83" t="str">
        <x:v>Base code(s):</x:v>
      </x:c>
      <x:c r="J109" s="80" t="str">
        <x:v>Carrara White</x:v>
      </x:c>
      <x:c r="K109" s="82" t="str">
        <x:v>Detailed taillights, trim and badging, detailed wing</x:v>
      </x:c>
      <x:c r="L109" s="82" t="str">
        <x:v>BS5</x:v>
      </x:c>
      <x:c r="M109" s="82" t="str">
        <x:v>Black / / / Metal</x:v>
      </x:c>
      <x:c r="N109" s="82" t="str">
        <x:v>Smoke tint</x:v>
      </x:c>
      <x:c r="O109" s="82" t="str">
        <x:v>Black</x:v>
      </x:c>
      <x:c r="P109" s="82" t="str">
        <x:v>Thailand</x:v>
      </x:c>
      <x:c r="Q109" s="82" t="str"/>
      <x:c r="R109" s="82" t="str">
        <x:v>Mainline</x:v>
      </x:c>
      <x:c r="S109" s="82" t="str">
        <x:v>Comum / atual</x:v>
      </x:c>
      <x:c r="T109" s="82" t="str">
        <x:v>Lançado</x:v>
      </x:c>
      <x:c r="U109" s="82" t="str"/>
      <x:c r="V109" s="80" t="str">
        <x:v>Coleção principal (~1:64)</x:v>
      </x:c>
      <x:c r="W109" s="82" t="str">
        <x:v>https://hotwheels.fandom.com/wiki/Porsche_718_Cayman_GT4</x:v>
      </x:c>
      <x:c r="X109" s="82" t="str">
        <x:v>https://hotwheels.fandom.com/wiki/Porsche_718_Cayman_GT4</x:v>
      </x:c>
    </x:row>
    <x:row r="110">
      <x:c r="A110" s="80" t="str">
        <x:v>Não</x:v>
      </x:c>
      <x:c r="B110" s="80" t="str">
        <x:v>1 — Comprar agora</x:v>
      </x:c>
      <x:c r="C110" s="81" t="n">
        <x:v>2024</x:v>
      </x:c>
      <x:c r="D110" s="80" t="str">
        <x:v>Porsche 718 Cayman GT4</x:v>
      </x:c>
      <x:c r="E110" s="80" t="str">
        <x:v>Porsche 718 Cayman GT4</x:v>
      </x:c>
      <x:c r="F110" s="82" t="str">
        <x:v>Porsche / 5/6</x:v>
      </x:c>
      <x:c r="G110" s="80" t="str"/>
      <x:c r="H110" s="80" t="str"/>
      <x:c r="I110" s="83" t="str">
        <x:v>HRW60</x:v>
      </x:c>
      <x:c r="J110" s="80" t="str">
        <x:v>Guards Red</x:v>
      </x:c>
      <x:c r="K110" s="82" t="str">
        <x:v>Detailed taillights, Bilstein logo on sides</x:v>
      </x:c>
      <x:c r="L110" s="82" t="str">
        <x:v>BC5</x:v>
      </x:c>
      <x:c r="M110" s="82" t="str">
        <x:v>Glossy Black / / / Metal</x:v>
      </x:c>
      <x:c r="N110" s="82" t="str">
        <x:v>Smoke tint</x:v>
      </x:c>
      <x:c r="O110" s="82" t="str">
        <x:v>Black</x:v>
      </x:c>
      <x:c r="P110" s="82" t="str">
        <x:v>Thailand</x:v>
      </x:c>
      <x:c r="Q110" s="82" t="str"/>
      <x:c r="R110" s="82" t="str">
        <x:v>Outra linha</x:v>
      </x:c>
      <x:c r="S110" s="82" t="str">
        <x:v>Comum / atual</x:v>
      </x:c>
      <x:c r="T110" s="82" t="str">
        <x:v>Lançado</x:v>
      </x:c>
      <x:c r="U110" s="82" t="str">
        <x:v>Base code(s): S39, S40, S46</x:v>
      </x:c>
      <x:c r="V110" s="80" t="str">
        <x:v>Coleção principal (~1:64)</x:v>
      </x:c>
      <x:c r="W110" s="82" t="str">
        <x:v>https://hotwheels.fandom.com/wiki/Porsche_718_Cayman_GT4</x:v>
      </x:c>
      <x:c r="X110" s="82" t="str">
        <x:v>https://hotwheels.fandom.com/wiki/Porsche_718_Cayman_GT4</x:v>
      </x:c>
    </x:row>
    <x:row r="111">
      <x:c r="A111" s="80" t="str">
        <x:v>Não</x:v>
      </x:c>
      <x:c r="B111" s="80" t="str">
        <x:v>1 — Comprar agora</x:v>
      </x:c>
      <x:c r="C111" s="81" t="n">
        <x:v>2024</x:v>
      </x:c>
      <x:c r="D111" s="80" t="str">
        <x:v>Porsche 718 Cayman GT4</x:v>
      </x:c>
      <x:c r="E111" s="80" t="str">
        <x:v>Porsche 718 Cayman GT4</x:v>
      </x:c>
      <x:c r="F111" s="82" t="str">
        <x:v>Porsche Car Culture 2-Pack</x:v>
      </x:c>
      <x:c r="G111" s="80" t="str"/>
      <x:c r="H111" s="80" t="str"/>
      <x:c r="I111" s="83" t="str">
        <x:v>HRR82</x:v>
      </x:c>
      <x:c r="J111" s="80" t="str">
        <x:v>Agate Gray Metallic</x:v>
      </x:c>
      <x:c r="K111" s="82" t="str">
        <x:v>Detailed taillights, Porsche logo on hood</x:v>
      </x:c>
      <x:c r="L111" s="82" t="str">
        <x:v>Chrome rim, Black RR5SPM</x:v>
      </x:c>
      <x:c r="M111" s="82" t="str">
        <x:v>Black / / / Metal</x:v>
      </x:c>
      <x:c r="N111" s="82" t="str">
        <x:v>Smoke tint</x:v>
      </x:c>
      <x:c r="O111" s="82" t="str">
        <x:v>Black</x:v>
      </x:c>
      <x:c r="P111" s="82" t="str">
        <x:v>Thailand</x:v>
      </x:c>
      <x:c r="Q111" s="82" t="str"/>
      <x:c r="R111" s="82" t="str">
        <x:v>Premium</x:v>
      </x:c>
      <x:c r="S111" s="82" t="str">
        <x:v>Incomum</x:v>
      </x:c>
      <x:c r="T111" s="82" t="str">
        <x:v>Lançado</x:v>
      </x:c>
      <x:c r="U111" s="82" t="str">
        <x:v>Base code(s): T31</x:v>
      </x:c>
      <x:c r="V111" s="80" t="str">
        <x:v>Coleção principal (~1:64)</x:v>
      </x:c>
      <x:c r="W111" s="82" t="str">
        <x:v>https://hotwheels.fandom.com/wiki/Porsche_718_Cayman_GT4</x:v>
      </x:c>
      <x:c r="X111" s="82" t="str">
        <x:v>https://hotwheels.fandom.com/wiki/Porsche_718_Cayman_GT4</x:v>
      </x:c>
    </x:row>
    <x:row r="112">
      <x:c r="A112" s="80" t="str">
        <x:v>Não</x:v>
      </x:c>
      <x:c r="B112" s="80" t="str">
        <x:v>1 — Comprar agora</x:v>
      </x:c>
      <x:c r="C112" s="81" t="n">
        <x:v>2024</x:v>
      </x:c>
      <x:c r="D112" s="80" t="str">
        <x:v>Porsche 904 Carrera GTS</x:v>
      </x:c>
      <x:c r="E112" s="80" t="str">
        <x:v>Porsche 904 Carrera GTS</x:v>
      </x:c>
      <x:c r="F112" s="82" t="str">
        <x:v>HW Exotics / 1/10</x:v>
      </x:c>
      <x:c r="G112" s="80" t="str"/>
      <x:c r="H112" s="80" t="str">
        <x:v>158/250</x:v>
      </x:c>
      <x:c r="I112" s="83" t="str">
        <x:v>HRY73</x:v>
      </x:c>
      <x:c r="J112" s="80" t="str">
        <x:v>Metalflake silver</x:v>
      </x:c>
      <x:c r="K112" s="82" t="str">
        <x:v>Blue striping on hood, Porsche logo on sides, "86" on hood, rear and sides, "Carrera GTS" badging on rear</x:v>
      </x:c>
      <x:c r="L112" s="82" t="str">
        <x:v>DD8</x:v>
      </x:c>
      <x:c r="M112" s="82" t="str">
        <x:v>Gray / / / Plastic</x:v>
      </x:c>
      <x:c r="N112" s="82" t="str">
        <x:v>Smoke tint</x:v>
      </x:c>
      <x:c r="O112" s="82" t="str">
        <x:v>Black</x:v>
      </x:c>
      <x:c r="P112" s="82" t="str">
        <x:v>Malaysia</x:v>
      </x:c>
      <x:c r="Q112" s="82" t="str"/>
      <x:c r="R112" s="82" t="str">
        <x:v>Mainline</x:v>
      </x:c>
      <x:c r="S112" s="82" t="str">
        <x:v>Comum / atual</x:v>
      </x:c>
      <x:c r="T112" s="82" t="str">
        <x:v>Lançado</x:v>
      </x:c>
      <x:c r="U112" s="82" t="str">
        <x:v>New Model / Base code(s): T05, T06, T07, T08, T09, T10, T11</x:v>
      </x:c>
      <x:c r="V112" s="80" t="str">
        <x:v>Coleção principal (~1:64)</x:v>
      </x:c>
      <x:c r="W112" s="82" t="str">
        <x:v>https://hotwheels.fandom.com/wiki/Porsche_904_Carrera_GTS</x:v>
      </x:c>
      <x:c r="X112" s="82" t="str">
        <x:v>https://hotwheels.fandom.com/wiki/Porsche_904_Carrera_GTS</x:v>
      </x:c>
    </x:row>
    <x:row r="113">
      <x:c r="A113" s="80" t="str">
        <x:v>Não</x:v>
      </x:c>
      <x:c r="B113" s="80" t="str">
        <x:v>1 — Comprar agora</x:v>
      </x:c>
      <x:c r="C113" s="81" t="n">
        <x:v>2024</x:v>
      </x:c>
      <x:c r="D113" s="80" t="str">
        <x:v>Porsche 904 Carrera GTS</x:v>
      </x:c>
      <x:c r="E113" s="80" t="str">
        <x:v>Porsche 904 Carrera GTS</x:v>
      </x:c>
      <x:c r="F113" s="82" t="str">
        <x:v>HW Exotics / 1/10</x:v>
      </x:c>
      <x:c r="G113" s="80" t="str"/>
      <x:c r="H113" s="80" t="str">
        <x:v>158/250</x:v>
      </x:c>
      <x:c r="I113" s="83" t="str">
        <x:v>HRY73</x:v>
      </x:c>
      <x:c r="J113" s="80" t="str">
        <x:v>Metalflake silver</x:v>
      </x:c>
      <x:c r="K113" s="82" t="str">
        <x:v>Blue striping on hood, Porsche logo on sides, "86" on hood, rear and sides, "Carrera GTS" badging on rear</x:v>
      </x:c>
      <x:c r="L113" s="82" t="str">
        <x:v>Chrome rim, Black RSW</x:v>
      </x:c>
      <x:c r="M113" s="82" t="str">
        <x:v>Gray / / / Plastic</x:v>
      </x:c>
      <x:c r="N113" s="82" t="str">
        <x:v>Smoke tint</x:v>
      </x:c>
      <x:c r="O113" s="82" t="str">
        <x:v>Black</x:v>
      </x:c>
      <x:c r="P113" s="82" t="str">
        <x:v>Malaysia</x:v>
      </x:c>
      <x:c r="Q113" s="82" t="str"/>
      <x:c r="R113" s="82" t="str">
        <x:v>Mainline</x:v>
      </x:c>
      <x:c r="S113" s="82" t="str">
        <x:v>Comum / atual</x:v>
      </x:c>
      <x:c r="T113" s="82" t="str">
        <x:v>Lançado</x:v>
      </x:c>
      <x:c r="U113" s="82" t="str">
        <x:v>Rare wheel variation / New Model / Base code(s): T05</x:v>
      </x:c>
      <x:c r="V113" s="80" t="str">
        <x:v>Coleção principal (~1:64)</x:v>
      </x:c>
      <x:c r="W113" s="82" t="str">
        <x:v>https://hotwheels.fandom.com/wiki/Porsche_904_Carrera_GTS</x:v>
      </x:c>
      <x:c r="X113" s="82" t="str">
        <x:v>https://hotwheels.fandom.com/wiki/Porsche_904_Carrera_GTS</x:v>
      </x:c>
    </x:row>
    <x:row r="114">
      <x:c r="A114" s="80" t="str">
        <x:v>Não</x:v>
      </x:c>
      <x:c r="B114" s="80" t="str">
        <x:v>1 — Comprar agora</x:v>
      </x:c>
      <x:c r="C114" s="81" t="n">
        <x:v>2024</x:v>
      </x:c>
      <x:c r="D114" s="80" t="str">
        <x:v>Porsche 904 Carrera GTS</x:v>
      </x:c>
      <x:c r="E114" s="80" t="str">
        <x:v>Porsche 904 Carrera GTS</x:v>
      </x:c>
      <x:c r="F114" s="82" t="str">
        <x:v>HW Exotics / 1/10</x:v>
      </x:c>
      <x:c r="G114" s="80" t="str"/>
      <x:c r="H114" s="80" t="str">
        <x:v>158/250</x:v>
      </x:c>
      <x:c r="I114" s="83" t="str">
        <x:v>HTD94</x:v>
      </x:c>
      <x:c r="J114" s="80" t="str">
        <x:v>Red</x:v>
      </x:c>
      <x:c r="K114" s="82" t="str">
        <x:v>Black striping on hood, Porsche logo on sides, "86" on hood, rear and sides, "Carrera GTS" badging on rear</x:v>
      </x:c>
      <x:c r="L114" s="82" t="str">
        <x:v>DD8</x:v>
      </x:c>
      <x:c r="M114" s="82" t="str">
        <x:v>Red / / / Plastic</x:v>
      </x:c>
      <x:c r="N114" s="82" t="str">
        <x:v>Smoke tint</x:v>
      </x:c>
      <x:c r="O114" s="82" t="str">
        <x:v>Black</x:v>
      </x:c>
      <x:c r="P114" s="82" t="str">
        <x:v>Malaysia</x:v>
      </x:c>
      <x:c r="Q114" s="82" t="str"/>
      <x:c r="R114" s="82" t="str">
        <x:v>Mainline</x:v>
      </x:c>
      <x:c r="S114" s="82" t="str">
        <x:v>Comum / atual</x:v>
      </x:c>
      <x:c r="T114" s="82" t="str">
        <x:v>Lançado</x:v>
      </x:c>
      <x:c r="U114" s="82" t="str">
        <x:v>New Model / Base code(s): T22, T23, T24, T25, T27, T28, T31</x:v>
      </x:c>
      <x:c r="V114" s="80" t="str">
        <x:v>Coleção principal (~1:64)</x:v>
      </x:c>
      <x:c r="W114" s="82" t="str">
        <x:v>https://hotwheels.fandom.com/wiki/Porsche_904_Carrera_GTS</x:v>
      </x:c>
      <x:c r="X114" s="82" t="str">
        <x:v>https://hotwheels.fandom.com/wiki/Porsche_904_Carrera_GTS</x:v>
      </x:c>
    </x:row>
    <x:row r="115">
      <x:c r="A115" s="80" t="str">
        <x:v>Não</x:v>
      </x:c>
      <x:c r="B115" s="80" t="str">
        <x:v>1 — Comprar agora</x:v>
      </x:c>
      <x:c r="C115" s="81" t="n">
        <x:v>2024</x:v>
      </x:c>
      <x:c r="D115" s="80" t="str">
        <x:v>Porsche 911 Carrera Clip</x:v>
      </x:c>
      <x:c r="E115" s="80" t="str">
        <x:v>Porsche 911 Carrera Clip</x:v>
      </x:c>
      <x:c r="F115" s="82" t="str">
        <x:v>Experimotors / 5/5</x:v>
      </x:c>
      <x:c r="G115" s="80" t="str"/>
      <x:c r="H115" s="80" t="str">
        <x:v>134/250</x:v>
      </x:c>
      <x:c r="I115" s="83" t="str">
        <x:v>HTD78</x:v>
      </x:c>
      <x:c r="J115" s="80" t="str">
        <x:v>White</x:v>
      </x:c>
      <x:c r="K115" s="82" t="str">
        <x:v>Porsche badge on hood, blue "PORSCHE" stripe on right side, "HOTWHEELS" stripe on left side, Hot Wheels logo on sides</x:v>
      </x:c>
      <x:c r="L115" s="82" t="str"/>
      <x:c r="M115" s="82" t="str">
        <x:v>Blue / / / Metal</x:v>
      </x:c>
      <x:c r="N115" s="82" t="str"/>
      <x:c r="O115" s="82" t="str"/>
      <x:c r="P115" s="82" t="str">
        <x:v>Malaysia</x:v>
      </x:c>
      <x:c r="Q115" s="82" t="str"/>
      <x:c r="R115" s="82" t="str">
        <x:v>Mainline</x:v>
      </x:c>
      <x:c r="S115" s="82" t="str">
        <x:v>Comum / atual</x:v>
      </x:c>
      <x:c r="T115" s="82" t="str">
        <x:v>Lançado</x:v>
      </x:c>
      <x:c r="U115" s="82" t="str">
        <x:v>Named Porsche 911 Carrera / New Model / Base code(s): T22, T23, T24, T26, T27, T28</x:v>
      </x:c>
      <x:c r="V115" s="80" t="str">
        <x:v>Coleção principal (~1:64)</x:v>
      </x:c>
      <x:c r="W115" s="82" t="str">
        <x:v>https://hotwheels.fandom.com/wiki/Porsche_911_Carrera_Clip</x:v>
      </x:c>
      <x:c r="X115" s="82" t="str">
        <x:v>https://hotwheels.fandom.com/wiki/Porsche_911_Carrera_Clip</x:v>
      </x:c>
    </x:row>
    <x:row r="116">
      <x:c r="A116" s="80" t="str">
        <x:v>Não</x:v>
      </x:c>
      <x:c r="B116" s="80" t="str">
        <x:v>1 — Comprar agora</x:v>
      </x:c>
      <x:c r="C116" s="81" t="n">
        <x:v>2024</x:v>
      </x:c>
      <x:c r="D116" s="80" t="str">
        <x:v>Porsche 911 Carrera RS 2.7</x:v>
      </x:c>
      <x:c r="E116" s="80" t="str">
        <x:v>Porsche 911 Carrera RS 2.7</x:v>
      </x:c>
      <x:c r="F116" s="82" t="str">
        <x:v>Factory Fresh / 4/10</x:v>
      </x:c>
      <x:c r="G116" s="80" t="str"/>
      <x:c r="H116" s="80" t="str">
        <x:v>046/250</x:v>
      </x:c>
      <x:c r="I116" s="83" t="str">
        <x:v>HTC49</x:v>
      </x:c>
      <x:c r="J116" s="80" t="str">
        <x:v>Bright yellow</x:v>
      </x:c>
      <x:c r="K116" s="82" t="str">
        <x:v>Detailed headlights, Porsche emblem on hood, "Carrera RS", and "PORSCHE" on rear, "Carrera" on sides</x:v>
      </x:c>
      <x:c r="L116" s="82" t="str">
        <x:v>Black, Chrome rim RSW</x:v>
      </x:c>
      <x:c r="M116" s="82" t="str">
        <x:v>Black / / / Plastic</x:v>
      </x:c>
      <x:c r="N116" s="82" t="str">
        <x:v>Smoke tint</x:v>
      </x:c>
      <x:c r="O116" s="82" t="str">
        <x:v>Black</x:v>
      </x:c>
      <x:c r="P116" s="82" t="str">
        <x:v>Malaysia</x:v>
      </x:c>
      <x:c r="Q116" s="82" t="str"/>
      <x:c r="R116" s="82" t="str">
        <x:v>Mainline</x:v>
      </x:c>
      <x:c r="S116" s="82" t="str">
        <x:v>Comum / atual</x:v>
      </x:c>
      <x:c r="T116" s="82" t="str">
        <x:v>Lançado</x:v>
      </x:c>
      <x:c r="U116" s="82" t="str">
        <x:v>Base code(s): S36, S37, S40, S41, S47</x:v>
      </x:c>
      <x:c r="V116" s="80" t="str">
        <x:v>Coleção principal (~1:64)</x:v>
      </x:c>
      <x:c r="W116" s="82" t="str">
        <x:v>https://hotwheels.fandom.com/wiki/Porsche_911_Carrera_RS_2.7</x:v>
      </x:c>
      <x:c r="X116" s="82" t="str">
        <x:v>https://hotwheels.fandom.com/wiki/Porsche_911_Carrera_RS_2.7</x:v>
      </x:c>
    </x:row>
    <x:row r="117">
      <x:c r="A117" s="80" t="str">
        <x:v>Não</x:v>
      </x:c>
      <x:c r="B117" s="80" t="str">
        <x:v>1 — Comprar agora</x:v>
      </x:c>
      <x:c r="C117" s="81" t="n">
        <x:v>2024</x:v>
      </x:c>
      <x:c r="D117" s="80" t="str">
        <x:v>Porsche 911 Carrera RS 2.7</x:v>
      </x:c>
      <x:c r="E117" s="80" t="str">
        <x:v>Porsche 911 Carrera RS 2.7</x:v>
      </x:c>
      <x:c r="F117" s="82" t="str">
        <x:v>Factory Fresh / 4/10</x:v>
      </x:c>
      <x:c r="G117" s="80" t="str"/>
      <x:c r="H117" s="80" t="str">
        <x:v>046/250</x:v>
      </x:c>
      <x:c r="I117" s="83" t="str">
        <x:v>HTD08</x:v>
      </x:c>
      <x:c r="J117" s="80" t="str">
        <x:v>Red</x:v>
      </x:c>
      <x:c r="K117" s="82" t="str">
        <x:v>Detailed headlights, Porsche emblem on hood, "Carrera RS", and "PORSCHE" on rear, "Carrera" on sides</x:v>
      </x:c>
      <x:c r="L117" s="82" t="str">
        <x:v>Black, Chrome rim RSW</x:v>
      </x:c>
      <x:c r="M117" s="82" t="str">
        <x:v>Red / / / Plastic</x:v>
      </x:c>
      <x:c r="N117" s="82" t="str">
        <x:v>Smoke tint</x:v>
      </x:c>
      <x:c r="O117" s="82" t="str">
        <x:v>Black</x:v>
      </x:c>
      <x:c r="P117" s="82" t="str">
        <x:v>Malaysia</x:v>
      </x:c>
      <x:c r="Q117" s="82" t="str"/>
      <x:c r="R117" s="82" t="str">
        <x:v>Mainline</x:v>
      </x:c>
      <x:c r="S117" s="82" t="str">
        <x:v>Comum / atual</x:v>
      </x:c>
      <x:c r="T117" s="82" t="str">
        <x:v>Lançado</x:v>
      </x:c>
      <x:c r="U117" s="82" t="str">
        <x:v>Base code(s): T03, T04, T05, T06</x:v>
      </x:c>
      <x:c r="V117" s="80" t="str">
        <x:v>Coleção principal (~1:64)</x:v>
      </x:c>
      <x:c r="W117" s="82" t="str">
        <x:v>https://hotwheels.fandom.com/wiki/Porsche_911_Carrera_RS_2.7</x:v>
      </x:c>
      <x:c r="X117" s="82" t="str">
        <x:v>https://hotwheels.fandom.com/wiki/Porsche_911_Carrera_RS_2.7</x:v>
      </x:c>
    </x:row>
    <x:row r="118">
      <x:c r="A118" s="80" t="str">
        <x:v>Não</x:v>
      </x:c>
      <x:c r="B118" s="80" t="str">
        <x:v>1 — Comprar agora</x:v>
      </x:c>
      <x:c r="C118" s="81" t="n">
        <x:v>2024</x:v>
      </x:c>
      <x:c r="D118" s="80" t="str">
        <x:v>Porsche 911 Carrera RS 3.8</x:v>
      </x:c>
      <x:c r="E118" s="80" t="str">
        <x:v>Porsche 911 Carrera RS 3.8</x:v>
      </x:c>
      <x:c r="F118" s="82" t="str">
        <x:v>Fast &amp; Furious / 3/5</x:v>
      </x:c>
      <x:c r="G118" s="80" t="str"/>
      <x:c r="H118" s="80" t="str"/>
      <x:c r="I118" s="83" t="str">
        <x:v>HRT97</x:v>
      </x:c>
      <x:c r="J118" s="80" t="str">
        <x:v>Metalflake silver</x:v>
      </x:c>
      <x:c r="K118" s="82" t="str">
        <x:v>Detailed headlights, taillights and trim</x:v>
      </x:c>
      <x:c r="L118" s="82" t="str">
        <x:v>Chrome Rim, Black RRLW5</x:v>
      </x:c>
      <x:c r="M118" s="82" t="str">
        <x:v>Black / / / Metal</x:v>
      </x:c>
      <x:c r="N118" s="82" t="str">
        <x:v>Heavy smoke tint</x:v>
      </x:c>
      <x:c r="O118" s="82" t="str">
        <x:v>Black</x:v>
      </x:c>
      <x:c r="P118" s="82" t="str">
        <x:v>Thailand</x:v>
      </x:c>
      <x:c r="Q118" s="82" t="str"/>
      <x:c r="R118" s="82" t="str">
        <x:v>Outra linha</x:v>
      </x:c>
      <x:c r="S118" s="82" t="str">
        <x:v>Comum / atual</x:v>
      </x:c>
      <x:c r="T118" s="82" t="str">
        <x:v>Lançado</x:v>
      </x:c>
      <x:c r="U118" s="82" t="str">
        <x:v>Base code(s): T13, T14, T15, T18, T21, T22</x:v>
      </x:c>
      <x:c r="V118" s="80" t="str">
        <x:v>Coleção principal (~1:64)</x:v>
      </x:c>
      <x:c r="W118" s="82" t="str">
        <x:v>https://hotwheels.fandom.com/wiki/Porsche_911_Carrera_RS_3.8</x:v>
      </x:c>
      <x:c r="X118" s="82" t="str">
        <x:v>https://hotwheels.fandom.com/wiki/Porsche_911_Carrera_RS_3.8</x:v>
      </x:c>
    </x:row>
    <x:row r="119">
      <x:c r="A119" s="80" t="str">
        <x:v>Não</x:v>
      </x:c>
      <x:c r="B119" s="80" t="str">
        <x:v>1 — Comprar agora</x:v>
      </x:c>
      <x:c r="C119" s="81" t="n">
        <x:v>2024</x:v>
      </x:c>
      <x:c r="D119" s="80" t="str">
        <x:v>Porsche 911 GT2</x:v>
      </x:c>
      <x:c r="E119" s="80" t="str">
        <x:v>Porsche 911 GT2</x:v>
      </x:c>
      <x:c r="F119" s="82" t="str">
        <x:v>Multipack Exclusive</x:v>
      </x:c>
      <x:c r="G119" s="80" t="str"/>
      <x:c r="H119" s="80" t="str"/>
      <x:c r="I119" s="83" t="str">
        <x:v>X6999 / K5904</x:v>
      </x:c>
      <x:c r="J119" s="80" t="str">
        <x:v>Yellow</x:v>
      </x:c>
      <x:c r="K119" s="82" t="str">
        <x:v>Detailed taillights and GT2 badge on rear, Porsche badge on hood</x:v>
      </x:c>
      <x:c r="L119" s="82" t="str">
        <x:v>Chrome lip, black PR5</x:v>
      </x:c>
      <x:c r="M119" s="82" t="str">
        <x:v>Black / / / Plastic</x:v>
      </x:c>
      <x:c r="N119" s="82" t="str">
        <x:v>Tinted (Black)</x:v>
      </x:c>
      <x:c r="O119" s="82" t="str">
        <x:v>Black</x:v>
      </x:c>
      <x:c r="P119" s="82" t="str">
        <x:v>Malaysia</x:v>
      </x:c>
      <x:c r="Q119" s="82" t="str"/>
      <x:c r="R119" s="82" t="str">
        <x:v>Temática / multipack</x:v>
      </x:c>
      <x:c r="S119" s="82" t="str">
        <x:v>Comum / atual</x:v>
      </x:c>
      <x:c r="T119" s="82" t="str">
        <x:v>Lançado</x:v>
      </x:c>
      <x:c r="U119" s="82" t="str">
        <x:v>Base code(s): S48 (3pk), T37</x:v>
      </x:c>
      <x:c r="V119" s="80" t="str">
        <x:v>Coleção principal (~1:64)</x:v>
      </x:c>
      <x:c r="W119" s="82" t="str">
        <x:v>https://hotwheels.fandom.com/wiki/Porsche_911_GT2</x:v>
      </x:c>
      <x:c r="X119" s="82" t="str">
        <x:v>https://hotwheels.fandom.com/wiki/Porsche_911_GT2</x:v>
      </x:c>
    </x:row>
    <x:row r="120">
      <x:c r="A120" s="80" t="str">
        <x:v>Não</x:v>
      </x:c>
      <x:c r="B120" s="80" t="str">
        <x:v>1 — Comprar agora</x:v>
      </x:c>
      <x:c r="C120" s="81" t="n">
        <x:v>2024</x:v>
      </x:c>
      <x:c r="D120" s="80" t="str">
        <x:v>Porsche 911 GT3 Cup</x:v>
      </x:c>
      <x:c r="E120" s="80" t="str">
        <x:v>Porsche 911 GT3 Cup</x:v>
      </x:c>
      <x:c r="F120" s="82" t="str">
        <x:v>Fast &amp; Furious: Racing 5/5</x:v>
      </x:c>
      <x:c r="G120" s="80" t="str"/>
      <x:c r="H120" s="80" t="str"/>
      <x:c r="I120" s="83" t="str">
        <x:v>HRW55</x:v>
      </x:c>
      <x:c r="J120" s="80" t="str">
        <x:v>Light blue</x:v>
      </x:c>
      <x:c r="K120" s="82" t="str">
        <x:v>Detailed taillights, Black stripes, "GT3 RS" wordmark on sides, Porsche logo on hood</x:v>
      </x:c>
      <x:c r="L120" s="82" t="str">
        <x:v>MM5</x:v>
      </x:c>
      <x:c r="M120" s="82" t="str">
        <x:v>Black / Plastic</x:v>
      </x:c>
      <x:c r="N120" s="82" t="str">
        <x:v>Heavy smoke tint</x:v>
      </x:c>
      <x:c r="O120" s="82" t="str">
        <x:v>Black</x:v>
      </x:c>
      <x:c r="P120" s="82" t="str">
        <x:v>Thailand</x:v>
      </x:c>
      <x:c r="Q120" s="82" t="str"/>
      <x:c r="R120" s="82" t="str">
        <x:v>Outra linha</x:v>
      </x:c>
      <x:c r="S120" s="82" t="str">
        <x:v>Comum / atual</x:v>
      </x:c>
      <x:c r="T120" s="82" t="str">
        <x:v>Lançado</x:v>
      </x:c>
      <x:c r="U120" s="82" t="str">
        <x:v>Base code(s): T26, T27, T29</x:v>
      </x:c>
      <x:c r="V120" s="80" t="str">
        <x:v>Coleção principal (~1:64)</x:v>
      </x:c>
      <x:c r="W120" s="82" t="str">
        <x:v>https://hotwheels.fandom.com/wiki/Porsche_911_GT3_Cup</x:v>
      </x:c>
      <x:c r="X120" s="82" t="str">
        <x:v>https://hotwheels.fandom.com/wiki/Porsche_911_GT3_Cup</x:v>
      </x:c>
    </x:row>
    <x:row r="121">
      <x:c r="A121" s="80" t="str">
        <x:v>Não</x:v>
      </x:c>
      <x:c r="B121" s="80" t="str">
        <x:v>1 — Comprar agora</x:v>
      </x:c>
      <x:c r="C121" s="81" t="n">
        <x:v>2024</x:v>
      </x:c>
      <x:c r="D121" s="80" t="str">
        <x:v>Porsche 911 GT3 Cup</x:v>
      </x:c>
      <x:c r="E121" s="80" t="str">
        <x:v>Porsche 911 GT3 Cup</x:v>
      </x:c>
      <x:c r="F121" s="82" t="str">
        <x:v>Neon Speeders 1/8</x:v>
      </x:c>
      <x:c r="G121" s="80" t="str"/>
      <x:c r="H121" s="80" t="str"/>
      <x:c r="I121" s="83" t="str">
        <x:v>HRW75</x:v>
      </x:c>
      <x:c r="J121" s="80" t="str">
        <x:v>Neon pink</x:v>
      </x:c>
      <x:c r="K121" s="82" t="str">
        <x:v>Rotiform, Sparco, &amp; Bilstein logos on sides; "PORSCHE" on sides &amp; spoiler; black stripes on sides &amp; along top; detailed taillights &amp; side markers</x:v>
      </x:c>
      <x:c r="L121" s="82" t="str">
        <x:v>BKNS6</x:v>
      </x:c>
      <x:c r="M121" s="82" t="str">
        <x:v>Black / Plastic</x:v>
      </x:c>
      <x:c r="N121" s="82" t="str">
        <x:v>Smoke tint</x:v>
      </x:c>
      <x:c r="O121" s="82" t="str">
        <x:v>Black</x:v>
      </x:c>
      <x:c r="P121" s="82" t="str">
        <x:v>Thailand</x:v>
      </x:c>
      <x:c r="Q121" s="82" t="str"/>
      <x:c r="R121" s="82" t="str">
        <x:v>Outra linha</x:v>
      </x:c>
      <x:c r="S121" s="82" t="str">
        <x:v>Comum / atual</x:v>
      </x:c>
      <x:c r="T121" s="82" t="str">
        <x:v>Lançado</x:v>
      </x:c>
      <x:c r="U121" s="82" t="str">
        <x:v>Base code(s): T09, T13, T14</x:v>
      </x:c>
      <x:c r="V121" s="80" t="str">
        <x:v>Coleção principal (~1:64)</x:v>
      </x:c>
      <x:c r="W121" s="82" t="str">
        <x:v>https://hotwheels.fandom.com/wiki/Porsche_911_GT3_Cup</x:v>
      </x:c>
      <x:c r="X121" s="82" t="str">
        <x:v>https://hotwheels.fandom.com/wiki/Porsche_911_GT3_Cup</x:v>
      </x:c>
    </x:row>
    <x:row r="122">
      <x:c r="A122" s="80" t="str">
        <x:v>Não</x:v>
      </x:c>
      <x:c r="B122" s="80" t="str">
        <x:v>1 — Comprar agora</x:v>
      </x:c>
      <x:c r="C122" s="81" t="n">
        <x:v>2024</x:v>
      </x:c>
      <x:c r="D122" s="80" t="str">
        <x:v>Porsche 911 GT3 R (992)</x:v>
      </x:c>
      <x:c r="E122" s="80" t="str">
        <x:v>Porsche 911 GT3 R (992)</x:v>
      </x:c>
      <x:c r="F122" s="82" t="str">
        <x:v>Car Culture: Race Day / 1/5</x:v>
      </x:c>
      <x:c r="G122" s="80" t="str"/>
      <x:c r="H122" s="80" t="str"/>
      <x:c r="I122" s="83" t="str">
        <x:v>HRV72</x:v>
      </x:c>
      <x:c r="J122" s="80" t="str">
        <x:v>Green</x:v>
      </x:c>
      <x:c r="K122" s="82" t="str">
        <x:v>Detailed taillights, AO Racing Rexy graphics</x:v>
      </x:c>
      <x:c r="L122" s="82" t="str">
        <x:v>Green RR10SPM</x:v>
      </x:c>
      <x:c r="M122" s="82" t="str">
        <x:v>Black / / / Metal</x:v>
      </x:c>
      <x:c r="N122" s="82" t="str">
        <x:v>Smoke tint</x:v>
      </x:c>
      <x:c r="O122" s="82" t="str">
        <x:v>Black</x:v>
      </x:c>
      <x:c r="P122" s="82" t="str">
        <x:v>Thailand</x:v>
      </x:c>
      <x:c r="Q122" s="82" t="str"/>
      <x:c r="R122" s="82" t="str">
        <x:v>Premium</x:v>
      </x:c>
      <x:c r="S122" s="82" t="str">
        <x:v>Incomum</x:v>
      </x:c>
      <x:c r="T122" s="82" t="str">
        <x:v>Lançado</x:v>
      </x:c>
      <x:c r="U122" s="82" t="str">
        <x:v>Named "Rexy" Porsche 911 GT3 R (992) / Base code(s): T32, T33, T34, T35</x:v>
      </x:c>
      <x:c r="V122" s="80" t="str">
        <x:v>Coleção principal (~1:64)</x:v>
      </x:c>
      <x:c r="W122" s="82" t="str">
        <x:v>https://hotwheels.fandom.com/wiki/Porsche_911_GT3_R_(992)</x:v>
      </x:c>
      <x:c r="X122" s="82" t="str">
        <x:v>https://hotwheels.fandom.com/wiki/Porsche_911_GT3_R_(992)</x:v>
      </x:c>
    </x:row>
    <x:row r="123">
      <x:c r="A123" s="80" t="str">
        <x:v>Não</x:v>
      </x:c>
      <x:c r="B123" s="80" t="str">
        <x:v>1 — Comprar agora</x:v>
      </x:c>
      <x:c r="C123" s="81" t="n">
        <x:v>2024</x:v>
      </x:c>
      <x:c r="D123" s="80" t="str">
        <x:v>Porsche 911 GT3 RS (2016)</x:v>
      </x:c>
      <x:c r="E123" s="80" t="str">
        <x:v>Porsche 911 GT3 RS</x:v>
      </x:c>
      <x:c r="F123" s="82" t="str">
        <x:v>Gran Turismo / 3/5</x:v>
      </x:c>
      <x:c r="G123" s="80" t="str"/>
      <x:c r="H123" s="80" t="str"/>
      <x:c r="I123" s="83" t="str">
        <x:v>HRV65</x:v>
      </x:c>
      <x:c r="J123" s="80" t="str">
        <x:v>Metallic Racing Yellow</x:v>
      </x:c>
      <x:c r="K123" s="82" t="str">
        <x:v>Detailed taillights, eyelashes, "3", Gran Turismo logo on sides Hood &amp; on window banner</x:v>
      </x:c>
      <x:c r="L123" s="82" t="str">
        <x:v>BMM5</x:v>
      </x:c>
      <x:c r="M123" s="82" t="str">
        <x:v>Black / / / Plastic</x:v>
      </x:c>
      <x:c r="N123" s="82" t="str">
        <x:v>Clear</x:v>
      </x:c>
      <x:c r="O123" s="82" t="str">
        <x:v>Black</x:v>
      </x:c>
      <x:c r="P123" s="82" t="str">
        <x:v>Thailand</x:v>
      </x:c>
      <x:c r="Q123" s="82" t="str"/>
      <x:c r="R123" s="82" t="str">
        <x:v>Outra linha</x:v>
      </x:c>
      <x:c r="S123" s="82" t="str">
        <x:v>Comum / atual</x:v>
      </x:c>
      <x:c r="T123" s="82" t="str">
        <x:v>Lançado</x:v>
      </x:c>
      <x:c r="U123" s="82" t="str">
        <x:v>Base code(s): S47, S49, S50, T02, T05</x:v>
      </x:c>
      <x:c r="V123" s="80" t="str">
        <x:v>Coleção principal (~1:64)</x:v>
      </x:c>
      <x:c r="W123" s="82" t="str">
        <x:v>https://hotwheels.fandom.com/wiki/Porsche_911_GT3_RS_(2016)</x:v>
      </x:c>
      <x:c r="X123" s="82" t="str">
        <x:v>https://hotwheels.fandom.com/wiki/Porsche_911_GT3_RS_(2016)</x:v>
      </x:c>
    </x:row>
    <x:row r="124">
      <x:c r="A124" s="80" t="str">
        <x:v>Não</x:v>
      </x:c>
      <x:c r="B124" s="80" t="str">
        <x:v>1 — Comprar agora</x:v>
      </x:c>
      <x:c r="C124" s="81" t="n">
        <x:v>2024</x:v>
      </x:c>
      <x:c r="D124" s="80" t="str">
        <x:v>Porsche 911 Rallye</x:v>
      </x:c>
      <x:c r="E124" s="80" t="str">
        <x:v>Porsche 911 Rallye</x:v>
      </x:c>
      <x:c r="F124" s="82" t="str">
        <x:v>HW Turbo / 5/5</x:v>
      </x:c>
      <x:c r="G124" s="80" t="str"/>
      <x:c r="H124" s="80" t="str">
        <x:v>172/250</x:v>
      </x:c>
      <x:c r="I124" s="83" t="str">
        <x:v>HRY70</x:v>
      </x:c>
      <x:c r="J124" s="80" t="str">
        <x:v>Rally Design Package - White/Gentian Blue Metallic</x:v>
      </x:c>
      <x:c r="K124" s="82" t="str">
        <x:v>Detailed headlights, Rothmans Porsche livery, "953", "Roughroads PORSCHE" on sides</x:v>
      </x:c>
      <x:c r="L124" s="82" t="str">
        <x:v>White MC5</x:v>
      </x:c>
      <x:c r="M124" s="82" t="str">
        <x:v>Gray / / / Plastic</x:v>
      </x:c>
      <x:c r="N124" s="82" t="str">
        <x:v>Smoke tint</x:v>
      </x:c>
      <x:c r="O124" s="82" t="str">
        <x:v>Black</x:v>
      </x:c>
      <x:c r="P124" s="82" t="str">
        <x:v>Malaysia</x:v>
      </x:c>
      <x:c r="Q124" s="82" t="str"/>
      <x:c r="R124" s="82" t="str">
        <x:v>Mainline</x:v>
      </x:c>
      <x:c r="S124" s="82" t="str">
        <x:v>Comum / atual</x:v>
      </x:c>
      <x:c r="T124" s="82" t="str">
        <x:v>Lançado</x:v>
      </x:c>
      <x:c r="U124" s="82" t="str">
        <x:v>New Model / Base code(s): T20, T22, T23, T24, T25, T26, T27, T28</x:v>
      </x:c>
      <x:c r="V124" s="80" t="str">
        <x:v>Coleção principal (~1:64)</x:v>
      </x:c>
      <x:c r="W124" s="82" t="str">
        <x:v>https://hotwheels.fandom.com/wiki/Porsche_911_Rallye</x:v>
      </x:c>
      <x:c r="X124" s="82" t="str">
        <x:v>https://hotwheels.fandom.com/wiki/Porsche_911_Rallye</x:v>
      </x:c>
    </x:row>
    <x:row r="125">
      <x:c r="A125" s="80" t="str">
        <x:v>Não</x:v>
      </x:c>
      <x:c r="B125" s="80" t="str">
        <x:v>1 — Comprar agora</x:v>
      </x:c>
      <x:c r="C125" s="81" t="n">
        <x:v>2024</x:v>
      </x:c>
      <x:c r="D125" s="80" t="str">
        <x:v>Porsche 911 Turbo (930)</x:v>
      </x:c>
      <x:c r="E125" s="80" t="str">
        <x:v>Porsche 911 Turbo (930)</x:v>
      </x:c>
      <x:c r="F125" s="82" t="str">
        <x:v>Mattel Creations Collaboratory</x:v>
      </x:c>
      <x:c r="G125" s="80" t="str"/>
      <x:c r="H125" s="80" t="str"/>
      <x:c r="I125" s="83" t="str">
        <x:v>HPJ30</x:v>
      </x:c>
      <x:c r="J125" s="80" t="str">
        <x:v>Gloss white</x:v>
      </x:c>
      <x:c r="K125" s="82" t="str">
        <x:v>Arsham studio graphics</x:v>
      </x:c>
      <x:c r="L125" s="82" t="str">
        <x:v>RRLW5</x:v>
      </x:c>
      <x:c r="M125" s="82" t="str">
        <x:v>Gloss black / / / Metal</x:v>
      </x:c>
      <x:c r="N125" s="82" t="str">
        <x:v>Light Tint</x:v>
      </x:c>
      <x:c r="O125" s="82" t="str">
        <x:v>Italian leather and stonewashed canvas</x:v>
      </x:c>
      <x:c r="P125" s="82" t="str">
        <x:v>Thailand</x:v>
      </x:c>
      <x:c r="Q125" s="82" t="str"/>
      <x:c r="R125" s="82" t="str">
        <x:v>Outra linha</x:v>
      </x:c>
      <x:c r="S125" s="82" t="str">
        <x:v>Comum / atual</x:v>
      </x:c>
      <x:c r="T125" s="82" t="str">
        <x:v>Lançado</x:v>
      </x:c>
      <x:c r="U125" s="82" t="str">
        <x:v>Named Arsham Porsche 930A / Base code(s): S40</x:v>
      </x:c>
      <x:c r="V125" s="80" t="str">
        <x:v>Coleção principal (~1:64)</x:v>
      </x:c>
      <x:c r="W125" s="82" t="str">
        <x:v>https://hotwheels.fandom.com/wiki/Porsche_911_Turbo_(930)</x:v>
      </x:c>
      <x:c r="X125" s="82" t="str">
        <x:v>https://hotwheels.fandom.com/wiki/Porsche_911_Turbo_(930)</x:v>
      </x:c>
    </x:row>
    <x:row r="126">
      <x:c r="A126" s="80" t="str">
        <x:v>Não</x:v>
      </x:c>
      <x:c r="B126" s="80" t="str">
        <x:v>1 — Comprar agora</x:v>
      </x:c>
      <x:c r="C126" s="81" t="n">
        <x:v>2024</x:v>
      </x:c>
      <x:c r="D126" s="80" t="str">
        <x:v>Porsche 911 Turbo (930)</x:v>
      </x:c>
      <x:c r="E126" s="80" t="str">
        <x:v>Porsche 911 Turbo (930)</x:v>
      </x:c>
      <x:c r="F126" s="82" t="str">
        <x:v>Pop Culture: Cyberpunk 2077</x:v>
      </x:c>
      <x:c r="G126" s="80" t="str"/>
      <x:c r="H126" s="80" t="str"/>
      <x:c r="I126" s="83" t="str">
        <x:v>HXD95</x:v>
      </x:c>
      <x:c r="J126" s="80" t="str">
        <x:v>Metalflake Two-tone Gray &amp; Black</x:v>
      </x:c>
      <x:c r="K126" s="82" t="str">
        <x:v>Detailed headlights and taillights, red stripes, "G200", various other text on sides</x:v>
      </x:c>
      <x:c r="L126" s="82" t="str">
        <x:v>Chrome Rim RRLW5</x:v>
      </x:c>
      <x:c r="M126" s="82" t="str">
        <x:v>Black / / / Metal</x:v>
      </x:c>
      <x:c r="N126" s="82" t="str">
        <x:v>Smoke tint</x:v>
      </x:c>
      <x:c r="O126" s="82" t="str">
        <x:v>Black</x:v>
      </x:c>
      <x:c r="P126" s="82" t="str">
        <x:v>Indonesia</x:v>
      </x:c>
      <x:c r="Q126" s="82" t="str"/>
      <x:c r="R126" s="82" t="str">
        <x:v>Premium</x:v>
      </x:c>
      <x:c r="S126" s="82" t="str">
        <x:v>Incomum</x:v>
      </x:c>
      <x:c r="T126" s="82" t="str">
        <x:v>Lançado</x:v>
      </x:c>
      <x:c r="U126" s="82" t="str">
        <x:v>Base code(s): T31</x:v>
      </x:c>
      <x:c r="V126" s="80" t="str">
        <x:v>Coleção principal (~1:64)</x:v>
      </x:c>
      <x:c r="W126" s="82" t="str">
        <x:v>https://hotwheels.fandom.com/wiki/Porsche_911_Turbo_(930)</x:v>
      </x:c>
      <x:c r="X126" s="82" t="str">
        <x:v>https://hotwheels.fandom.com/wiki/Porsche_911_Turbo_(930)</x:v>
      </x:c>
    </x:row>
    <x:row r="127">
      <x:c r="A127" s="80" t="str">
        <x:v>Não</x:v>
      </x:c>
      <x:c r="B127" s="80" t="str">
        <x:v>1 — Comprar agora</x:v>
      </x:c>
      <x:c r="C127" s="81" t="n">
        <x:v>2024</x:v>
      </x:c>
      <x:c r="D127" s="80" t="str">
        <x:v>Porsche 911 Turbo 3.6 (964)</x:v>
      </x:c>
      <x:c r="E127" s="80" t="str">
        <x:v>Porsche 911 Turbo 3.6 (964)</x:v>
      </x:c>
      <x:c r="F127" s="82" t="str">
        <x:v>Tooned / 2/5</x:v>
      </x:c>
      <x:c r="G127" s="80" t="str"/>
      <x:c r="H127" s="80" t="str">
        <x:v>199/250</x:v>
      </x:c>
      <x:c r="I127" s="83" t="str">
        <x:v>HTB41</x:v>
      </x:c>
      <x:c r="J127" s="80" t="str">
        <x:v>Metalflake dark purple</x:v>
      </x:c>
      <x:c r="K127" s="82" t="str">
        <x:v>Detailed headlights &amp; taillights, "Turbo 3.6" on rear, "964 TURBO" license plate</x:v>
      </x:c>
      <x:c r="L127" s="82" t="str">
        <x:v>Micro5SP</x:v>
      </x:c>
      <x:c r="M127" s="82" t="str">
        <x:v>Gray / / / Plastic</x:v>
      </x:c>
      <x:c r="N127" s="82" t="str">
        <x:v>Blue tint</x:v>
      </x:c>
      <x:c r="O127" s="82" t="str">
        <x:v>Black</x:v>
      </x:c>
      <x:c r="P127" s="82" t="str">
        <x:v>Malaysia</x:v>
      </x:c>
      <x:c r="Q127" s="82" t="str"/>
      <x:c r="R127" s="82" t="str">
        <x:v>Mainline</x:v>
      </x:c>
      <x:c r="S127" s="82" t="str">
        <x:v>Comum / atual</x:v>
      </x:c>
      <x:c r="T127" s="82" t="str">
        <x:v>Lançado</x:v>
      </x:c>
      <x:c r="U127" s="82" t="str"/>
      <x:c r="V127" s="80" t="str">
        <x:v>Coleção principal (~1:64)</x:v>
      </x:c>
      <x:c r="W127" s="82" t="str">
        <x:v>https://hotwheels.fandom.com/wiki/Porsche_911_Turbo_3.6_(964)</x:v>
      </x:c>
      <x:c r="X127" s="82" t="str">
        <x:v>https://hotwheels.fandom.com/wiki/Porsche_911_Turbo_3.6_(964)</x:v>
      </x:c>
    </x:row>
    <x:row r="128">
      <x:c r="A128" s="80" t="str">
        <x:v>Não</x:v>
      </x:c>
      <x:c r="B128" s="80" t="str">
        <x:v>1 — Comprar agora</x:v>
      </x:c>
      <x:c r="C128" s="81" t="n">
        <x:v>2024</x:v>
      </x:c>
      <x:c r="D128" s="80" t="str">
        <x:v>Porsche 914 Safari</x:v>
      </x:c>
      <x:c r="E128" s="80" t="str">
        <x:v>Porsche 914 Safari</x:v>
      </x:c>
      <x:c r="F128" s="82" t="str">
        <x:v>HW Speed Graphics / 3/5</x:v>
      </x:c>
      <x:c r="G128" s="80" t="str"/>
      <x:c r="H128" s="80" t="str"/>
      <x:c r="I128" s="83" t="str">
        <x:v>HRT06</x:v>
      </x:c>
      <x:c r="J128" s="80" t="str">
        <x:v>Orange</x:v>
      </x:c>
      <x:c r="K128" s="82" t="str">
        <x:v>Detailed headlights, Type 7 livery</x:v>
      </x:c>
      <x:c r="L128" s="82" t="str">
        <x:v>BC5</x:v>
      </x:c>
      <x:c r="M128" s="82" t="str"/>
      <x:c r="N128" s="82" t="str">
        <x:v>Smoke tint</x:v>
      </x:c>
      <x:c r="O128" s="82" t="str">
        <x:v>Black</x:v>
      </x:c>
      <x:c r="P128" s="82" t="str">
        <x:v>Malaysia</x:v>
      </x:c>
      <x:c r="Q128" s="82" t="str"/>
      <x:c r="R128" s="82" t="str">
        <x:v>Mainline</x:v>
      </x:c>
      <x:c r="S128" s="82" t="str">
        <x:v>Comum / atual</x:v>
      </x:c>
      <x:c r="T128" s="82" t="str">
        <x:v>Lançado</x:v>
      </x:c>
      <x:c r="U128" s="82" t="str">
        <x:v>Base code(s): T22, T24, T26, T27</x:v>
      </x:c>
      <x:c r="V128" s="80" t="str">
        <x:v>Coleção principal (~1:64)</x:v>
      </x:c>
      <x:c r="W128" s="82" t="str">
        <x:v>https://hotwheels.fandom.com/wiki/Porsche_914_Safari</x:v>
      </x:c>
      <x:c r="X128" s="82" t="str">
        <x:v>https://hotwheels.fandom.com/wiki/Porsche_914_Safari</x:v>
      </x:c>
    </x:row>
    <x:row r="129">
      <x:c r="A129" s="80" t="str">
        <x:v>Não</x:v>
      </x:c>
      <x:c r="B129" s="80" t="str">
        <x:v>1 — Comprar agora</x:v>
      </x:c>
      <x:c r="C129" s="81" t="n">
        <x:v>2024</x:v>
      </x:c>
      <x:c r="D129" s="80" t="str">
        <x:v>Porsche 917 LH</x:v>
      </x:c>
      <x:c r="E129" s="80" t="str">
        <x:v>Porsche 917 LH</x:v>
      </x:c>
      <x:c r="F129" s="82" t="str">
        <x:v>German Racers Collector Set</x:v>
      </x:c>
      <x:c r="G129" s="80" t="str"/>
      <x:c r="H129" s="80" t="str"/>
      <x:c r="I129" s="83" t="str">
        <x:v>HRT54</x:v>
      </x:c>
      <x:c r="J129" s="80" t="str">
        <x:v>Dark blue</x:v>
      </x:c>
      <x:c r="K129" s="82" t="str">
        <x:v>Detailed Taillights, Green 'tribal' striping on top and sides. Black '3' in white circle on sides &amp; hood. Shell Logo and Team Porsche on top</x:v>
      </x:c>
      <x:c r="L129" s="82" t="str">
        <x:v>Black RR5SPM</x:v>
      </x:c>
      <x:c r="M129" s="82" t="str">
        <x:v>Dark blue / / / Metal</x:v>
      </x:c>
      <x:c r="N129" s="82" t="str">
        <x:v>Smoke tint</x:v>
      </x:c>
      <x:c r="O129" s="82" t="str">
        <x:v>Black</x:v>
      </x:c>
      <x:c r="P129" s="82" t="str">
        <x:v>Thailand</x:v>
      </x:c>
      <x:c r="Q129" s="82" t="str"/>
      <x:c r="R129" s="82" t="str">
        <x:v>Temática / multipack</x:v>
      </x:c>
      <x:c r="S129" s="82" t="str">
        <x:v>Comum / atual</x:v>
      </x:c>
      <x:c r="T129" s="82" t="str">
        <x:v>Lançado</x:v>
      </x:c>
      <x:c r="U129" s="82" t="str">
        <x:v>Base code(s): T03, T05, T06</x:v>
      </x:c>
      <x:c r="V129" s="80" t="str">
        <x:v>Coleção principal (~1:64)</x:v>
      </x:c>
      <x:c r="W129" s="82" t="str">
        <x:v>https://hotwheels.fandom.com/wiki/Porsche_917_LH</x:v>
      </x:c>
      <x:c r="X129" s="82" t="str">
        <x:v>https://hotwheels.fandom.com/wiki/Porsche_917_LH</x:v>
      </x:c>
    </x:row>
    <x:row r="130">
      <x:c r="A130" s="80" t="str">
        <x:v>Não</x:v>
      </x:c>
      <x:c r="B130" s="80" t="str">
        <x:v>1 — Comprar agora</x:v>
      </x:c>
      <x:c r="C130" s="81" t="n">
        <x:v>2024</x:v>
      </x:c>
      <x:c r="D130" s="80" t="str">
        <x:v>Porsche 917 LH</x:v>
      </x:c>
      <x:c r="E130" s="80" t="str">
        <x:v>Porsche 917 LH</x:v>
      </x:c>
      <x:c r="F130" s="82" t="str">
        <x:v>Retro Racers 5‑Pack</x:v>
      </x:c>
      <x:c r="G130" s="80" t="str"/>
      <x:c r="H130" s="80" t="str"/>
      <x:c r="I130" s="83" t="str">
        <x:v>HTV50</x:v>
      </x:c>
      <x:c r="J130" s="80" t="str">
        <x:v>Orange</x:v>
      </x:c>
      <x:c r="K130" s="82" t="str">
        <x:v>Black stripes on sides, Hood &amp; roof, '3' on sides &amp; roof, 'Porsche' on sides &amp; spoiler</x:v>
      </x:c>
      <x:c r="L130" s="82" t="str">
        <x:v>Grey 5SP</x:v>
      </x:c>
      <x:c r="M130" s="82" t="str">
        <x:v>Orange / / / Plastic</x:v>
      </x:c>
      <x:c r="N130" s="82" t="str">
        <x:v>Smoke tint</x:v>
      </x:c>
      <x:c r="O130" s="82" t="str">
        <x:v>Black</x:v>
      </x:c>
      <x:c r="P130" s="82" t="str">
        <x:v>Indonesia</x:v>
      </x:c>
      <x:c r="Q130" s="82" t="str"/>
      <x:c r="R130" s="82" t="str">
        <x:v>Outra linha</x:v>
      </x:c>
      <x:c r="S130" s="82" t="str">
        <x:v>Comum / atual</x:v>
      </x:c>
      <x:c r="T130" s="82" t="str">
        <x:v>Lançado</x:v>
      </x:c>
      <x:c r="U130" s="82" t="str">
        <x:v>Base code(s): T08, T14, T17, T42</x:v>
      </x:c>
      <x:c r="V130" s="80" t="str">
        <x:v>Coleção principal (~1:64)</x:v>
      </x:c>
      <x:c r="W130" s="82" t="str">
        <x:v>https://hotwheels.fandom.com/wiki/Porsche_917_LH</x:v>
      </x:c>
      <x:c r="X130" s="82" t="str">
        <x:v>https://hotwheels.fandom.com/wiki/Porsche_917_LH</x:v>
      </x:c>
    </x:row>
    <x:row r="131">
      <x:c r="A131" s="80" t="str">
        <x:v>Não</x:v>
      </x:c>
      <x:c r="B131" s="80" t="str">
        <x:v>1 — Comprar agora</x:v>
      </x:c>
      <x:c r="C131" s="81" t="n">
        <x:v>2024</x:v>
      </x:c>
      <x:c r="D131" s="80" t="str">
        <x:v>Porsche 918 Spyder</x:v>
      </x:c>
      <x:c r="E131" s="80" t="str">
        <x:v>Porsche 918 Spyder</x:v>
      </x:c>
      <x:c r="F131" s="82" t="str">
        <x:v>20-Pack Exclusive</x:v>
      </x:c>
      <x:c r="G131" s="80" t="str"/>
      <x:c r="H131" s="80" t="str"/>
      <x:c r="I131" s="83" t="str">
        <x:v>X6999</x:v>
      </x:c>
      <x:c r="J131" s="80" t="str">
        <x:v>Metalflake Blue</x:v>
      </x:c>
      <x:c r="K131" s="82" t="str">
        <x:v>White stripes &amp; "18" on hood and sides, detailed headlights</x:v>
      </x:c>
      <x:c r="L131" s="82" t="str">
        <x:v>E10SP</x:v>
      </x:c>
      <x:c r="M131" s="82" t="str">
        <x:v>Black / / / Plastic</x:v>
      </x:c>
      <x:c r="N131" s="82" t="str">
        <x:v>Clear</x:v>
      </x:c>
      <x:c r="O131" s="82" t="str">
        <x:v>Black</x:v>
      </x:c>
      <x:c r="P131" s="82" t="str">
        <x:v>Malaysia</x:v>
      </x:c>
      <x:c r="Q131" s="82" t="str"/>
      <x:c r="R131" s="82" t="str">
        <x:v>Outra linha</x:v>
      </x:c>
      <x:c r="S131" s="82" t="str">
        <x:v>Comum / atual</x:v>
      </x:c>
      <x:c r="T131" s="82" t="str">
        <x:v>Lançado</x:v>
      </x:c>
      <x:c r="U131" s="82" t="str"/>
      <x:c r="V131" s="80" t="str">
        <x:v>Coleção principal (~1:64)</x:v>
      </x:c>
      <x:c r="W131" s="82" t="str">
        <x:v>https://hotwheels.fandom.com/wiki/Porsche_918_Spyder</x:v>
      </x:c>
      <x:c r="X131" s="82" t="str">
        <x:v>https://hotwheels.fandom.com/wiki/Porsche_918_Spyder</x:v>
      </x:c>
    </x:row>
    <x:row r="132">
      <x:c r="A132" s="80" t="str">
        <x:v>Não</x:v>
      </x:c>
      <x:c r="B132" s="80" t="str">
        <x:v>1 — Comprar agora</x:v>
      </x:c>
      <x:c r="C132" s="81" t="n">
        <x:v>2024</x:v>
      </x:c>
      <x:c r="D132" s="80" t="str">
        <x:v>Porsche 918 Spyder</x:v>
      </x:c>
      <x:c r="E132" s="80" t="str">
        <x:v>Porsche 918 Spyder</x:v>
      </x:c>
      <x:c r="F132" s="82" t="str">
        <x:v>20-Pack Exclusive</x:v>
      </x:c>
      <x:c r="G132" s="80" t="str"/>
      <x:c r="H132" s="80" t="str"/>
      <x:c r="I132" s="83" t="str">
        <x:v>H7045</x:v>
      </x:c>
      <x:c r="J132" s="80" t="str">
        <x:v>Metallic Grey</x:v>
      </x:c>
      <x:c r="K132" s="82" t="str">
        <x:v>White stripes &amp; "18" on hood and sides, detailed headlights</x:v>
      </x:c>
      <x:c r="L132" s="82" t="str">
        <x:v>E10SP</x:v>
      </x:c>
      <x:c r="M132" s="82" t="str">
        <x:v>Black / / / Plastic</x:v>
      </x:c>
      <x:c r="N132" s="82" t="str">
        <x:v>Tinted (Smoke)</x:v>
      </x:c>
      <x:c r="O132" s="82" t="str">
        <x:v>Black</x:v>
      </x:c>
      <x:c r="P132" s="82" t="str">
        <x:v>Malaysia</x:v>
      </x:c>
      <x:c r="Q132" s="82" t="str"/>
      <x:c r="R132" s="82" t="str">
        <x:v>Outra linha</x:v>
      </x:c>
      <x:c r="S132" s="82" t="str">
        <x:v>Comum / atual</x:v>
      </x:c>
      <x:c r="T132" s="82" t="str">
        <x:v>Lançado</x:v>
      </x:c>
      <x:c r="U132" s="82" t="str"/>
      <x:c r="V132" s="80" t="str">
        <x:v>Coleção principal (~1:64)</x:v>
      </x:c>
      <x:c r="W132" s="82" t="str">
        <x:v>https://hotwheels.fandom.com/wiki/Porsche_918_Spyder</x:v>
      </x:c>
      <x:c r="X132" s="82" t="str">
        <x:v>https://hotwheels.fandom.com/wiki/Porsche_918_Spyder</x:v>
      </x:c>
    </x:row>
    <x:row r="133">
      <x:c r="A133" s="80" t="str">
        <x:v>Não</x:v>
      </x:c>
      <x:c r="B133" s="80" t="str">
        <x:v>1 — Comprar agora</x:v>
      </x:c>
      <x:c r="C133" s="81" t="n">
        <x:v>2024</x:v>
      </x:c>
      <x:c r="D133" s="80" t="str">
        <x:v>Porsche 918 Spyder</x:v>
      </x:c>
      <x:c r="E133" s="80" t="str">
        <x:v>Porsche 918 Spyder</x:v>
      </x:c>
      <x:c r="F133" s="82" t="str">
        <x:v>20-Pack Exclusive</x:v>
      </x:c>
      <x:c r="G133" s="80" t="str"/>
      <x:c r="H133" s="80" t="str"/>
      <x:c r="I133" s="83" t="str">
        <x:v>X6999</x:v>
      </x:c>
      <x:c r="J133" s="80" t="str">
        <x:v>Yellow</x:v>
      </x:c>
      <x:c r="K133" s="82" t="str">
        <x:v>Black stripes, "18" on bonnet and sides, HW Logo, Porsche badge, detailed headlights</x:v>
      </x:c>
      <x:c r="L133" s="82" t="str">
        <x:v>E10SP</x:v>
      </x:c>
      <x:c r="M133" s="82" t="str">
        <x:v>Black / / / Plastic</x:v>
      </x:c>
      <x:c r="N133" s="82" t="str">
        <x:v>Tinted (Smoke)</x:v>
      </x:c>
      <x:c r="O133" s="82" t="str">
        <x:v>Black</x:v>
      </x:c>
      <x:c r="P133" s="82" t="str">
        <x:v>Malaysia</x:v>
      </x:c>
      <x:c r="Q133" s="82" t="str"/>
      <x:c r="R133" s="82" t="str">
        <x:v>Outra linha</x:v>
      </x:c>
      <x:c r="S133" s="82" t="str">
        <x:v>Comum / atual</x:v>
      </x:c>
      <x:c r="T133" s="82" t="str">
        <x:v>Lançado</x:v>
      </x:c>
      <x:c r="U133" s="82" t="str"/>
      <x:c r="V133" s="80" t="str">
        <x:v>Coleção principal (~1:64)</x:v>
      </x:c>
      <x:c r="W133" s="82" t="str">
        <x:v>https://hotwheels.fandom.com/wiki/Porsche_918_Spyder</x:v>
      </x:c>
      <x:c r="X133" s="82" t="str">
        <x:v>https://hotwheels.fandom.com/wiki/Porsche_918_Spyder</x:v>
      </x:c>
    </x:row>
    <x:row r="134">
      <x:c r="A134" s="80" t="str">
        <x:v>Não</x:v>
      </x:c>
      <x:c r="B134" s="80" t="str">
        <x:v>1 — Comprar agora</x:v>
      </x:c>
      <x:c r="C134" s="81" t="n">
        <x:v>2024</x:v>
      </x:c>
      <x:c r="D134" s="80" t="str">
        <x:v>Porsche 928 Safari</x:v>
      </x:c>
      <x:c r="E134" s="80" t="str">
        <x:v>Porsche 928 Safari</x:v>
      </x:c>
      <x:c r="F134" s="82" t="str">
        <x:v>Elite 64 / #7</x:v>
      </x:c>
      <x:c r="G134" s="80" t="str"/>
      <x:c r="H134" s="80" t="str"/>
      <x:c r="I134" s="83" t="str">
        <x:v>HNJ58</x:v>
      </x:c>
      <x:c r="J134" s="80" t="str">
        <x:v>Orange</x:v>
      </x:c>
      <x:c r="K134" s="82" t="str">
        <x:v>"PORSCHE" on sides, hood, &amp; rear; gumball "28" on sides &amp; roof; black stripe &amp; Shell, various sponsor logos on sides; black hood; detailed headlights, hood &amp; brush-bar mounted rally lights, &amp; taillights</x:v>
      </x:c>
      <x:c r="L134" s="82" t="str">
        <x:v>Custom Real Riders</x:v>
      </x:c>
      <x:c r="M134" s="82" t="str">
        <x:v>Matte Black / / / Metal</x:v>
      </x:c>
      <x:c r="N134" s="82" t="str">
        <x:v>Light smoke tint</x:v>
      </x:c>
      <x:c r="O134" s="82" t="str">
        <x:v>Black</x:v>
      </x:c>
      <x:c r="P134" s="82" t="str">
        <x:v>China</x:v>
      </x:c>
      <x:c r="Q134" s="82" t="str"/>
      <x:c r="R134" s="82" t="str">
        <x:v>Elite 64</x:v>
      </x:c>
      <x:c r="S134" s="82" t="str">
        <x:v>Incomum</x:v>
      </x:c>
      <x:c r="T134" s="82" t="str">
        <x:v>Lançado</x:v>
      </x:c>
      <x:c r="U134" s="82" t="str">
        <x:v>Production code(s): 3083EAA, 3343EAA, 3543EAA</x:v>
      </x:c>
      <x:c r="V134" s="80" t="str">
        <x:v>Coleção principal (~1:64)</x:v>
      </x:c>
      <x:c r="W134" s="82" t="str">
        <x:v>https://hotwheels.fandom.com/wiki/Porsche_928_Safari</x:v>
      </x:c>
      <x:c r="X134" s="82" t="str">
        <x:v>https://hotwheels.fandom.com/wiki/Porsche_928_Safari</x:v>
      </x:c>
    </x:row>
    <x:row r="135">
      <x:c r="A135" s="80" t="str">
        <x:v>Não</x:v>
      </x:c>
      <x:c r="B135" s="80" t="str">
        <x:v>1 — Comprar agora</x:v>
      </x:c>
      <x:c r="C135" s="81" t="n">
        <x:v>2024</x:v>
      </x:c>
      <x:c r="D135" s="80" t="str">
        <x:v>Porsche 935 (2021)</x:v>
      </x:c>
      <x:c r="E135" s="80" t="str">
        <x:v>Porsche 935</x:v>
      </x:c>
      <x:c r="F135" s="82" t="str">
        <x:v>German Racers Collector Set</x:v>
      </x:c>
      <x:c r="G135" s="80" t="str"/>
      <x:c r="H135" s="80" t="str"/>
      <x:c r="I135" s="83" t="str">
        <x:v>HRT54</x:v>
      </x:c>
      <x:c r="J135" s="80" t="str">
        <x:v>White</x:v>
      </x:c>
      <x:c r="K135" s="82" t="str">
        <x:v>Red &amp; Blue Stripes, Black Grille Details, "59", "Brumos Porsche" &amp; Porsche Logos</x:v>
      </x:c>
      <x:c r="L135" s="82" t="str">
        <x:v>WRRA &amp; CPRREURO</x:v>
      </x:c>
      <x:c r="M135" s="82" t="str">
        <x:v>White / / / Metal</x:v>
      </x:c>
      <x:c r="N135" s="82" t="str">
        <x:v>Smoke tint</x:v>
      </x:c>
      <x:c r="O135" s="82" t="str">
        <x:v>Black</x:v>
      </x:c>
      <x:c r="P135" s="82" t="str">
        <x:v>Thailand</x:v>
      </x:c>
      <x:c r="Q135" s="82" t="str"/>
      <x:c r="R135" s="82" t="str">
        <x:v>Temática / multipack</x:v>
      </x:c>
      <x:c r="S135" s="82" t="str">
        <x:v>Comum / atual</x:v>
      </x:c>
      <x:c r="T135" s="82" t="str">
        <x:v>Lançado</x:v>
      </x:c>
      <x:c r="U135" s="82" t="str">
        <x:v>New Die-Cast Chassis / Base code(s): T03, T05, T06</x:v>
      </x:c>
      <x:c r="V135" s="80" t="str">
        <x:v>Coleção principal (~1:64)</x:v>
      </x:c>
      <x:c r="W135" s="82" t="str">
        <x:v>https://hotwheels.fandom.com/wiki/Porsche_935_(2021)</x:v>
      </x:c>
      <x:c r="X135" s="82" t="str">
        <x:v>https://hotwheels.fandom.com/wiki/Porsche_935_(2021)</x:v>
      </x:c>
    </x:row>
    <x:row r="136">
      <x:c r="A136" s="80" t="str">
        <x:v>Não</x:v>
      </x:c>
      <x:c r="B136" s="80" t="str">
        <x:v>1 — Comprar agora</x:v>
      </x:c>
      <x:c r="C136" s="81" t="n">
        <x:v>2024</x:v>
      </x:c>
      <x:c r="D136" s="80" t="str">
        <x:v>Porsche 935 (2022)</x:v>
      </x:c>
      <x:c r="E136" s="80" t="str">
        <x:v>Porsche 935</x:v>
      </x:c>
      <x:c r="F136" s="82" t="str">
        <x:v>European Car Culture Themed Multipack</x:v>
      </x:c>
      <x:c r="G136" s="80" t="str"/>
      <x:c r="H136" s="80" t="str"/>
      <x:c r="I136" s="83" t="str">
        <x:v>HRX56</x:v>
      </x:c>
      <x:c r="J136" s="80" t="str">
        <x:v>Yellow</x:v>
      </x:c>
      <x:c r="K136" s="82" t="str">
        <x:v>"9" with black &amp; red stripes on sides &amp; hood, sponsor logos on sides, "PORSCHE" on black stripe on spoiler, detailed headlights</x:v>
      </x:c>
      <x:c r="L136" s="82" t="str">
        <x:v>Gold C5</x:v>
      </x:c>
      <x:c r="M136" s="82" t="str">
        <x:v>Black / / / Plastic</x:v>
      </x:c>
      <x:c r="N136" s="82" t="str">
        <x:v>Light smoke tint</x:v>
      </x:c>
      <x:c r="O136" s="82" t="str">
        <x:v>Black</x:v>
      </x:c>
      <x:c r="P136" s="82" t="str">
        <x:v>Thailand</x:v>
      </x:c>
      <x:c r="Q136" s="82" t="str"/>
      <x:c r="R136" s="82" t="str">
        <x:v>Premium</x:v>
      </x:c>
      <x:c r="S136" s="82" t="str">
        <x:v>Incomum</x:v>
      </x:c>
      <x:c r="T136" s="82" t="str">
        <x:v>Lançado</x:v>
      </x:c>
      <x:c r="U136" s="82" t="str">
        <x:v>Base code(s):</x:v>
      </x:c>
      <x:c r="V136" s="80" t="str">
        <x:v>Coleção principal (~1:64)</x:v>
      </x:c>
      <x:c r="W136" s="82" t="str">
        <x:v>https://hotwheels.fandom.com/wiki/Porsche_935_(2022)</x:v>
      </x:c>
      <x:c r="X136" s="82" t="str">
        <x:v>https://hotwheels.fandom.com/wiki/Porsche_935_(2022)</x:v>
      </x:c>
    </x:row>
    <x:row r="137">
      <x:c r="A137" s="80" t="str">
        <x:v>Não</x:v>
      </x:c>
      <x:c r="B137" s="80" t="str">
        <x:v>1 — Comprar agora</x:v>
      </x:c>
      <x:c r="C137" s="81" t="n">
        <x:v>2024</x:v>
      </x:c>
      <x:c r="D137" s="80" t="str">
        <x:v>Porsche 935 (2022)</x:v>
      </x:c>
      <x:c r="E137" s="80" t="str">
        <x:v>Porsche 935</x:v>
      </x:c>
      <x:c r="F137" s="82" t="str">
        <x:v>Porsche / 4/6</x:v>
      </x:c>
      <x:c r="G137" s="80" t="str"/>
      <x:c r="H137" s="80" t="str"/>
      <x:c r="I137" s="83" t="str">
        <x:v>HRW59</x:v>
      </x:c>
      <x:c r="J137" s="80" t="str">
        <x:v>Metalflake Blue</x:v>
      </x:c>
      <x:c r="K137" s="82" t="str">
        <x:v>Detailed headlights and taillights, stylistic German flag, "24" on sides</x:v>
      </x:c>
      <x:c r="L137" s="82" t="str">
        <x:v>GDS5</x:v>
      </x:c>
      <x:c r="M137" s="82" t="str">
        <x:v>Black / / / Plastic</x:v>
      </x:c>
      <x:c r="N137" s="82" t="str">
        <x:v>Light smoke tint</x:v>
      </x:c>
      <x:c r="O137" s="82" t="str">
        <x:v>Black</x:v>
      </x:c>
      <x:c r="P137" s="82" t="str">
        <x:v>Thailand</x:v>
      </x:c>
      <x:c r="Q137" s="82" t="str"/>
      <x:c r="R137" s="82" t="str">
        <x:v>Outra linha</x:v>
      </x:c>
      <x:c r="S137" s="82" t="str">
        <x:v>Comum / atual</x:v>
      </x:c>
      <x:c r="T137" s="82" t="str">
        <x:v>Lançado</x:v>
      </x:c>
      <x:c r="U137" s="82" t="str">
        <x:v>Base code(s): S40, S41, S42, S46, S47, S48, S49, S50, S51</x:v>
      </x:c>
      <x:c r="V137" s="80" t="str">
        <x:v>Coleção principal (~1:64)</x:v>
      </x:c>
      <x:c r="W137" s="82" t="str">
        <x:v>https://hotwheels.fandom.com/wiki/Porsche_935_(2022)</x:v>
      </x:c>
      <x:c r="X137" s="82" t="str">
        <x:v>https://hotwheels.fandom.com/wiki/Porsche_935_(2022)</x:v>
      </x:c>
    </x:row>
    <x:row r="138">
      <x:c r="A138" s="80" t="str">
        <x:v>Não</x:v>
      </x:c>
      <x:c r="B138" s="80" t="str">
        <x:v>1 — Comprar agora</x:v>
      </x:c>
      <x:c r="C138" s="81" t="n">
        <x:v>2024</x:v>
      </x:c>
      <x:c r="D138" s="80" t="str">
        <x:v>Porsche 944 Dirtmeister</x:v>
      </x:c>
      <x:c r="E138" s="80" t="str">
        <x:v>Porsche 944 Dirtmeister</x:v>
      </x:c>
      <x:c r="F138" s="82" t="str">
        <x:v>2024 Hot Wheels Legends Tour Trophy car</x:v>
      </x:c>
      <x:c r="G138" s="80" t="str"/>
      <x:c r="H138" s="80" t="str"/>
      <x:c r="I138" s="83" t="str">
        <x:v>N/A</x:v>
      </x:c>
      <x:c r="J138" s="80" t="str">
        <x:v>Black</x:v>
      </x:c>
      <x:c r="K138" s="82" t="str">
        <x:v>"HW Legends Tour" logo &amp; Mobil 1 logo on sides</x:v>
      </x:c>
      <x:c r="L138" s="82" t="str">
        <x:v>Gold 10SP</x:v>
      </x:c>
      <x:c r="M138" s="82" t="str">
        <x:v>Black / / / Metal</x:v>
      </x:c>
      <x:c r="N138" s="82" t="str">
        <x:v>Clear</x:v>
      </x:c>
      <x:c r="O138" s="82" t="str">
        <x:v>Black</x:v>
      </x:c>
      <x:c r="P138" s="82" t="str">
        <x:v>China</x:v>
      </x:c>
      <x:c r="Q138" s="82" t="str"/>
      <x:c r="R138" s="82" t="str">
        <x:v>Outra linha</x:v>
      </x:c>
      <x:c r="S138" s="82" t="str">
        <x:v>Comum / atual</x:v>
      </x:c>
      <x:c r="T138" s="82" t="str">
        <x:v>Lançado</x:v>
      </x:c>
      <x:c r="U138" s="82" t="str"/>
      <x:c r="V138" s="80" t="str">
        <x:v>Coleção principal (~1:64)</x:v>
      </x:c>
      <x:c r="W138" s="82" t="str">
        <x:v>https://hotwheels.fandom.com/wiki/Porsche_944_Dirtmeister</x:v>
      </x:c>
      <x:c r="X138" s="82" t="str">
        <x:v>https://hotwheels.fandom.com/wiki/Porsche_944_Dirtmeister</x:v>
      </x:c>
    </x:row>
    <x:row r="139">
      <x:c r="A139" s="80" t="str">
        <x:v>Não</x:v>
      </x:c>
      <x:c r="B139" s="80" t="str">
        <x:v>1 — Comprar agora</x:v>
      </x:c>
      <x:c r="C139" s="81" t="n">
        <x:v>2024</x:v>
      </x:c>
      <x:c r="D139" s="80" t="str">
        <x:v>Porsche 944 Dirtmeister</x:v>
      </x:c>
      <x:c r="E139" s="80" t="str">
        <x:v>Porsche 944 Dirtmeister</x:v>
      </x:c>
      <x:c r="F139" s="82" t="str">
        <x:v>Mattel Creations Collaboratory</x:v>
      </x:c>
      <x:c r="G139" s="80" t="str"/>
      <x:c r="H139" s="80" t="str"/>
      <x:c r="I139" s="83" t="str">
        <x:v>HWF10</x:v>
      </x:c>
      <x:c r="J139" s="80" t="str">
        <x:v>Black</x:v>
      </x:c>
      <x:c r="K139" s="82" t="str">
        <x:v>Detailed taillights and indicators, front and rear badging, detailed front spotlights, seafoam green graphics, pink circles on sides, "944 DIRTMEISTER" logo on sides and rear, "75" on sides, yellow hazard stripes all around car, Mobil horse logo on sides, Hot Wheels logo on hood, "DRTMEISTR" German license plate, Mobil 1 and Hot Wheels logo on rear</x:v>
      </x:c>
      <x:c r="L139" s="82" t="str">
        <x:v>ORRR8DOT</x:v>
      </x:c>
      <x:c r="M139" s="82" t="str">
        <x:v>Black / / / Metal</x:v>
      </x:c>
      <x:c r="N139" s="82" t="str">
        <x:v>Light smoke tint</x:v>
      </x:c>
      <x:c r="O139" s="82" t="str">
        <x:v>Black</x:v>
      </x:c>
      <x:c r="P139" s="82" t="str">
        <x:v>Thailand</x:v>
      </x:c>
      <x:c r="Q139" s="82" t="str"/>
      <x:c r="R139" s="82" t="str">
        <x:v>Outra linha</x:v>
      </x:c>
      <x:c r="S139" s="82" t="str">
        <x:v>Comum / atual</x:v>
      </x:c>
      <x:c r="T139" s="82" t="str">
        <x:v>Lançado</x:v>
      </x:c>
      <x:c r="U139" s="82" t="str">
        <x:v>Made to Order / Base code(s): T42, T43</x:v>
      </x:c>
      <x:c r="V139" s="80" t="str">
        <x:v>Coleção principal (~1:64)</x:v>
      </x:c>
      <x:c r="W139" s="82" t="str">
        <x:v>https://hotwheels.fandom.com/wiki/Porsche_944_Dirtmeister</x:v>
      </x:c>
      <x:c r="X139" s="82" t="str">
        <x:v>https://hotwheels.fandom.com/wiki/Porsche_944_Dirtmeister</x:v>
      </x:c>
    </x:row>
    <x:row r="140">
      <x:c r="A140" s="80" t="str">
        <x:v>Não</x:v>
      </x:c>
      <x:c r="B140" s="80" t="str">
        <x:v>1 — Comprar agora</x:v>
      </x:c>
      <x:c r="C140" s="81" t="n">
        <x:v>2024</x:v>
      </x:c>
      <x:c r="D140" s="80" t="str">
        <x:v>Porsche 962</x:v>
      </x:c>
      <x:c r="E140" s="80" t="str">
        <x:v>Porsche 962</x:v>
      </x:c>
      <x:c r="F140" s="82" t="str">
        <x:v>NFT Garage (Series 7) / #58</x:v>
      </x:c>
      <x:c r="G140" s="80" t="str"/>
      <x:c r="H140" s="80" t="str"/>
      <x:c r="I140" s="83" t="str">
        <x:v>HWW91</x:v>
      </x:c>
      <x:c r="J140" s="80" t="str">
        <x:v>Spectraflame gold</x:v>
      </x:c>
      <x:c r="K140" s="82" t="str">
        <x:v>"HW Racing Project" &amp; Hot Wheels logo on sides; "68" on sides &amp; hood; "PORSCHE" &amp; red, white, &amp; blue accents on sides &amp; top; black accents on top &amp; spoiler; "HWNFTG", "HWRT", &amp; various logos along roof &amp; top; Porsche logo on hood; detailed headlights</x:v>
      </x:c>
      <x:c r="L140" s="82" t="str">
        <x:v>White RRA &amp; Chrome rim, Gold DDRR</x:v>
      </x:c>
      <x:c r="M140" s="82" t="str">
        <x:v>Black / / / Metal</x:v>
      </x:c>
      <x:c r="N140" s="82" t="str">
        <x:v>Smoke tint</x:v>
      </x:c>
      <x:c r="O140" s="82" t="str">
        <x:v>Black</x:v>
      </x:c>
      <x:c r="P140" s="82" t="str">
        <x:v>Malaysia</x:v>
      </x:c>
      <x:c r="Q140" s="82" t="str"/>
      <x:c r="R140" s="82" t="str">
        <x:v>Outra linha</x:v>
      </x:c>
      <x:c r="S140" s="82" t="str">
        <x:v>Comum / atual</x:v>
      </x:c>
      <x:c r="T140" s="82" t="str">
        <x:v>Lançado</x:v>
      </x:c>
      <x:c r="U140" s="82" t="str">
        <x:v>Base code(s): T12</x:v>
      </x:c>
      <x:c r="V140" s="80" t="str">
        <x:v>Coleção principal (~1:64)</x:v>
      </x:c>
      <x:c r="W140" s="82" t="str">
        <x:v>https://hotwheels.fandom.com/wiki/Porsche_962</x:v>
      </x:c>
      <x:c r="X140" s="82" t="str">
        <x:v>https://hotwheels.fandom.com/wiki/Porsche_962</x:v>
      </x:c>
    </x:row>
    <x:row r="141">
      <x:c r="A141" s="80" t="str">
        <x:v>Não</x:v>
      </x:c>
      <x:c r="B141" s="80" t="str">
        <x:v>1 — Comprar agora</x:v>
      </x:c>
      <x:c r="C141" s="81" t="n">
        <x:v>2024</x:v>
      </x:c>
      <x:c r="D141" s="80" t="str">
        <x:v>Porsche 964</x:v>
      </x:c>
      <x:c r="E141" s="80" t="str">
        <x:v>Porsche 964</x:v>
      </x:c>
      <x:c r="F141" s="82" t="str">
        <x:v>Hot Wheels Boulevard / #103</x:v>
      </x:c>
      <x:c r="G141" s="80" t="str"/>
      <x:c r="H141" s="80" t="str"/>
      <x:c r="I141" s="83" t="str">
        <x:v>HRT73</x:v>
      </x:c>
      <x:c r="J141" s="80" t="str">
        <x:v>Aqua</x:v>
      </x:c>
      <x:c r="K141" s="82" t="str">
        <x:v>Detailed headlights, taillights and trim, "PORSCHE" on sides</x:v>
      </x:c>
      <x:c r="L141" s="82" t="str">
        <x:v>WRRA</x:v>
      </x:c>
      <x:c r="M141" s="82" t="str">
        <x:v>Black / / / Metal</x:v>
      </x:c>
      <x:c r="N141" s="82" t="str">
        <x:v>Smoke tint</x:v>
      </x:c>
      <x:c r="O141" s="82" t="str">
        <x:v>Black</x:v>
      </x:c>
      <x:c r="P141" s="82" t="str">
        <x:v>Thailand</x:v>
      </x:c>
      <x:c r="Q141" s="82" t="str"/>
      <x:c r="R141" s="82" t="str">
        <x:v>Premium</x:v>
      </x:c>
      <x:c r="S141" s="82" t="str">
        <x:v>Incomum</x:v>
      </x:c>
      <x:c r="T141" s="82" t="str">
        <x:v>Lançado</x:v>
      </x:c>
      <x:c r="U141" s="82" t="str"/>
      <x:c r="V141" s="80" t="str">
        <x:v>Coleção principal (~1:64)</x:v>
      </x:c>
      <x:c r="W141" s="82" t="str">
        <x:v>https://hotwheels.fandom.com/wiki/Porsche_964</x:v>
      </x:c>
      <x:c r="X141" s="82" t="str">
        <x:v>https://hotwheels.fandom.com/wiki/Porsche_964</x:v>
      </x:c>
    </x:row>
    <x:row r="142">
      <x:c r="A142" s="80" t="str">
        <x:v>Não</x:v>
      </x:c>
      <x:c r="B142" s="80" t="str">
        <x:v>1 — Comprar agora</x:v>
      </x:c>
      <x:c r="C142" s="81" t="n">
        <x:v>2024</x:v>
      </x:c>
      <x:c r="D142" s="80" t="str">
        <x:v>Porsche 993 GT2</x:v>
      </x:c>
      <x:c r="E142" s="80" t="str">
        <x:v>Porsche 993 GT2</x:v>
      </x:c>
      <x:c r="F142" s="82" t="str">
        <x:v>Porsche Car Culture 2-Pack</x:v>
      </x:c>
      <x:c r="G142" s="80" t="str"/>
      <x:c r="H142" s="80" t="str"/>
      <x:c r="I142" s="83" t="str">
        <x:v>HRR82</x:v>
      </x:c>
      <x:c r="J142" s="80" t="str">
        <x:v>Yellow</x:v>
      </x:c>
      <x:c r="K142" s="82" t="str">
        <x:v>Porsche Crest on hood, detailed taillights</x:v>
      </x:c>
      <x:c r="L142" s="82" t="str">
        <x:v>Chrome rim, black RR8SP</x:v>
      </x:c>
      <x:c r="M142" s="82" t="str">
        <x:v>ZAMAC</x:v>
      </x:c>
      <x:c r="N142" s="82" t="str">
        <x:v>Clear</x:v>
      </x:c>
      <x:c r="O142" s="82" t="str">
        <x:v>Black</x:v>
      </x:c>
      <x:c r="P142" s="82" t="str">
        <x:v>Thailand</x:v>
      </x:c>
      <x:c r="Q142" s="82" t="str"/>
      <x:c r="R142" s="82" t="str">
        <x:v>Premium</x:v>
      </x:c>
      <x:c r="S142" s="82" t="str">
        <x:v>Incomum</x:v>
      </x:c>
      <x:c r="T142" s="82" t="str">
        <x:v>Lançado</x:v>
      </x:c>
      <x:c r="U142" s="82" t="str">
        <x:v>Base code(s): T31</x:v>
      </x:c>
      <x:c r="V142" s="80" t="str">
        <x:v>Coleção principal (~1:64)</x:v>
      </x:c>
      <x:c r="W142" s="82" t="str">
        <x:v>https://hotwheels.fandom.com/wiki/Porsche_993_GT2</x:v>
      </x:c>
      <x:c r="X142" s="82" t="str">
        <x:v>https://hotwheels.fandom.com/wiki/Porsche_993_GT2</x:v>
      </x:c>
    </x:row>
    <x:row r="143">
      <x:c r="A143" s="80" t="str">
        <x:v>Não</x:v>
      </x:c>
      <x:c r="B143" s="80" t="str">
        <x:v>2 — Completar aos poucos</x:v>
      </x:c>
      <x:c r="C143" s="81" t="n">
        <x:v>2026</x:v>
      </x:c>
      <x:c r="D143" s="80" t="str">
        <x:v>'71 Porsche 911</x:v>
      </x:c>
      <x:c r="E143" s="80" t="str">
        <x:v>'71 Porsche 911</x:v>
      </x:c>
      <x:c r="F143" s="82" t="str">
        <x:v>Neon Speeders / 8/8</x:v>
      </x:c>
      <x:c r="G143" s="80" t="str"/>
      <x:c r="H143" s="80" t="str"/>
      <x:c r="I143" s="83" t="str">
        <x:v>JKY00</x:v>
      </x:c>
      <x:c r="J143" s="80" t="str">
        <x:v>Neon pink</x:v>
      </x:c>
      <x:c r="K143" s="82" t="str">
        <x:v>White stripes on doors and hood. Black stripes on hood and rockers. White "91" in black circle on doors. "Neon 911" rear license plate.</x:v>
      </x:c>
      <x:c r="L143" s="82" t="str">
        <x:v>NS6</x:v>
      </x:c>
      <x:c r="M143" s="82" t="str">
        <x:v>Black / / / Metal</x:v>
      </x:c>
      <x:c r="N143" s="82" t="str">
        <x:v>Smoke tint</x:v>
      </x:c>
      <x:c r="O143" s="82" t="str">
        <x:v>Black</x:v>
      </x:c>
      <x:c r="P143" s="82" t="str">
        <x:v>Indonesia</x:v>
      </x:c>
      <x:c r="Q143" s="82" t="str">
        <x:v>Walmart</x:v>
      </x:c>
      <x:c r="R143" s="82" t="str">
        <x:v>Outra linha</x:v>
      </x:c>
      <x:c r="S143" s="82" t="str">
        <x:v>Rara</x:v>
      </x:c>
      <x:c r="T143" s="82" t="str">
        <x:v>2026 — listado; confirmar disponibilidade</x:v>
      </x:c>
      <x:c r="U143" s="82" t="str">
        <x:v>Walmart Exclusive / Base code(s): U32I, U33I, U34I, U40I, U44I</x:v>
      </x:c>
      <x:c r="V143" s="80" t="str">
        <x:v>Coleção principal (~1:64)</x:v>
      </x:c>
      <x:c r="W143" s="82" t="str">
        <x:v>https://hotwheels.fandom.com/wiki/%2771_Porsche_911</x:v>
      </x:c>
      <x:c r="X143" s="82" t="str">
        <x:v>https://hotwheels.fandom.com/wiki/%2771_Porsche_911</x:v>
      </x:c>
    </x:row>
    <x:row r="144">
      <x:c r="A144" s="80" t="str">
        <x:v>Não</x:v>
      </x:c>
      <x:c r="B144" s="80" t="str">
        <x:v>2 — Completar aos poucos</x:v>
      </x:c>
      <x:c r="C144" s="81" t="n">
        <x:v>2026</x:v>
      </x:c>
      <x:c r="D144" s="80" t="str">
        <x:v>'78 Porsche 935-78</x:v>
      </x:c>
      <x:c r="E144" s="80" t="str">
        <x:v>'78 Porsche 935-78</x:v>
      </x:c>
      <x:c r="F144" s="82" t="str">
        <x:v>Collector Edition</x:v>
      </x:c>
      <x:c r="G144" s="80" t="str"/>
      <x:c r="H144" s="80" t="str"/>
      <x:c r="I144" s="83" t="str">
        <x:v>JKD38</x:v>
      </x:c>
      <x:c r="J144" s="80" t="str">
        <x:v>Spectraflame black</x:v>
      </x:c>
      <x:c r="K144" s="82" t="str">
        <x:v>Pink and teal striping, "4" on sides</x:v>
      </x:c>
      <x:c r="L144" s="82" t="str">
        <x:v>RR5SPM</x:v>
      </x:c>
      <x:c r="M144" s="82" t="str"/>
      <x:c r="N144" s="82" t="str"/>
      <x:c r="O144" s="82" t="str"/>
      <x:c r="P144" s="82" t="str">
        <x:v>Malaysia</x:v>
      </x:c>
      <x:c r="Q144" s="82" t="str">
        <x:v>Mail-in / Collector Edition</x:v>
      </x:c>
      <x:c r="R144" s="82" t="str">
        <x:v>Outra linha</x:v>
      </x:c>
      <x:c r="S144" s="82" t="str">
        <x:v>Rara</x:v>
      </x:c>
      <x:c r="T144" s="82" t="str">
        <x:v>2026 — listado; confirmar disponibilidade</x:v>
      </x:c>
      <x:c r="U144" s="82" t="str"/>
      <x:c r="V144" s="80" t="str">
        <x:v>Coleção principal (~1:64)</x:v>
      </x:c>
      <x:c r="W144" s="82" t="str">
        <x:v>https://hotwheels.fandom.com/wiki/%2778_Porsche_935-78</x:v>
      </x:c>
      <x:c r="X144" s="82" t="str">
        <x:v>https://hotwheels.fandom.com/wiki/%2778_Porsche_935-78</x:v>
      </x:c>
    </x:row>
    <x:row r="145">
      <x:c r="A145" s="80" t="str">
        <x:v>Não</x:v>
      </x:c>
      <x:c r="B145" s="80" t="str">
        <x:v>2 — Completar aos poucos</x:v>
      </x:c>
      <x:c r="C145" s="81" t="n">
        <x:v>2026</x:v>
      </x:c>
      <x:c r="D145" s="80" t="str">
        <x:v>'78 Porsche 935-78</x:v>
      </x:c>
      <x:c r="E145" s="80" t="str">
        <x:v>'78 Porsche 935-78</x:v>
      </x:c>
      <x:c r="F145" s="82" t="str">
        <x:v>Collector Editions</x:v>
      </x:c>
      <x:c r="G145" s="80" t="str"/>
      <x:c r="H145" s="80" t="str">
        <x:v>4</x:v>
      </x:c>
      <x:c r="I145" s="83" t="str"/>
      <x:c r="J145" s="80" t="str">
        <x:v>TARGET</x:v>
      </x:c>
      <x:c r="K145" s="82" t="str"/>
      <x:c r="L145" s="82" t="str"/>
      <x:c r="M145" s="82" t="str"/>
      <x:c r="N145" s="82" t="str"/>
      <x:c r="O145" s="82" t="str"/>
      <x:c r="P145" s="82" t="str"/>
      <x:c r="Q145" s="82" t="str">
        <x:v>Target / Red Edition, Mail-in / Collector Edition</x:v>
      </x:c>
      <x:c r="R145" s="82" t="str">
        <x:v>Mainline</x:v>
      </x:c>
      <x:c r="S145" s="82" t="str">
        <x:v>Rara</x:v>
      </x:c>
      <x:c r="T145" s="82" t="str">
        <x:v>2026 — listado; confirmar disponibilidade</x:v>
      </x:c>
      <x:c r="U145" s="82" t="str"/>
      <x:c r="V145" s="80" t="str">
        <x:v>Coleção principal (~1:64)</x:v>
      </x:c>
      <x:c r="W145" s="82" t="str">
        <x:v>https://orangetrackdiecast.com/2026-hot-wheels-master-list-of-all-lines/</x:v>
      </x:c>
      <x:c r="X145" s="82" t="str">
        <x:v>https://hotwheels.fandom.com/wiki/%2778_Porsche_935-78</x:v>
      </x:c>
    </x:row>
    <x:row r="146">
      <x:c r="A146" s="80" t="str">
        <x:v>Não</x:v>
      </x:c>
      <x:c r="B146" s="80" t="str">
        <x:v>2 — Completar aos poucos</x:v>
      </x:c>
      <x:c r="C146" s="81" t="n">
        <x:v>2026</x:v>
      </x:c>
      <x:c r="D146" s="80" t="str">
        <x:v>Porsche 911 Carrera T</x:v>
      </x:c>
      <x:c r="E146" s="80" t="str">
        <x:v>Porsche 911 Carrera T</x:v>
      </x:c>
      <x:c r="F146" s="82" t="str">
        <x:v>Factory Fresh — New for 2026! — **Walmart Exclusive**</x:v>
      </x:c>
      <x:c r="G146" s="80" t="str">
        <x:v>1/5</x:v>
      </x:c>
      <x:c r="H146" s="80" t="str">
        <x:v>015</x:v>
      </x:c>
      <x:c r="I146" s="83" t="str">
        <x:v>JJM31</x:v>
      </x:c>
      <x:c r="J146" s="80" t="str">
        <x:v>2nd Color - Zamac</x:v>
      </x:c>
      <x:c r="K146" s="82" t="str"/>
      <x:c r="L146" s="82" t="str"/>
      <x:c r="M146" s="82" t="str"/>
      <x:c r="N146" s="82" t="str"/>
      <x:c r="O146" s="82" t="str"/>
      <x:c r="P146" s="82" t="str"/>
      <x:c r="Q146" s="82" t="str">
        <x:v>ZAMAC, Walmart</x:v>
      </x:c>
      <x:c r="R146" s="82" t="str">
        <x:v>Mainline</x:v>
      </x:c>
      <x:c r="S146" s="82" t="str">
        <x:v>Rara</x:v>
      </x:c>
      <x:c r="T146" s="82" t="str">
        <x:v>2026 — listado; confirmar disponibilidade</x:v>
      </x:c>
      <x:c r="U146" s="82" t="str"/>
      <x:c r="V146" s="80" t="str">
        <x:v>Coleção principal (~1:64)</x:v>
      </x:c>
      <x:c r="W146" s="82" t="str">
        <x:v>https://hotwheels.fandom.com/wiki/List_of_2026_Hot_Wheels</x:v>
      </x:c>
      <x:c r="X146" s="82" t="str">
        <x:v>https://hotwheels.fandom.com/wiki/Porsche_911_Carrera_T</x:v>
      </x:c>
    </x:row>
    <x:row r="147">
      <x:c r="A147" s="80" t="str">
        <x:v>Não</x:v>
      </x:c>
      <x:c r="B147" s="80" t="str">
        <x:v>2 — Completar aos poucos</x:v>
      </x:c>
      <x:c r="C147" s="81" t="n">
        <x:v>2026</x:v>
      </x:c>
      <x:c r="D147" s="80" t="str">
        <x:v>Porsche 911 Carrera T</x:v>
      </x:c>
      <x:c r="E147" s="80" t="str">
        <x:v>Porsche 911 Carrera T</x:v>
      </x:c>
      <x:c r="F147" s="82" t="str">
        <x:v>Factory Fresh / 1/5</x:v>
      </x:c>
      <x:c r="G147" s="80" t="str"/>
      <x:c r="H147" s="80" t="str">
        <x:v>015/250</x:v>
      </x:c>
      <x:c r="I147" s="83" t="str">
        <x:v>JJM31</x:v>
      </x:c>
      <x:c r="J147" s="80" t="str">
        <x:v>ZAMAC</x:v>
      </x:c>
      <x:c r="K147" s="82" t="str">
        <x:v>Detailed taillights and trim, Porsche badge on frunk, blue Porsche side stripes with "HOTWHEELS" text, ZAMAC marking on door, black roof detailing, "FPY86" license plate, blue "911 Carrera T" wordmark on rear bumper</x:v>
      </x:c>
      <x:c r="L147" s="82" t="str">
        <x:v>Chrome Blue 10SP</x:v>
      </x:c>
      <x:c r="M147" s="82" t="str">
        <x:v>Black / / / Plastic</x:v>
      </x:c>
      <x:c r="N147" s="82" t="str">
        <x:v>Blue tint</x:v>
      </x:c>
      <x:c r="O147" s="82" t="str">
        <x:v>Black</x:v>
      </x:c>
      <x:c r="P147" s="82" t="str">
        <x:v>Malaysia</x:v>
      </x:c>
      <x:c r="Q147" s="82" t="str">
        <x:v>ZAMAC, Walmart</x:v>
      </x:c>
      <x:c r="R147" s="82" t="str">
        <x:v>Mainline</x:v>
      </x:c>
      <x:c r="S147" s="82" t="str">
        <x:v>Rara</x:v>
      </x:c>
      <x:c r="T147" s="82" t="str">
        <x:v>2026 — listado; confirmar disponibilidade</x:v>
      </x:c>
      <x:c r="U147" s="82" t="str">
        <x:v>New Model / Walmart Exclusive / Base code(s): U39N</x:v>
      </x:c>
      <x:c r="V147" s="80" t="str">
        <x:v>Coleção principal (~1:64)</x:v>
      </x:c>
      <x:c r="W147" s="82" t="str">
        <x:v>https://hotwheels.fandom.com/wiki/Porsche_911_Carrera_T</x:v>
      </x:c>
      <x:c r="X147" s="82" t="str">
        <x:v>https://hotwheels.fandom.com/wiki/Porsche_911_Carrera_T</x:v>
      </x:c>
    </x:row>
    <x:row r="148">
      <x:c r="A148" s="80" t="str">
        <x:v>Não</x:v>
      </x:c>
      <x:c r="B148" s="80" t="str">
        <x:v>2 — Completar aos poucos</x:v>
      </x:c>
      <x:c r="C148" s="81" t="n">
        <x:v>2026</x:v>
      </x:c>
      <x:c r="D148" s="80" t="str">
        <x:v>Porsche 911 Turbo Cabriolet</x:v>
      </x:c>
      <x:c r="E148" s="80" t="str">
        <x:v>Porsche 911 Turbo Cabriolet</x:v>
      </x:c>
      <x:c r="F148" s="82" t="str">
        <x:v>Red Edition — **Target Exclusive**</x:v>
      </x:c>
      <x:c r="G148" s="80" t="str">
        <x:v>5/12</x:v>
      </x:c>
      <x:c r="H148" s="80" t="str">
        <x:v>052</x:v>
      </x:c>
      <x:c r="I148" s="83" t="str">
        <x:v>JJM67</x:v>
      </x:c>
      <x:c r="J148" s="80" t="str">
        <x:v>2nd Color</x:v>
      </x:c>
      <x:c r="K148" s="82" t="str"/>
      <x:c r="L148" s="82" t="str"/>
      <x:c r="M148" s="82" t="str"/>
      <x:c r="N148" s="82" t="str"/>
      <x:c r="O148" s="82" t="str"/>
      <x:c r="P148" s="82" t="str"/>
      <x:c r="Q148" s="82" t="str">
        <x:v>Target / Red Edition</x:v>
      </x:c>
      <x:c r="R148" s="82" t="str">
        <x:v>Mainline</x:v>
      </x:c>
      <x:c r="S148" s="82" t="str">
        <x:v>Rara</x:v>
      </x:c>
      <x:c r="T148" s="82" t="str">
        <x:v>2026 — listado; confirmar disponibilidade</x:v>
      </x:c>
      <x:c r="U148" s="82" t="str"/>
      <x:c r="V148" s="80" t="str">
        <x:v>Coleção principal (~1:64)</x:v>
      </x:c>
      <x:c r="W148" s="82" t="str">
        <x:v>https://hotwheels.fandom.com/wiki/List_of_2026_Hot_Wheels</x:v>
      </x:c>
      <x:c r="X148" s="82" t="str">
        <x:v>https://hotwheels.fandom.com/wiki/Porsche_911_Turbo_Cabriolet</x:v>
      </x:c>
    </x:row>
    <x:row r="149">
      <x:c r="A149" s="80" t="str">
        <x:v>Não</x:v>
      </x:c>
      <x:c r="B149" s="80" t="str">
        <x:v>2 — Completar aos poucos</x:v>
      </x:c>
      <x:c r="C149" s="81" t="n">
        <x:v>2026</x:v>
      </x:c>
      <x:c r="D149" s="80" t="str">
        <x:v>Porsche 911 Turbo Cabriolet</x:v>
      </x:c>
      <x:c r="E149" s="80" t="str">
        <x:v>Porsche 911 Turbo Cabriolet</x:v>
      </x:c>
      <x:c r="F149" s="82" t="str">
        <x:v>Red Edition / 5/12</x:v>
      </x:c>
      <x:c r="G149" s="80" t="str"/>
      <x:c r="H149" s="80" t="str">
        <x:v>052/250</x:v>
      </x:c>
      <x:c r="I149" s="83" t="str"/>
      <x:c r="J149" s="80" t="str">
        <x:v>Guards Red</x:v>
      </x:c>
      <x:c r="K149" s="82" t="str">
        <x:v>Detailed headlights and taillight strip, "CABRIOLET" license plates, Porsche logo and black stripes on hood</x:v>
      </x:c>
      <x:c r="L149" s="82" t="str">
        <x:v>L4</x:v>
      </x:c>
      <x:c r="M149" s="82" t="str">
        <x:v>Black / / / Plastic</x:v>
      </x:c>
      <x:c r="N149" s="82" t="str">
        <x:v>Clear</x:v>
      </x:c>
      <x:c r="O149" s="82" t="str">
        <x:v>Black</x:v>
      </x:c>
      <x:c r="P149" s="82" t="str">
        <x:v>Malaysia</x:v>
      </x:c>
      <x:c r="Q149" s="82" t="str">
        <x:v>Target / Red Edition</x:v>
      </x:c>
      <x:c r="R149" s="82" t="str">
        <x:v>Mainline</x:v>
      </x:c>
      <x:c r="S149" s="82" t="str">
        <x:v>Rara</x:v>
      </x:c>
      <x:c r="T149" s="82" t="str">
        <x:v>2026 — listado; confirmar disponibilidade</x:v>
      </x:c>
      <x:c r="U149" s="82" t="str">
        <x:v>Target Exclusive / Base code(s):</x:v>
      </x:c>
      <x:c r="V149" s="80" t="str">
        <x:v>Coleção principal (~1:64)</x:v>
      </x:c>
      <x:c r="W149" s="82" t="str">
        <x:v>https://hotwheels.fandom.com/wiki/Porsche_911_Turbo_Cabriolet</x:v>
      </x:c>
      <x:c r="X149" s="82" t="str">
        <x:v>https://hotwheels.fandom.com/wiki/Porsche_911_Turbo_Cabriolet</x:v>
      </x:c>
    </x:row>
    <x:row r="150">
      <x:c r="A150" s="80" t="str">
        <x:v>Não</x:v>
      </x:c>
      <x:c r="B150" s="80" t="str">
        <x:v>2 — Completar aos poucos</x:v>
      </x:c>
      <x:c r="C150" s="81" t="n">
        <x:v>2026</x:v>
      </x:c>
      <x:c r="D150" s="80" t="str">
        <x:v>Porsche 917 LH</x:v>
      </x:c>
      <x:c r="E150" s="80" t="str">
        <x:v>Porsche 917 LH</x:v>
      </x:c>
      <x:c r="F150" s="82" t="str">
        <x:v>The Hot Ones / 4/8</x:v>
      </x:c>
      <x:c r="G150" s="80" t="str"/>
      <x:c r="H150" s="80" t="str"/>
      <x:c r="I150" s="83" t="str">
        <x:v>JKX43</x:v>
      </x:c>
      <x:c r="J150" s="80" t="str">
        <x:v>Spectraflame apple green</x:v>
      </x:c>
      <x:c r="K150" s="82" t="str">
        <x:v>Yellow &amp; black striping on sides, "9" on sides &amp; hood, "PORSCHE" on sides, Hot Wheels &amp; Good Year logos on sides, Good Year logo on rear, detailed taillights</x:v>
      </x:c>
      <x:c r="L150" s="82" t="str">
        <x:v>HO</x:v>
      </x:c>
      <x:c r="M150" s="82" t="str">
        <x:v>Yellow / / / Plastic</x:v>
      </x:c>
      <x:c r="N150" s="82" t="str">
        <x:v>Blue tint</x:v>
      </x:c>
      <x:c r="O150" s="82" t="str">
        <x:v>Gray</x:v>
      </x:c>
      <x:c r="P150" s="82" t="str">
        <x:v>Malaysia</x:v>
      </x:c>
      <x:c r="Q150" s="82" t="str">
        <x:v>Target / Red Edition</x:v>
      </x:c>
      <x:c r="R150" s="82" t="str">
        <x:v>Outra linha</x:v>
      </x:c>
      <x:c r="S150" s="82" t="str">
        <x:v>Rara</x:v>
      </x:c>
      <x:c r="T150" s="82" t="str">
        <x:v>2026 — listado; confirmar disponibilidade</x:v>
      </x:c>
      <x:c r="U150" s="82" t="str">
        <x:v>Target Exclusive / Base code(s): U30N, U41N, U43N</x:v>
      </x:c>
      <x:c r="V150" s="80" t="str">
        <x:v>Coleção principal (~1:64)</x:v>
      </x:c>
      <x:c r="W150" s="82" t="str">
        <x:v>https://hotwheels.fandom.com/wiki/Porsche_917_LH</x:v>
      </x:c>
      <x:c r="X150" s="82" t="str">
        <x:v>https://hotwheels.fandom.com/wiki/Porsche_917_LH</x:v>
      </x:c>
    </x:row>
    <x:row r="151">
      <x:c r="A151" s="80" t="str">
        <x:v>Não</x:v>
      </x:c>
      <x:c r="B151" s="80" t="str">
        <x:v>2 — Completar aos poucos</x:v>
      </x:c>
      <x:c r="C151" s="81" t="n">
        <x:v>2026</x:v>
      </x:c>
      <x:c r="D151" s="80" t="str">
        <x:v>Porsche Boxster Spyder</x:v>
      </x:c>
      <x:c r="E151" s="80" t="str">
        <x:v>Porsche Boxster Spyder</x:v>
      </x:c>
      <x:c r="F151" s="82" t="str">
        <x:v>ZAMAC Themed Multipack</x:v>
      </x:c>
      <x:c r="G151" s="80" t="str"/>
      <x:c r="H151" s="80" t="str"/>
      <x:c r="I151" s="83" t="str">
        <x:v>JLB26</x:v>
      </x:c>
      <x:c r="J151" s="80" t="str">
        <x:v>ZAMAC</x:v>
      </x:c>
      <x:c r="K151" s="82" t="str">
        <x:v>Detailed headlights, taillights, and trim, red Porsche striping on sides, "Boxster S" license plate</x:v>
      </x:c>
      <x:c r="L151" s="82" t="str">
        <x:v>E5</x:v>
      </x:c>
      <x:c r="M151" s="82" t="str">
        <x:v>Black / / / Plastic</x:v>
      </x:c>
      <x:c r="N151" s="82" t="str">
        <x:v>Smoke tint</x:v>
      </x:c>
      <x:c r="O151" s="82" t="str">
        <x:v>Red</x:v>
      </x:c>
      <x:c r="P151" s="82" t="str">
        <x:v>Thailand</x:v>
      </x:c>
      <x:c r="Q151" s="82" t="str">
        <x:v>ZAMAC</x:v>
      </x:c>
      <x:c r="R151" s="82" t="str">
        <x:v>Temática / multipack</x:v>
      </x:c>
      <x:c r="S151" s="82" t="str">
        <x:v>Rara</x:v>
      </x:c>
      <x:c r="T151" s="82" t="str">
        <x:v>2026 — listado; confirmar disponibilidade</x:v>
      </x:c>
      <x:c r="U151" s="82" t="str">
        <x:v>Base code(s):</x:v>
      </x:c>
      <x:c r="V151" s="80" t="str">
        <x:v>Coleção principal (~1:64)</x:v>
      </x:c>
      <x:c r="W151" s="82" t="str">
        <x:v>https://hotwheels.fandom.com/wiki/Porsche_Boxster_Spyder</x:v>
      </x:c>
      <x:c r="X151" s="82" t="str">
        <x:v>https://hotwheels.fandom.com/wiki/Porsche_Boxster_Spyder</x:v>
      </x:c>
    </x:row>
    <x:row r="152">
      <x:c r="A152" s="80" t="str">
        <x:v>Não</x:v>
      </x:c>
      <x:c r="B152" s="80" t="str">
        <x:v>2 — Completar aos poucos</x:v>
      </x:c>
      <x:c r="C152" s="81" t="n">
        <x:v>2025</x:v>
      </x:c>
      <x:c r="D152" s="80" t="str">
        <x:v>Porsche 911 GT3</x:v>
      </x:c>
      <x:c r="E152" s="80" t="str">
        <x:v>Porsche 911 GT3</x:v>
      </x:c>
      <x:c r="F152" s="82" t="str">
        <x:v>Collector Edition</x:v>
      </x:c>
      <x:c r="G152" s="80" t="str"/>
      <x:c r="H152" s="80" t="str"/>
      <x:c r="I152" s="83" t="str">
        <x:v>JCB40</x:v>
      </x:c>
      <x:c r="J152" s="80" t="str">
        <x:v>Spectraflame Green</x:v>
      </x:c>
      <x:c r="K152" s="82" t="str">
        <x:v>Detailed taillights, trim and badging, yellow and black striping on front and sides, white stripe, "5", and Hot Wheels logo on sides</x:v>
      </x:c>
      <x:c r="L152" s="82" t="str">
        <x:v>White RR6SPM</x:v>
      </x:c>
      <x:c r="M152" s="82" t="str">
        <x:v>Gloss Black / / / Metal</x:v>
      </x:c>
      <x:c r="N152" s="82" t="str">
        <x:v>Smoke tint</x:v>
      </x:c>
      <x:c r="O152" s="82" t="str">
        <x:v>Black</x:v>
      </x:c>
      <x:c r="P152" s="82" t="str">
        <x:v>Malaysia</x:v>
      </x:c>
      <x:c r="Q152" s="82" t="str">
        <x:v>Target / Red Edition, Mail-in / Collector Edition</x:v>
      </x:c>
      <x:c r="R152" s="82" t="str">
        <x:v>Outra linha</x:v>
      </x:c>
      <x:c r="S152" s="82" t="str">
        <x:v>Rara</x:v>
      </x:c>
      <x:c r="T152" s="82" t="str">
        <x:v>Lançado</x:v>
      </x:c>
      <x:c r="U152" s="82" t="str">
        <x:v>Target Mail-In / Base code(s): U19N</x:v>
      </x:c>
      <x:c r="V152" s="80" t="str">
        <x:v>Coleção principal (~1:64)</x:v>
      </x:c>
      <x:c r="W152" s="82" t="str">
        <x:v>https://hotwheels.fandom.com/wiki/Porsche_911_GT3</x:v>
      </x:c>
      <x:c r="X152" s="82" t="str">
        <x:v>https://hotwheels.fandom.com/wiki/Porsche_911_GT3</x:v>
      </x:c>
    </x:row>
    <x:row r="153">
      <x:c r="A153" s="80" t="str">
        <x:v>Não</x:v>
      </x:c>
      <x:c r="B153" s="80" t="str">
        <x:v>2 — Completar aos poucos</x:v>
      </x:c>
      <x:c r="C153" s="81" t="n">
        <x:v>2025</x:v>
      </x:c>
      <x:c r="D153" s="80" t="str">
        <x:v>Porsche 911 Turbo 3.6 (964)</x:v>
      </x:c>
      <x:c r="E153" s="80" t="str">
        <x:v>Porsche 911 Turbo 3.6 (964)</x:v>
      </x:c>
      <x:c r="F153" s="82" t="str">
        <x:v>Employee Exclusive</x:v>
      </x:c>
      <x:c r="G153" s="80" t="str"/>
      <x:c r="H153" s="80" t="str"/>
      <x:c r="I153" s="83" t="str">
        <x:v>JHF76</x:v>
      </x:c>
      <x:c r="J153" s="80" t="str">
        <x:v>ZAMAC</x:v>
      </x:c>
      <x:c r="K153" s="82" t="str">
        <x:v>Detailed headlights &amp; taillights, "Turbo 3.6" on rear, "964 TURBO" license plate, German flag, "24" on doors and sides, sponsors on doors, Hot Wheels, Matchbox, Cars and Thomas and Friends logos on rear window</x:v>
      </x:c>
      <x:c r="L153" s="82" t="str">
        <x:v>RRA</x:v>
      </x:c>
      <x:c r="M153" s="82" t="str">
        <x:v>Gray / / / Plastic</x:v>
      </x:c>
      <x:c r="N153" s="82" t="str">
        <x:v>Smoke tint</x:v>
      </x:c>
      <x:c r="O153" s="82" t="str">
        <x:v>Dark red</x:v>
      </x:c>
      <x:c r="P153" s="82" t="str">
        <x:v>Malaysia</x:v>
      </x:c>
      <x:c r="Q153" s="82" t="str">
        <x:v>ZAMAC</x:v>
      </x:c>
      <x:c r="R153" s="82" t="str">
        <x:v>Outra linha</x:v>
      </x:c>
      <x:c r="S153" s="82" t="str">
        <x:v>Rara</x:v>
      </x:c>
      <x:c r="T153" s="82" t="str">
        <x:v>Lançado</x:v>
      </x:c>
      <x:c r="U153" s="82" t="str"/>
      <x:c r="V153" s="80" t="str">
        <x:v>Coleção principal (~1:64)</x:v>
      </x:c>
      <x:c r="W153" s="82" t="str">
        <x:v>https://hotwheels.fandom.com/wiki/Porsche_911_Turbo_3.6_(964)</x:v>
      </x:c>
      <x:c r="X153" s="82" t="str">
        <x:v>https://hotwheels.fandom.com/wiki/Porsche_911_Turbo_3.6_(964)</x:v>
      </x:c>
    </x:row>
    <x:row r="154">
      <x:c r="A154" s="80" t="str">
        <x:v>Não</x:v>
      </x:c>
      <x:c r="B154" s="80" t="str">
        <x:v>2 — Completar aos poucos</x:v>
      </x:c>
      <x:c r="C154" s="81" t="n">
        <x:v>2025</x:v>
      </x:c>
      <x:c r="D154" s="80" t="str">
        <x:v>Porsche 917 LH</x:v>
      </x:c>
      <x:c r="E154" s="80" t="str">
        <x:v>Porsche 917 LH</x:v>
      </x:c>
      <x:c r="F154" s="82" t="str">
        <x:v>The Hot Ones / 7/8</x:v>
      </x:c>
      <x:c r="G154" s="80" t="str"/>
      <x:c r="H154" s="80" t="str"/>
      <x:c r="I154" s="83" t="str">
        <x:v>JBY75</x:v>
      </x:c>
      <x:c r="J154" s="80" t="str">
        <x:v>Spectraflame Gold</x:v>
      </x:c>
      <x:c r="K154" s="82" t="str">
        <x:v>Red &amp; black striping on sides &amp; along top, "17" on sides &amp; hood, "PORSCHE" on sides &amp; spoiler, Hot Wheels &amp; Firestone logos on sides, Porsche logo on rear, detailed taillights</x:v>
      </x:c>
      <x:c r="L154" s="82" t="str">
        <x:v>GHO</x:v>
      </x:c>
      <x:c r="M154" s="82" t="str">
        <x:v>Red / / / Metal</x:v>
      </x:c>
      <x:c r="N154" s="82" t="str">
        <x:v>Blue tint</x:v>
      </x:c>
      <x:c r="O154" s="82" t="str">
        <x:v>Black</x:v>
      </x:c>
      <x:c r="P154" s="82" t="str">
        <x:v>Malaysia</x:v>
      </x:c>
      <x:c r="Q154" s="82" t="str">
        <x:v>Target / Red Edition</x:v>
      </x:c>
      <x:c r="R154" s="82" t="str">
        <x:v>Outra linha</x:v>
      </x:c>
      <x:c r="S154" s="82" t="str">
        <x:v>Rara</x:v>
      </x:c>
      <x:c r="T154" s="82" t="str">
        <x:v>Lançado</x:v>
      </x:c>
      <x:c r="U154" s="82" t="str">
        <x:v>Target Exclusive / Base code(s): T51N, U06N, U18N, U22N, U26N</x:v>
      </x:c>
      <x:c r="V154" s="80" t="str">
        <x:v>Coleção principal (~1:64)</x:v>
      </x:c>
      <x:c r="W154" s="82" t="str">
        <x:v>https://hotwheels.fandom.com/wiki/Porsche_917_LH</x:v>
      </x:c>
      <x:c r="X154" s="82" t="str">
        <x:v>https://hotwheels.fandom.com/wiki/Porsche_917_LH</x:v>
      </x:c>
    </x:row>
    <x:row r="155">
      <x:c r="A155" s="80" t="str">
        <x:v>Não</x:v>
      </x:c>
      <x:c r="B155" s="80" t="str">
        <x:v>2 — Completar aos poucos</x:v>
      </x:c>
      <x:c r="C155" s="81" t="n">
        <x:v>2025</x:v>
      </x:c>
      <x:c r="D155" s="80" t="str">
        <x:v>Porsche 928S Safari</x:v>
      </x:c>
      <x:c r="E155" s="80" t="str">
        <x:v>Porsche 928S Safari</x:v>
      </x:c>
      <x:c r="F155" s="82" t="str">
        <x:v>ZAMAC Themed Multipack</x:v>
      </x:c>
      <x:c r="G155" s="80" t="str"/>
      <x:c r="H155" s="80" t="str"/>
      <x:c r="I155" s="83" t="str">
        <x:v>JBY80</x:v>
      </x:c>
      <x:c r="J155" s="80" t="str">
        <x:v>ZAMAC</x:v>
      </x:c>
      <x:c r="K155" s="82" t="str">
        <x:v>Black, Red &amp; Yellow, German style stripes; Detailed headlights (Off-road searchlights) &amp; taillights; Racing decals "2" on hood &amp; sides; Hot Wheels, "Porsche", Bilstein, BBS logos on sides</x:v>
      </x:c>
      <x:c r="L155" s="82" t="str">
        <x:v>Red chrome S5</x:v>
      </x:c>
      <x:c r="M155" s="82" t="str">
        <x:v>Black / / / Plastic</x:v>
      </x:c>
      <x:c r="N155" s="82" t="str">
        <x:v>Smoke tint</x:v>
      </x:c>
      <x:c r="O155" s="82" t="str">
        <x:v>Black</x:v>
      </x:c>
      <x:c r="P155" s="82" t="str">
        <x:v>Thailand</x:v>
      </x:c>
      <x:c r="Q155" s="82" t="str">
        <x:v>ZAMAC</x:v>
      </x:c>
      <x:c r="R155" s="82" t="str">
        <x:v>Temática / multipack</x:v>
      </x:c>
      <x:c r="S155" s="82" t="str">
        <x:v>Rara</x:v>
      </x:c>
      <x:c r="T155" s="82" t="str">
        <x:v>Lançado</x:v>
      </x:c>
      <x:c r="U155" s="82" t="str">
        <x:v>Base code(s):</x:v>
      </x:c>
      <x:c r="V155" s="80" t="str">
        <x:v>Coleção principal (~1:64)</x:v>
      </x:c>
      <x:c r="W155" s="82" t="str">
        <x:v>https://hotwheels.fandom.com/wiki/Porsche_928S_Safari</x:v>
      </x:c>
      <x:c r="X155" s="82" t="str">
        <x:v>https://hotwheels.fandom.com/wiki/Porsche_928S_Safari</x:v>
      </x:c>
    </x:row>
    <x:row r="156">
      <x:c r="A156" s="80" t="str">
        <x:v>Não</x:v>
      </x:c>
      <x:c r="B156" s="80" t="str">
        <x:v>2 — Completar aos poucos</x:v>
      </x:c>
      <x:c r="C156" s="81" t="n">
        <x:v>2025</x:v>
      </x:c>
      <x:c r="D156" s="80" t="str">
        <x:v>Porsche 935 (2021)</x:v>
      </x:c>
      <x:c r="E156" s="80" t="str">
        <x:v>Porsche 935</x:v>
      </x:c>
      <x:c r="F156" s="82" t="str">
        <x:v>Replay the Classics Multipack</x:v>
      </x:c>
      <x:c r="G156" s="80" t="str"/>
      <x:c r="H156" s="80" t="str"/>
      <x:c r="I156" s="83" t="str">
        <x:v>JHF01</x:v>
      </x:c>
      <x:c r="J156" s="80" t="str">
        <x:v>ZAMAC</x:v>
      </x:c>
      <x:c r="K156" s="82" t="str">
        <x:v>Mattel 80th Anniversary logo, Porsche wordmarks and logos on sides</x:v>
      </x:c>
      <x:c r="L156" s="82" t="str">
        <x:v>Chrome Red MM5</x:v>
      </x:c>
      <x:c r="M156" s="82" t="str">
        <x:v>Black / / / Plastic</x:v>
      </x:c>
      <x:c r="N156" s="82" t="str">
        <x:v>Smoke tint</x:v>
      </x:c>
      <x:c r="O156" s="82" t="str">
        <x:v>Black</x:v>
      </x:c>
      <x:c r="P156" s="82" t="str">
        <x:v>Thailand</x:v>
      </x:c>
      <x:c r="Q156" s="82" t="str">
        <x:v>ZAMAC</x:v>
      </x:c>
      <x:c r="R156" s="82" t="str">
        <x:v>Temática / multipack</x:v>
      </x:c>
      <x:c r="S156" s="82" t="str">
        <x:v>Rara</x:v>
      </x:c>
      <x:c r="T156" s="82" t="str">
        <x:v>Lançado</x:v>
      </x:c>
      <x:c r="U156" s="82" t="str">
        <x:v>Base code(s):</x:v>
      </x:c>
      <x:c r="V156" s="80" t="str">
        <x:v>Coleção principal (~1:64)</x:v>
      </x:c>
      <x:c r="W156" s="82" t="str">
        <x:v>https://hotwheels.fandom.com/wiki/Porsche_935_(2021)</x:v>
      </x:c>
      <x:c r="X156" s="82" t="str">
        <x:v>https://hotwheels.fandom.com/wiki/Porsche_935_(2021)</x:v>
      </x:c>
    </x:row>
    <x:row r="157">
      <x:c r="A157" s="80" t="str">
        <x:v>Não</x:v>
      </x:c>
      <x:c r="B157" s="80" t="str">
        <x:v>2 — Completar aos poucos</x:v>
      </x:c>
      <x:c r="C157" s="81" t="n">
        <x:v>2024</x:v>
      </x:c>
      <x:c r="D157" s="80" t="str">
        <x:v>'78 Porsche 935-78</x:v>
      </x:c>
      <x:c r="E157" s="80" t="str">
        <x:v>'78 Porsche 935-78</x:v>
      </x:c>
      <x:c r="F157" s="82" t="str">
        <x:v>Ultra Hots / 4/8</x:v>
      </x:c>
      <x:c r="G157" s="80" t="str"/>
      <x:c r="H157" s="80" t="str"/>
      <x:c r="I157" s="83" t="str">
        <x:v>HRX11</x:v>
      </x:c>
      <x:c r="J157" s="80" t="str">
        <x:v>Clearcoat ZAMAC</x:v>
      </x:c>
      <x:c r="K157" s="82" t="str">
        <x:v>Afterburner flame tampos on sides &amp; hood, Hot Wheels logo &amp; black dot on sides, black hood &amp; wing, "PORSCHE" on hood, windshield, &amp; wing</x:v>
      </x:c>
      <x:c r="L157" s="82" t="str">
        <x:v>GUH</x:v>
      </x:c>
      <x:c r="M157" s="82" t="str">
        <x:v>Black / / / Metal</x:v>
      </x:c>
      <x:c r="N157" s="82" t="str">
        <x:v>Smoke tint</x:v>
      </x:c>
      <x:c r="O157" s="82" t="str">
        <x:v>Black</x:v>
      </x:c>
      <x:c r="P157" s="82" t="str">
        <x:v>Malaysia</x:v>
      </x:c>
      <x:c r="Q157" s="82" t="str">
        <x:v>ZAMAC</x:v>
      </x:c>
      <x:c r="R157" s="82" t="str">
        <x:v>Outra linha</x:v>
      </x:c>
      <x:c r="S157" s="82" t="str">
        <x:v>Rara</x:v>
      </x:c>
      <x:c r="T157" s="82" t="str">
        <x:v>Lançado</x:v>
      </x:c>
      <x:c r="U157" s="82" t="str"/>
      <x:c r="V157" s="80" t="str">
        <x:v>Coleção principal (~1:64)</x:v>
      </x:c>
      <x:c r="W157" s="82" t="str">
        <x:v>https://hotwheels.fandom.com/wiki/%2778_Porsche_935-78</x:v>
      </x:c>
      <x:c r="X157" s="82" t="str">
        <x:v>https://hotwheels.fandom.com/wiki/%2778_Porsche_935-78</x:v>
      </x:c>
    </x:row>
    <x:row r="158">
      <x:c r="A158" s="80" t="str">
        <x:v>Não</x:v>
      </x:c>
      <x:c r="B158" s="80" t="str">
        <x:v>2 — Completar aos poucos</x:v>
      </x:c>
      <x:c r="C158" s="81" t="n">
        <x:v>2024</x:v>
      </x:c>
      <x:c r="D158" s="80" t="str">
        <x:v>Porsche 356 Outlaw</x:v>
      </x:c>
      <x:c r="E158" s="80" t="str">
        <x:v>Porsche 356 Outlaw</x:v>
      </x:c>
      <x:c r="F158" s="82" t="str">
        <x:v>Collector Edition</x:v>
      </x:c>
      <x:c r="G158" s="80" t="str"/>
      <x:c r="H158" s="80" t="str"/>
      <x:c r="I158" s="83" t="str">
        <x:v>HTF95</x:v>
      </x:c>
      <x:c r="J158" s="80" t="str">
        <x:v>Spectraflame red</x:v>
      </x:c>
      <x:c r="K158" s="82" t="str">
        <x:v>Hot Wheels logo golden, White "2" &amp; stripes on sides &amp; storage hood, Trunk straps, Headlights, lower lights on front, taillights &amp; Porsche GS on rear</x:v>
      </x:c>
      <x:c r="L158" s="82" t="str">
        <x:v>C4SPRR</x:v>
      </x:c>
      <x:c r="M158" s="82" t="str">
        <x:v>ZAMAC</x:v>
      </x:c>
      <x:c r="N158" s="82" t="str">
        <x:v>Clear</x:v>
      </x:c>
      <x:c r="O158" s="82" t="str">
        <x:v>Black</x:v>
      </x:c>
      <x:c r="P158" s="82" t="str">
        <x:v>Malaysia</x:v>
      </x:c>
      <x:c r="Q158" s="82" t="str">
        <x:v>Kroger, Mail-in / Collector Edition</x:v>
      </x:c>
      <x:c r="R158" s="82" t="str">
        <x:v>Outra linha</x:v>
      </x:c>
      <x:c r="S158" s="82" t="str">
        <x:v>Rara</x:v>
      </x:c>
      <x:c r="T158" s="82" t="str">
        <x:v>Lançado</x:v>
      </x:c>
      <x:c r="U158" s="82" t="str">
        <x:v>Kroger Mail-In / Base code(s): S40</x:v>
      </x:c>
      <x:c r="V158" s="80" t="str">
        <x:v>Coleção principal (~1:64)</x:v>
      </x:c>
      <x:c r="W158" s="82" t="str">
        <x:v>https://hotwheels.fandom.com/wiki/Porsche_356_Outlaw</x:v>
      </x:c>
      <x:c r="X158" s="82" t="str">
        <x:v>https://hotwheels.fandom.com/wiki/Porsche_356_Outlaw</x:v>
      </x:c>
    </x:row>
    <x:row r="159">
      <x:c r="A159" s="80" t="str">
        <x:v>Não</x:v>
      </x:c>
      <x:c r="B159" s="80" t="str">
        <x:v>2 — Completar aos poucos</x:v>
      </x:c>
      <x:c r="C159" s="81" t="n">
        <x:v>2024</x:v>
      </x:c>
      <x:c r="D159" s="80" t="str">
        <x:v>Porsche 911 Carrera Clip</x:v>
      </x:c>
      <x:c r="E159" s="80" t="str">
        <x:v>Porsche 911 Carrera Clip</x:v>
      </x:c>
      <x:c r="F159" s="82" t="str">
        <x:v>Experimotors / 5/5</x:v>
      </x:c>
      <x:c r="G159" s="80" t="str"/>
      <x:c r="H159" s="80" t="str">
        <x:v>134/250</x:v>
      </x:c>
      <x:c r="I159" s="83" t="str">
        <x:v>HRY64</x:v>
      </x:c>
      <x:c r="J159" s="80" t="str">
        <x:v>ZAMAC</x:v>
      </x:c>
      <x:c r="K159" s="82" t="str">
        <x:v>Porsche badge on hood, black "PORSCHE" stripe on right side, "HOTWHEELS" stripe on left side, Hot Wheels logo on sides</x:v>
      </x:c>
      <x:c r="L159" s="82" t="str"/>
      <x:c r="M159" s="82" t="str">
        <x:v>ZAMAC</x:v>
      </x:c>
      <x:c r="N159" s="82" t="str"/>
      <x:c r="O159" s="82" t="str"/>
      <x:c r="P159" s="82" t="str">
        <x:v>Malaysia</x:v>
      </x:c>
      <x:c r="Q159" s="82" t="str">
        <x:v>ZAMAC</x:v>
      </x:c>
      <x:c r="R159" s="82" t="str">
        <x:v>Mainline</x:v>
      </x:c>
      <x:c r="S159" s="82" t="str">
        <x:v>Rara</x:v>
      </x:c>
      <x:c r="T159" s="82" t="str">
        <x:v>Lançado</x:v>
      </x:c>
      <x:c r="U159" s="82" t="str">
        <x:v>Named Porsche 911 Carrera / New Model / Base code(s): S50, S51, T01, T02, T03</x:v>
      </x:c>
      <x:c r="V159" s="80" t="str">
        <x:v>Coleção principal (~1:64)</x:v>
      </x:c>
      <x:c r="W159" s="82" t="str">
        <x:v>https://hotwheels.fandom.com/wiki/Porsche_911_Carrera_Clip</x:v>
      </x:c>
      <x:c r="X159" s="82" t="str">
        <x:v>https://hotwheels.fandom.com/wiki/Porsche_911_Carrera_Clip</x:v>
      </x:c>
    </x:row>
    <x:row r="160">
      <x:c r="A160" s="80" t="str">
        <x:v>Não</x:v>
      </x:c>
      <x:c r="B160" s="80" t="str">
        <x:v>2 — Completar aos poucos</x:v>
      </x:c>
      <x:c r="C160" s="81" t="n">
        <x:v>2024</x:v>
      </x:c>
      <x:c r="D160" s="80" t="str">
        <x:v>Porsche 911 Turbo 3.6 (964)</x:v>
      </x:c>
      <x:c r="E160" s="80" t="str">
        <x:v>Porsche 911 Turbo 3.6 (964)</x:v>
      </x:c>
      <x:c r="F160" s="82" t="str">
        <x:v>Red Edition / 12/12</x:v>
      </x:c>
      <x:c r="G160" s="80" t="str"/>
      <x:c r="H160" s="80" t="str">
        <x:v>199/250</x:v>
      </x:c>
      <x:c r="I160" s="83" t="str">
        <x:v>HTF84</x:v>
      </x:c>
      <x:c r="J160" s="80" t="str">
        <x:v>White</x:v>
      </x:c>
      <x:c r="K160" s="82" t="str">
        <x:v>Detailed headlights &amp; taillights, "Turbo 3.6" on rear, "964 TURBO" license plate</x:v>
      </x:c>
      <x:c r="L160" s="82" t="str">
        <x:v>Chrome Red Micro5SP</x:v>
      </x:c>
      <x:c r="M160" s="82" t="str">
        <x:v>Gray / / / Plastic</x:v>
      </x:c>
      <x:c r="N160" s="82" t="str">
        <x:v>Smoke tint</x:v>
      </x:c>
      <x:c r="O160" s="82" t="str">
        <x:v>Dark Red</x:v>
      </x:c>
      <x:c r="P160" s="82" t="str">
        <x:v>Malaysia</x:v>
      </x:c>
      <x:c r="Q160" s="82" t="str">
        <x:v>Target / Red Edition</x:v>
      </x:c>
      <x:c r="R160" s="82" t="str">
        <x:v>Mainline</x:v>
      </x:c>
      <x:c r="S160" s="82" t="str">
        <x:v>Rara</x:v>
      </x:c>
      <x:c r="T160" s="82" t="str">
        <x:v>Lançado</x:v>
      </x:c>
      <x:c r="U160" s="82" t="str"/>
      <x:c r="V160" s="80" t="str">
        <x:v>Coleção principal (~1:64)</x:v>
      </x:c>
      <x:c r="W160" s="82" t="str">
        <x:v>https://hotwheels.fandom.com/wiki/Porsche_911_Turbo_3.6_(964)</x:v>
      </x:c>
      <x:c r="X160" s="82" t="str">
        <x:v>https://hotwheels.fandom.com/wiki/Porsche_911_Turbo_3.6_(964)</x:v>
      </x:c>
    </x:row>
    <x:row r="161">
      <x:c r="A161" s="80" t="str">
        <x:v>Não</x:v>
      </x:c>
      <x:c r="B161" s="80" t="str">
        <x:v>2 — Completar aos poucos</x:v>
      </x:c>
      <x:c r="C161" s="81" t="n">
        <x:v>2024</x:v>
      </x:c>
      <x:c r="D161" s="80" t="str">
        <x:v>Porsche 917KH</x:v>
      </x:c>
      <x:c r="E161" s="80" t="str">
        <x:v>Porsche 917KH</x:v>
      </x:c>
      <x:c r="F161" s="82" t="str">
        <x:v>NFT Garage (Series 6) #7</x:v>
      </x:c>
      <x:c r="G161" s="80" t="str"/>
      <x:c r="H161" s="80" t="str"/>
      <x:c r="I161" s="83" t="str">
        <x:v>HXN06</x:v>
      </x:c>
      <x:c r="J161" s="80" t="str">
        <x:v>ZAMAC</x:v>
      </x:c>
      <x:c r="K161" s="82" t="str">
        <x:v>Gumball "1", "PORSCHE", &amp; blue, orange, &amp; blacks stripes on sides &amp; top; "HWNFTG", Hot Wheels logo, &amp; white stripes on sides; painted taillights</x:v>
      </x:c>
      <x:c r="L161" s="82" t="str">
        <x:v>Orange rim RR5SPM</x:v>
      </x:c>
      <x:c r="M161" s="82" t="str">
        <x:v>Black / Metal</x:v>
      </x:c>
      <x:c r="N161" s="82" t="str">
        <x:v>Light smoke tint</x:v>
      </x:c>
      <x:c r="O161" s="82" t="str">
        <x:v>Chrome</x:v>
      </x:c>
      <x:c r="P161" s="82" t="str">
        <x:v>Malaysia</x:v>
      </x:c>
      <x:c r="Q161" s="82" t="str">
        <x:v>ZAMAC</x:v>
      </x:c>
      <x:c r="R161" s="82" t="str">
        <x:v>Outra linha</x:v>
      </x:c>
      <x:c r="S161" s="82" t="str">
        <x:v>Rara</x:v>
      </x:c>
      <x:c r="T161" s="82" t="str">
        <x:v>Lançado</x:v>
      </x:c>
      <x:c r="U161" s="82" t="str">
        <x:v>Base code(s): S41</x:v>
      </x:c>
      <x:c r="V161" s="80" t="str">
        <x:v>Coleção principal (~1:64)</x:v>
      </x:c>
      <x:c r="W161" s="82" t="str">
        <x:v>https://hotwheels.fandom.com/wiki/Porsche_917KH</x:v>
      </x:c>
      <x:c r="X161" s="82" t="str">
        <x:v>https://hotwheels.fandom.com/wiki/Porsche_917KH</x:v>
      </x:c>
    </x:row>
    <x:row r="162">
      <x:c r="A162" s="80" t="str">
        <x:v>Não</x:v>
      </x:c>
      <x:c r="B162" s="80" t="str">
        <x:v>2 — Completar aos poucos</x:v>
      </x:c>
      <x:c r="C162" s="81" t="n">
        <x:v>2024</x:v>
      </x:c>
      <x:c r="D162" s="80" t="str">
        <x:v>Porsche 928S Safari</x:v>
      </x:c>
      <x:c r="E162" s="80" t="str">
        <x:v>Porsche 928S Safari</x:v>
      </x:c>
      <x:c r="F162" s="82" t="str">
        <x:v>HW Dirt / 10/10</x:v>
      </x:c>
      <x:c r="G162" s="80" t="str"/>
      <x:c r="H162" s="80" t="str">
        <x:v>245/250</x:v>
      </x:c>
      <x:c r="I162" s="83" t="str">
        <x:v>HTF29</x:v>
      </x:c>
      <x:c r="J162" s="80" t="str">
        <x:v>Red</x:v>
      </x:c>
      <x:c r="K162" s="82" t="str">
        <x:v>Porsche badging, yellow and black striping, Michelin logo on hood, Sparco logo on fenders, Hot Wheels and Porsche logos, "8" on doors, Michelin and Treasure Hunt flame logos on rear fenders</x:v>
      </x:c>
      <x:c r="L162" s="82" t="str">
        <x:v>"Muddy" 5SP</x:v>
      </x:c>
      <x:c r="M162" s="82" t="str">
        <x:v>Black / / / Plastic</x:v>
      </x:c>
      <x:c r="N162" s="82" t="str">
        <x:v>Smoke tint</x:v>
      </x:c>
      <x:c r="O162" s="82" t="str">
        <x:v>Black</x:v>
      </x:c>
      <x:c r="P162" s="82" t="str">
        <x:v>Malaysia</x:v>
      </x:c>
      <x:c r="Q162" s="82" t="str">
        <x:v>Treasure Hunt</x:v>
      </x:c>
      <x:c r="R162" s="82" t="str">
        <x:v>Mainline especial</x:v>
      </x:c>
      <x:c r="S162" s="82" t="str">
        <x:v>Rara</x:v>
      </x:c>
      <x:c r="T162" s="82" t="str">
        <x:v>Lançado</x:v>
      </x:c>
      <x:c r="U162" s="82" t="str">
        <x:v>Treasure Hunt / Base code(s): T29, T30, T31</x:v>
      </x:c>
      <x:c r="V162" s="80" t="str">
        <x:v>Coleção principal (~1:64)</x:v>
      </x:c>
      <x:c r="W162" s="82" t="str">
        <x:v>https://hotwheels.fandom.com/wiki/Porsche_928S_Safari</x:v>
      </x:c>
      <x:c r="X162" s="82" t="str">
        <x:v>https://hotwheels.fandom.com/wiki/Porsche_928S_Safari</x:v>
      </x:c>
    </x:row>
    <x:row r="163">
      <x:c r="A163" s="80" t="str">
        <x:v>Não</x:v>
      </x:c>
      <x:c r="B163" s="80" t="str">
        <x:v>2 — Completar aos poucos</x:v>
      </x:c>
      <x:c r="C163" s="81" t="n">
        <x:v>2023</x:v>
      </x:c>
      <x:c r="D163" s="80" t="str">
        <x:v>'71 Porsche 911</x:v>
      </x:c>
      <x:c r="E163" s="80" t="str">
        <x:v>'71 Porsche 911</x:v>
      </x:c>
      <x:c r="F163" s="82" t="str">
        <x:v>Retro Racers / 9/10</x:v>
      </x:c>
      <x:c r="G163" s="80" t="str"/>
      <x:c r="H163" s="80" t="str">
        <x:v>126/250</x:v>
      </x:c>
      <x:c r="I163" s="83" t="str">
        <x:v>HKH06</x:v>
      </x:c>
      <x:c r="J163" s="80" t="str">
        <x:v>White</x:v>
      </x:c>
      <x:c r="K163" s="82" t="str">
        <x:v>Red hood and trunk. #277, "MW", Porsche logo on hood and sides. "MOMO" on hood. Porsche striping, "fifteen52", "UA", "R8", "GB" on sides. Urban Outlaw on roof and sides. "PORSCHE" on trunk.</x:v>
      </x:c>
      <x:c r="L163" s="82" t="str">
        <x:v>Chrome lip, Black 5SP</x:v>
      </x:c>
      <x:c r="M163" s="82" t="str">
        <x:v>Blue / / / Plastic</x:v>
      </x:c>
      <x:c r="N163" s="82" t="str">
        <x:v>Clear</x:v>
      </x:c>
      <x:c r="O163" s="82" t="str">
        <x:v>Black</x:v>
      </x:c>
      <x:c r="P163" s="82" t="str">
        <x:v>Malaysia</x:v>
      </x:c>
      <x:c r="Q163" s="82" t="str"/>
      <x:c r="R163" s="82" t="str">
        <x:v>Mainline</x:v>
      </x:c>
      <x:c r="S163" s="82" t="str">
        <x:v>Comum / atual</x:v>
      </x:c>
      <x:c r="T163" s="82" t="str">
        <x:v>Lançado</x:v>
      </x:c>
      <x:c r="U163" s="82" t="str">
        <x:v>Urban Outlaw / Base code(s): R49, R50, R52, S01, S02, S04</x:v>
      </x:c>
      <x:c r="V163" s="80" t="str">
        <x:v>Coleção principal (~1:64)</x:v>
      </x:c>
      <x:c r="W163" s="82" t="str">
        <x:v>https://hotwheels.fandom.com/wiki/%2771_Porsche_911</x:v>
      </x:c>
      <x:c r="X163" s="82" t="str">
        <x:v>https://hotwheels.fandom.com/wiki/%2771_Porsche_911</x:v>
      </x:c>
    </x:row>
    <x:row r="164">
      <x:c r="A164" s="80" t="str">
        <x:v>Não</x:v>
      </x:c>
      <x:c r="B164" s="80" t="str">
        <x:v>2 — Completar aos poucos</x:v>
      </x:c>
      <x:c r="C164" s="81" t="n">
        <x:v>2023</x:v>
      </x:c>
      <x:c r="D164" s="80" t="str">
        <x:v>'89 Porsche 944 Turbo</x:v>
      </x:c>
      <x:c r="E164" s="80" t="str">
        <x:v>'89 Porsche 944 Turbo</x:v>
      </x:c>
      <x:c r="F164" s="82" t="str">
        <x:v>Car Culture: Canyon Warriors / 3/5</x:v>
      </x:c>
      <x:c r="G164" s="80" t="str"/>
      <x:c r="H164" s="80" t="str"/>
      <x:c r="I164" s="83" t="str">
        <x:v>HKC56</x:v>
      </x:c>
      <x:c r="J164" s="80" t="str">
        <x:v>Blue</x:v>
      </x:c>
      <x:c r="K164" s="82" t="str">
        <x:v>Detailed taillights, fog lights and trim</x:v>
      </x:c>
      <x:c r="L164" s="82" t="str">
        <x:v>Chrome Lip RRLW5</x:v>
      </x:c>
      <x:c r="M164" s="82" t="str">
        <x:v>Black / / / Metal</x:v>
      </x:c>
      <x:c r="N164" s="82" t="str">
        <x:v>Smoke tint</x:v>
      </x:c>
      <x:c r="O164" s="82" t="str">
        <x:v>Black</x:v>
      </x:c>
      <x:c r="P164" s="82" t="str">
        <x:v>Thailand</x:v>
      </x:c>
      <x:c r="Q164" s="82" t="str"/>
      <x:c r="R164" s="82" t="str">
        <x:v>Premium</x:v>
      </x:c>
      <x:c r="S164" s="82" t="str">
        <x:v>Incomum</x:v>
      </x:c>
      <x:c r="T164" s="82" t="str">
        <x:v>Lançado</x:v>
      </x:c>
      <x:c r="U164" s="82" t="str">
        <x:v>New Die-Cast Chassis / Base code(s): S23, S24, S25</x:v>
      </x:c>
      <x:c r="V164" s="80" t="str">
        <x:v>Coleção principal (~1:64)</x:v>
      </x:c>
      <x:c r="W164" s="82" t="str">
        <x:v>https://hotwheels.fandom.com/wiki/%2789_Porsche_944_Turbo</x:v>
      </x:c>
      <x:c r="X164" s="82" t="str">
        <x:v>https://hotwheels.fandom.com/wiki/%2789_Porsche_944_Turbo</x:v>
      </x:c>
    </x:row>
    <x:row r="165">
      <x:c r="A165" s="80" t="str">
        <x:v>Não</x:v>
      </x:c>
      <x:c r="B165" s="80" t="str">
        <x:v>2 — Completar aos poucos</x:v>
      </x:c>
      <x:c r="C165" s="81" t="n">
        <x:v>2023</x:v>
      </x:c>
      <x:c r="D165" s="80" t="str">
        <x:v>'89 Porsche 944 Turbo</x:v>
      </x:c>
      <x:c r="E165" s="80" t="str">
        <x:v>'89 Porsche 944 Turbo</x:v>
      </x:c>
      <x:c r="F165" s="82" t="str">
        <x:v>Toy Fair</x:v>
      </x:c>
      <x:c r="G165" s="80" t="str"/>
      <x:c r="H165" s="80" t="str"/>
      <x:c r="I165" s="83" t="str">
        <x:v>HCW14</x:v>
      </x:c>
      <x:c r="J165" s="80" t="str">
        <x:v>Spectraflame Orange</x:v>
      </x:c>
      <x:c r="K165" s="82" t="str">
        <x:v>Detailed taillights, black wing, "23", Bilstein, Goodyear and Valvoline logos on sides</x:v>
      </x:c>
      <x:c r="L165" s="82" t="str">
        <x:v>RR6SPM</x:v>
      </x:c>
      <x:c r="M165" s="82" t="str">
        <x:v>Black / / / Plastic</x:v>
      </x:c>
      <x:c r="N165" s="82" t="str">
        <x:v>Smoke tint</x:v>
      </x:c>
      <x:c r="O165" s="82" t="str">
        <x:v>Black</x:v>
      </x:c>
      <x:c r="P165" s="82" t="str">
        <x:v>Malaysia</x:v>
      </x:c>
      <x:c r="Q165" s="82" t="str"/>
      <x:c r="R165" s="82" t="str">
        <x:v>Outra linha</x:v>
      </x:c>
      <x:c r="S165" s="82" t="str">
        <x:v>Comum / atual</x:v>
      </x:c>
      <x:c r="T165" s="82" t="str">
        <x:v>Lançado</x:v>
      </x:c>
      <x:c r="U165" s="82" t="str">
        <x:v>Loop logo removed from base / Base code(s):</x:v>
      </x:c>
      <x:c r="V165" s="80" t="str">
        <x:v>Coleção principal (~1:64)</x:v>
      </x:c>
      <x:c r="W165" s="82" t="str">
        <x:v>https://hotwheels.fandom.com/wiki/%2789_Porsche_944_Turbo</x:v>
      </x:c>
      <x:c r="X165" s="82" t="str">
        <x:v>https://hotwheels.fandom.com/wiki/%2789_Porsche_944_Turbo</x:v>
      </x:c>
    </x:row>
    <x:row r="166">
      <x:c r="A166" s="80" t="str">
        <x:v>Não</x:v>
      </x:c>
      <x:c r="B166" s="80" t="str">
        <x:v>2 — Completar aos poucos</x:v>
      </x:c>
      <x:c r="C166" s="81" t="n">
        <x:v>2023</x:v>
      </x:c>
      <x:c r="D166" s="80" t="str">
        <x:v>Eroded Porsche 930</x:v>
      </x:c>
      <x:c r="E166" s="80" t="str">
        <x:v>Eroded Porsche 930</x:v>
      </x:c>
      <x:c r="F166" s="82" t="str">
        <x:v>Mattel Creations Collaboratory</x:v>
      </x:c>
      <x:c r="G166" s="80" t="str"/>
      <x:c r="H166" s="80" t="str"/>
      <x:c r="I166" s="83" t="str">
        <x:v>HPJ27</x:v>
      </x:c>
      <x:c r="J166" s="80" t="str">
        <x:v>Arsham white</x:v>
      </x:c>
      <x:c r="K166" s="82" t="str">
        <x:v>Colored crystalized erosions</x:v>
      </x:c>
      <x:c r="L166" s="82" t="str">
        <x:v>RRLW5</x:v>
      </x:c>
      <x:c r="M166" s="82" t="str">
        <x:v>Arsham white / / / Metal</x:v>
      </x:c>
      <x:c r="N166" s="82" t="str">
        <x:v>Arsham white</x:v>
      </x:c>
      <x:c r="O166" s="82" t="str">
        <x:v>Arsham white</x:v>
      </x:c>
      <x:c r="P166" s="82" t="str">
        <x:v>China</x:v>
      </x:c>
      <x:c r="Q166" s="82" t="str"/>
      <x:c r="R166" s="82" t="str">
        <x:v>Outra linha</x:v>
      </x:c>
      <x:c r="S166" s="82" t="str">
        <x:v>Comum / atual</x:v>
      </x:c>
      <x:c r="T166" s="82" t="str">
        <x:v>Lançado</x:v>
      </x:c>
      <x:c r="U166" s="82" t="str">
        <x:v>Production code(s): 2293EAA</x:v>
      </x:c>
      <x:c r="V166" s="80" t="str">
        <x:v>Coleção principal (~1:64)</x:v>
      </x:c>
      <x:c r="W166" s="82" t="str">
        <x:v>https://hotwheels.fandom.com/wiki/Eroded_Porsche_930</x:v>
      </x:c>
      <x:c r="X166" s="82" t="str">
        <x:v>https://hotwheels.fandom.com/wiki/Eroded_Porsche_930</x:v>
      </x:c>
    </x:row>
    <x:row r="167">
      <x:c r="A167" s="80" t="str">
        <x:v>Não</x:v>
      </x:c>
      <x:c r="B167" s="80" t="str">
        <x:v>2 — Completar aos poucos</x:v>
      </x:c>
      <x:c r="C167" s="81" t="n">
        <x:v>2023</x:v>
      </x:c>
      <x:c r="D167" s="80" t="str">
        <x:v>Porsche 356 Outlaw</x:v>
      </x:c>
      <x:c r="E167" s="80" t="str">
        <x:v>Porsche 356 Outlaw</x:v>
      </x:c>
      <x:c r="F167" s="82" t="str">
        <x:v>Multipack Exclusive</x:v>
      </x:c>
      <x:c r="G167" s="80" t="str"/>
      <x:c r="H167" s="80" t="str"/>
      <x:c r="I167" s="83" t="str">
        <x:v>X6999</x:v>
      </x:c>
      <x:c r="J167" s="80" t="str">
        <x:v>Blue Metalflake</x:v>
      </x:c>
      <x:c r="K167" s="82" t="str">
        <x:v>"50", "CDOWN", "LC", "Vaughn" on sides</x:v>
      </x:c>
      <x:c r="L167" s="82" t="str">
        <x:v>DD8</x:v>
      </x:c>
      <x:c r="M167" s="82" t="str">
        <x:v>Black / / / Plastic</x:v>
      </x:c>
      <x:c r="N167" s="82" t="str">
        <x:v>Smoke tint</x:v>
      </x:c>
      <x:c r="O167" s="82" t="str">
        <x:v>Black</x:v>
      </x:c>
      <x:c r="P167" s="82" t="str">
        <x:v>Malaysia</x:v>
      </x:c>
      <x:c r="Q167" s="82" t="str"/>
      <x:c r="R167" s="82" t="str">
        <x:v>Temática / multipack</x:v>
      </x:c>
      <x:c r="S167" s="82" t="str">
        <x:v>Comum / atual</x:v>
      </x:c>
      <x:c r="T167" s="82" t="str">
        <x:v>Lançado</x:v>
      </x:c>
      <x:c r="U167" s="82" t="str">
        <x:v>Base code(s): R40, R44, S02</x:v>
      </x:c>
      <x:c r="V167" s="80" t="str">
        <x:v>Coleção principal (~1:64)</x:v>
      </x:c>
      <x:c r="W167" s="82" t="str">
        <x:v>https://hotwheels.fandom.com/wiki/Porsche_356_Outlaw</x:v>
      </x:c>
      <x:c r="X167" s="82" t="str">
        <x:v>https://hotwheels.fandom.com/wiki/Porsche_356_Outlaw</x:v>
      </x:c>
    </x:row>
    <x:row r="168">
      <x:c r="A168" s="80" t="str">
        <x:v>Não</x:v>
      </x:c>
      <x:c r="B168" s="80" t="str">
        <x:v>2 — Completar aos poucos</x:v>
      </x:c>
      <x:c r="C168" s="81" t="n">
        <x:v>2023</x:v>
      </x:c>
      <x:c r="D168" s="80" t="str">
        <x:v>Porsche 356 Outlaw</x:v>
      </x:c>
      <x:c r="E168" s="80" t="str">
        <x:v>Porsche 356 Outlaw</x:v>
      </x:c>
      <x:c r="F168" s="82" t="str">
        <x:v>Mystery Models (Series 3) / 3/10</x:v>
      </x:c>
      <x:c r="G168" s="80" t="str"/>
      <x:c r="H168" s="80" t="str"/>
      <x:c r="I168" s="83" t="str">
        <x:v>HLR39</x:v>
      </x:c>
      <x:c r="J168" s="80" t="str">
        <x:v>Powder blue</x:v>
      </x:c>
      <x:c r="K168" s="82" t="str">
        <x:v>Black, Red &amp; White '356'</x:v>
      </x:c>
      <x:c r="L168" s="82" t="str">
        <x:v>Red chrom rim Black MC5</x:v>
      </x:c>
      <x:c r="M168" s="82" t="str">
        <x:v>Charcoal / / / Plastic</x:v>
      </x:c>
      <x:c r="N168" s="82" t="str">
        <x:v>Smoke tint</x:v>
      </x:c>
      <x:c r="O168" s="82" t="str">
        <x:v>Red</x:v>
      </x:c>
      <x:c r="P168" s="82" t="str">
        <x:v>Malaysia</x:v>
      </x:c>
      <x:c r="Q168" s="82" t="str"/>
      <x:c r="R168" s="82" t="str">
        <x:v>Outra linha</x:v>
      </x:c>
      <x:c r="S168" s="82" t="str">
        <x:v>Comum / atual</x:v>
      </x:c>
      <x:c r="T168" s="82" t="str">
        <x:v>Lançado</x:v>
      </x:c>
      <x:c r="U168" s="82" t="str">
        <x:v>Base code(s): S11, S29</x:v>
      </x:c>
      <x:c r="V168" s="80" t="str">
        <x:v>Coleção principal (~1:64)</x:v>
      </x:c>
      <x:c r="W168" s="82" t="str">
        <x:v>https://hotwheels.fandom.com/wiki/Porsche_356_Outlaw</x:v>
      </x:c>
      <x:c r="X168" s="82" t="str">
        <x:v>https://hotwheels.fandom.com/wiki/Porsche_356_Outlaw</x:v>
      </x:c>
    </x:row>
    <x:row r="169">
      <x:c r="A169" s="80" t="str">
        <x:v>Não</x:v>
      </x:c>
      <x:c r="B169" s="80" t="str">
        <x:v>2 — Completar aos poucos</x:v>
      </x:c>
      <x:c r="C169" s="81" t="n">
        <x:v>2023</x:v>
      </x:c>
      <x:c r="D169" s="80" t="str">
        <x:v>Porsche 356 Speedster</x:v>
      </x:c>
      <x:c r="E169" s="80" t="str">
        <x:v>Porsche 356 Speedster</x:v>
      </x:c>
      <x:c r="F169" s="82" t="str">
        <x:v>Mattel Creations Collaboratory</x:v>
      </x:c>
      <x:c r="G169" s="80" t="str"/>
      <x:c r="H169" s="80" t="str"/>
      <x:c r="I169" s="83" t="str">
        <x:v>HPJ29</x:v>
      </x:c>
      <x:c r="J169" s="80" t="str">
        <x:v>Weathered ZAMAC</x:v>
      </x:c>
      <x:c r="K169" s="82" t="str">
        <x:v>Light green bonsai tree &amp; peach colored graphics on passenger side; "BONSA1" on rear license plate</x:v>
      </x:c>
      <x:c r="L169" s="82" t="str">
        <x:v>DDRR</x:v>
      </x:c>
      <x:c r="M169" s="82" t="str">
        <x:v>ZAMAC</x:v>
      </x:c>
      <x:c r="N169" s="82" t="str">
        <x:v>Clear</x:v>
      </x:c>
      <x:c r="O169" s="82" t="str">
        <x:v>Indigo</x:v>
      </x:c>
      <x:c r="P169" s="82" t="str">
        <x:v>China</x:v>
      </x:c>
      <x:c r="Q169" s="82" t="str">
        <x:v>ZAMAC</x:v>
      </x:c>
      <x:c r="R169" s="82" t="str">
        <x:v>Outra linha</x:v>
      </x:c>
      <x:c r="S169" s="82" t="str">
        <x:v>Rara</x:v>
      </x:c>
      <x:c r="T169" s="82" t="str">
        <x:v>Lançado</x:v>
      </x:c>
      <x:c r="U169" s="82" t="str"/>
      <x:c r="V169" s="80" t="str">
        <x:v>Coleção principal (~1:64)</x:v>
      </x:c>
      <x:c r="W169" s="82" t="str">
        <x:v>https://hotwheels.fandom.com/wiki/Porsche_356_Speedster</x:v>
      </x:c>
      <x:c r="X169" s="82" t="str">
        <x:v>https://hotwheels.fandom.com/wiki/Porsche_356_Speedster</x:v>
      </x:c>
    </x:row>
    <x:row r="170">
      <x:c r="A170" s="80" t="str">
        <x:v>Não</x:v>
      </x:c>
      <x:c r="B170" s="80" t="str">
        <x:v>2 — Completar aos poucos</x:v>
      </x:c>
      <x:c r="C170" s="81" t="n">
        <x:v>2023</x:v>
      </x:c>
      <x:c r="D170" s="80" t="str">
        <x:v>Porsche 718 Cayman GT4</x:v>
      </x:c>
      <x:c r="E170" s="80" t="str">
        <x:v>Porsche 718 Cayman GT4</x:v>
      </x:c>
      <x:c r="F170" s="82" t="str">
        <x:v>Fast &amp; Furious / 4/5</x:v>
      </x:c>
      <x:c r="G170" s="80" t="str"/>
      <x:c r="H170" s="80" t="str"/>
      <x:c r="I170" s="83" t="str">
        <x:v>HKD20</x:v>
      </x:c>
      <x:c r="J170" s="80" t="str">
        <x:v>Carrara White</x:v>
      </x:c>
      <x:c r="K170" s="82" t="str">
        <x:v>Detailed taillights, trim and badging, detailed wing</x:v>
      </x:c>
      <x:c r="L170" s="82" t="str">
        <x:v>BRR5SPM</x:v>
      </x:c>
      <x:c r="M170" s="82" t="str">
        <x:v>Glossy black / / / Metal</x:v>
      </x:c>
      <x:c r="N170" s="82" t="str">
        <x:v>Smoke tint</x:v>
      </x:c>
      <x:c r="O170" s="82" t="str">
        <x:v>Black</x:v>
      </x:c>
      <x:c r="P170" s="82" t="str">
        <x:v>Thailand</x:v>
      </x:c>
      <x:c r="Q170" s="82" t="str"/>
      <x:c r="R170" s="82" t="str">
        <x:v>Outra linha</x:v>
      </x:c>
      <x:c r="S170" s="82" t="str">
        <x:v>Comum / atual</x:v>
      </x:c>
      <x:c r="T170" s="82" t="str">
        <x:v>Lançado</x:v>
      </x:c>
      <x:c r="U170" s="82" t="str">
        <x:v>Base code(s): R42, R43, R44, R47, R49</x:v>
      </x:c>
      <x:c r="V170" s="80" t="str">
        <x:v>Coleção principal (~1:64)</x:v>
      </x:c>
      <x:c r="W170" s="82" t="str">
        <x:v>https://hotwheels.fandom.com/wiki/Porsche_718_Cayman_GT4</x:v>
      </x:c>
      <x:c r="X170" s="82" t="str">
        <x:v>https://hotwheels.fandom.com/wiki/Porsche_718_Cayman_GT4</x:v>
      </x:c>
    </x:row>
    <x:row r="171">
      <x:c r="A171" s="80" t="str">
        <x:v>Não</x:v>
      </x:c>
      <x:c r="B171" s="80" t="str">
        <x:v>2 — Completar aos poucos</x:v>
      </x:c>
      <x:c r="C171" s="81" t="n">
        <x:v>2023</x:v>
      </x:c>
      <x:c r="D171" s="80" t="str">
        <x:v>Porsche 911 Carrera RS 2.7</x:v>
      </x:c>
      <x:c r="E171" s="80" t="str">
        <x:v>Porsche 911 Carrera RS 2.7</x:v>
      </x:c>
      <x:c r="F171" s="82" t="str">
        <x:v>Retro Racers / 8/10</x:v>
      </x:c>
      <x:c r="G171" s="80" t="str"/>
      <x:c r="H171" s="80" t="str">
        <x:v>125/250</x:v>
      </x:c>
      <x:c r="I171" s="83" t="str">
        <x:v>HKG42</x:v>
      </x:c>
      <x:c r="J171" s="80" t="str">
        <x:v>Light Ivory</x:v>
      </x:c>
      <x:c r="K171" s="82" t="str">
        <x:v>Detailed headlights, Porsche emblem on hood, "75", "Carrera RS", and "PORSCHE" on rear, "Carrera" on sides</x:v>
      </x:c>
      <x:c r="L171" s="82" t="str">
        <x:v>Black, Chrome rim RSW</x:v>
      </x:c>
      <x:c r="M171" s="82" t="str">
        <x:v>White / / / Plastic</x:v>
      </x:c>
      <x:c r="N171" s="82" t="str">
        <x:v>Smoke tint</x:v>
      </x:c>
      <x:c r="O171" s="82" t="str">
        <x:v>Black</x:v>
      </x:c>
      <x:c r="P171" s="82" t="str">
        <x:v>Malaysia</x:v>
      </x:c>
      <x:c r="Q171" s="82" t="str"/>
      <x:c r="R171" s="82" t="str">
        <x:v>Mainline</x:v>
      </x:c>
      <x:c r="S171" s="82" t="str">
        <x:v>Comum / atual</x:v>
      </x:c>
      <x:c r="T171" s="82" t="str">
        <x:v>Lançado</x:v>
      </x:c>
      <x:c r="U171" s="82" t="str">
        <x:v>New Model / Base code(s): R49, R50, R51, R52, S01, S02</x:v>
      </x:c>
      <x:c r="V171" s="80" t="str">
        <x:v>Coleção principal (~1:64)</x:v>
      </x:c>
      <x:c r="W171" s="82" t="str">
        <x:v>https://hotwheels.fandom.com/wiki/Porsche_911_Carrera_RS_2.7</x:v>
      </x:c>
      <x:c r="X171" s="82" t="str">
        <x:v>https://hotwheels.fandom.com/wiki/Porsche_911_Carrera_RS_2.7</x:v>
      </x:c>
    </x:row>
    <x:row r="172">
      <x:c r="A172" s="80" t="str">
        <x:v>Não</x:v>
      </x:c>
      <x:c r="B172" s="80" t="str">
        <x:v>2 — Completar aos poucos</x:v>
      </x:c>
      <x:c r="C172" s="81" t="n">
        <x:v>2023</x:v>
      </x:c>
      <x:c r="D172" s="80" t="str">
        <x:v>Porsche 911 Carrera RS 2.7</x:v>
      </x:c>
      <x:c r="E172" s="80" t="str">
        <x:v>Porsche 911 Carrera RS 2.7</x:v>
      </x:c>
      <x:c r="F172" s="82" t="str">
        <x:v>Retro Racers / 8/10</x:v>
      </x:c>
      <x:c r="G172" s="80" t="str"/>
      <x:c r="H172" s="80" t="str">
        <x:v>125/250</x:v>
      </x:c>
      <x:c r="I172" s="83" t="str">
        <x:v>HKJ82</x:v>
      </x:c>
      <x:c r="J172" s="80" t="str">
        <x:v>Orange</x:v>
      </x:c>
      <x:c r="K172" s="82" t="str">
        <x:v>Detailed headlights, Porsche emblem on hood, "75", "Carrera RS", and "PORSCHE" on rear, "Carrera" on sides</x:v>
      </x:c>
      <x:c r="L172" s="82" t="str">
        <x:v>Black, Chrome rim RSW</x:v>
      </x:c>
      <x:c r="M172" s="82" t="str">
        <x:v>Orange / / / Plastic</x:v>
      </x:c>
      <x:c r="N172" s="82" t="str">
        <x:v>Smoke tint</x:v>
      </x:c>
      <x:c r="O172" s="82" t="str">
        <x:v>Black</x:v>
      </x:c>
      <x:c r="P172" s="82" t="str">
        <x:v>Malaysia</x:v>
      </x:c>
      <x:c r="Q172" s="82" t="str"/>
      <x:c r="R172" s="82" t="str">
        <x:v>Mainline</x:v>
      </x:c>
      <x:c r="S172" s="82" t="str">
        <x:v>Comum / atual</x:v>
      </x:c>
      <x:c r="T172" s="82" t="str">
        <x:v>Lançado</x:v>
      </x:c>
      <x:c r="U172" s="82" t="str">
        <x:v>New Model / Base code(s): S12, S13, S14, S15, S16, S17, S18</x:v>
      </x:c>
      <x:c r="V172" s="80" t="str">
        <x:v>Coleção principal (~1:64)</x:v>
      </x:c>
      <x:c r="W172" s="82" t="str">
        <x:v>https://hotwheels.fandom.com/wiki/Porsche_911_Carrera_RS_2.7</x:v>
      </x:c>
      <x:c r="X172" s="82" t="str">
        <x:v>https://hotwheels.fandom.com/wiki/Porsche_911_Carrera_RS_2.7</x:v>
      </x:c>
    </x:row>
    <x:row r="173">
      <x:c r="A173" s="80" t="str">
        <x:v>Não</x:v>
      </x:c>
      <x:c r="B173" s="80" t="str">
        <x:v>2 — Completar aos poucos</x:v>
      </x:c>
      <x:c r="C173" s="81" t="n">
        <x:v>2023</x:v>
      </x:c>
      <x:c r="D173" s="80" t="str">
        <x:v>Porsche 911 GT2</x:v>
      </x:c>
      <x:c r="E173" s="80" t="str">
        <x:v>Porsche 911 GT2</x:v>
      </x:c>
      <x:c r="F173" s="82" t="str">
        <x:v>Multipack Exclusive</x:v>
      </x:c>
      <x:c r="G173" s="80" t="str"/>
      <x:c r="H173" s="80" t="str"/>
      <x:c r="I173" s="83" t="str">
        <x:v>X6999 / K5904</x:v>
      </x:c>
      <x:c r="J173" s="80" t="str">
        <x:v>Black</x:v>
      </x:c>
      <x:c r="K173" s="82" t="str">
        <x:v>Grey stripes, detailed taillights, Porsche badge on hood.</x:v>
      </x:c>
      <x:c r="L173" s="82" t="str">
        <x:v>Chrome lip, black J5</x:v>
      </x:c>
      <x:c r="M173" s="82" t="str">
        <x:v>Gray / / / Plastic</x:v>
      </x:c>
      <x:c r="N173" s="82" t="str">
        <x:v>Tinted (Black)</x:v>
      </x:c>
      <x:c r="O173" s="82" t="str">
        <x:v>Black</x:v>
      </x:c>
      <x:c r="P173" s="82" t="str">
        <x:v>Malaysia</x:v>
      </x:c>
      <x:c r="Q173" s="82" t="str"/>
      <x:c r="R173" s="82" t="str">
        <x:v>Temática / multipack</x:v>
      </x:c>
      <x:c r="S173" s="82" t="str">
        <x:v>Comum / atual</x:v>
      </x:c>
      <x:c r="T173" s="82" t="str">
        <x:v>Lançado</x:v>
      </x:c>
      <x:c r="U173" s="82" t="str">
        <x:v>Base code(s): R50</x:v>
      </x:c>
      <x:c r="V173" s="80" t="str">
        <x:v>Coleção principal (~1:64)</x:v>
      </x:c>
      <x:c r="W173" s="82" t="str">
        <x:v>https://hotwheels.fandom.com/wiki/Porsche_911_GT2</x:v>
      </x:c>
      <x:c r="X173" s="82" t="str">
        <x:v>https://hotwheels.fandom.com/wiki/Porsche_911_GT2</x:v>
      </x:c>
    </x:row>
    <x:row r="174">
      <x:c r="A174" s="80" t="str">
        <x:v>Não</x:v>
      </x:c>
      <x:c r="B174" s="80" t="str">
        <x:v>2 — Completar aos poucos</x:v>
      </x:c>
      <x:c r="C174" s="81" t="n">
        <x:v>2023</x:v>
      </x:c>
      <x:c r="D174" s="80" t="str">
        <x:v>Porsche 911 GT3</x:v>
      </x:c>
      <x:c r="E174" s="80" t="str">
        <x:v>Porsche 911 GT3</x:v>
      </x:c>
      <x:c r="F174" s="82" t="str">
        <x:v>Car Culture: Speed Machines / 1/5</x:v>
      </x:c>
      <x:c r="G174" s="80" t="str"/>
      <x:c r="H174" s="80" t="str"/>
      <x:c r="I174" s="83" t="str">
        <x:v>HKC44</x:v>
      </x:c>
      <x:c r="J174" s="80" t="str">
        <x:v>Shark Blue</x:v>
      </x:c>
      <x:c r="K174" s="82" t="str">
        <x:v>Detailed taillights, daytime running lights and reflectors, black and white accents, "60" on sides and hood, Porsche logo on doors</x:v>
      </x:c>
      <x:c r="L174" s="82" t="str">
        <x:v>CM6</x:v>
      </x:c>
      <x:c r="M174" s="82" t="str">
        <x:v>Black / / / Metal</x:v>
      </x:c>
      <x:c r="N174" s="82" t="str">
        <x:v>Smoke tint</x:v>
      </x:c>
      <x:c r="O174" s="82" t="str">
        <x:v>Black</x:v>
      </x:c>
      <x:c r="P174" s="82" t="str">
        <x:v>Thailand</x:v>
      </x:c>
      <x:c r="Q174" s="82" t="str"/>
      <x:c r="R174" s="82" t="str">
        <x:v>Premium</x:v>
      </x:c>
      <x:c r="S174" s="82" t="str">
        <x:v>Incomum</x:v>
      </x:c>
      <x:c r="T174" s="82" t="str">
        <x:v>Lançado</x:v>
      </x:c>
      <x:c r="U174" s="82" t="str">
        <x:v>New Die-Cast Chassis / Base code(s): S02, S06</x:v>
      </x:c>
      <x:c r="V174" s="80" t="str">
        <x:v>Coleção principal (~1:64)</x:v>
      </x:c>
      <x:c r="W174" s="82" t="str">
        <x:v>https://hotwheels.fandom.com/wiki/Porsche_911_GT3</x:v>
      </x:c>
      <x:c r="X174" s="82" t="str">
        <x:v>https://hotwheels.fandom.com/wiki/Porsche_911_GT3</x:v>
      </x:c>
    </x:row>
    <x:row r="175">
      <x:c r="A175" s="80" t="str">
        <x:v>Não</x:v>
      </x:c>
      <x:c r="B175" s="80" t="str">
        <x:v>2 — Completar aos poucos</x:v>
      </x:c>
      <x:c r="C175" s="81" t="n">
        <x:v>2023</x:v>
      </x:c>
      <x:c r="D175" s="80" t="str">
        <x:v>Porsche 911 GT3</x:v>
      </x:c>
      <x:c r="E175" s="80" t="str">
        <x:v>Porsche 911 GT3</x:v>
      </x:c>
      <x:c r="F175" s="82" t="str">
        <x:v>HW Exotics / 2/10</x:v>
      </x:c>
      <x:c r="G175" s="80" t="str"/>
      <x:c r="H175" s="80" t="str">
        <x:v>177/250</x:v>
      </x:c>
      <x:c r="I175" s="83" t="str">
        <x:v>HKL49</x:v>
      </x:c>
      <x:c r="J175" s="80" t="str">
        <x:v>Carrara White</x:v>
      </x:c>
      <x:c r="K175" s="82" t="str">
        <x:v>Detailed taillights and trim, black accents on hood and roof, "S HW 2023" license plate</x:v>
      </x:c>
      <x:c r="L175" s="82" t="str">
        <x:v>Grey Y5</x:v>
      </x:c>
      <x:c r="M175" s="82" t="str">
        <x:v>Black / / / Plastic</x:v>
      </x:c>
      <x:c r="N175" s="82" t="str">
        <x:v>Smoke tint</x:v>
      </x:c>
      <x:c r="O175" s="82" t="str">
        <x:v>Black</x:v>
      </x:c>
      <x:c r="P175" s="82" t="str">
        <x:v>Malaysia</x:v>
      </x:c>
      <x:c r="Q175" s="82" t="str">
        <x:v>Kroger</x:v>
      </x:c>
      <x:c r="R175" s="82" t="str">
        <x:v>Mainline</x:v>
      </x:c>
      <x:c r="S175" s="82" t="str">
        <x:v>Rara</x:v>
      </x:c>
      <x:c r="T175" s="82" t="str">
        <x:v>Lançado</x:v>
      </x:c>
      <x:c r="U175" s="82" t="str">
        <x:v>Kroger Exclusive / Base code(s): S05, S14, S15</x:v>
      </x:c>
      <x:c r="V175" s="80" t="str">
        <x:v>Coleção principal (~1:64)</x:v>
      </x:c>
      <x:c r="W175" s="82" t="str">
        <x:v>https://hotwheels.fandom.com/wiki/Porsche_911_GT3</x:v>
      </x:c>
      <x:c r="X175" s="82" t="str">
        <x:v>https://hotwheels.fandom.com/wiki/Porsche_911_GT3</x:v>
      </x:c>
    </x:row>
    <x:row r="176">
      <x:c r="A176" s="80" t="str">
        <x:v>Não</x:v>
      </x:c>
      <x:c r="B176" s="80" t="str">
        <x:v>2 — Completar aos poucos</x:v>
      </x:c>
      <x:c r="C176" s="81" t="n">
        <x:v>2023</x:v>
      </x:c>
      <x:c r="D176" s="80" t="str">
        <x:v>Porsche 911 GT3</x:v>
      </x:c>
      <x:c r="E176" s="80" t="str">
        <x:v>Porsche 911 GT3</x:v>
      </x:c>
      <x:c r="F176" s="82" t="str">
        <x:v>HW Exotics / 2/10</x:v>
      </x:c>
      <x:c r="G176" s="80" t="str"/>
      <x:c r="H176" s="80" t="str">
        <x:v>177/250</x:v>
      </x:c>
      <x:c r="I176" s="83" t="str">
        <x:v>HKH97</x:v>
      </x:c>
      <x:c r="J176" s="80" t="str">
        <x:v>Guards Red</x:v>
      </x:c>
      <x:c r="K176" s="82" t="str">
        <x:v>Detailed taillights and trim, black accents on hood and roof, "S HW 2023" license plate</x:v>
      </x:c>
      <x:c r="L176" s="82" t="str">
        <x:v>Gold Y5</x:v>
      </x:c>
      <x:c r="M176" s="82" t="str">
        <x:v>Black / / / Plastic</x:v>
      </x:c>
      <x:c r="N176" s="82" t="str">
        <x:v>Smoke tint</x:v>
      </x:c>
      <x:c r="O176" s="82" t="str">
        <x:v>Black</x:v>
      </x:c>
      <x:c r="P176" s="82" t="str">
        <x:v>Malaysia</x:v>
      </x:c>
      <x:c r="Q176" s="82" t="str"/>
      <x:c r="R176" s="82" t="str">
        <x:v>Mainline</x:v>
      </x:c>
      <x:c r="S176" s="82" t="str">
        <x:v>Comum / atual</x:v>
      </x:c>
      <x:c r="T176" s="82" t="str">
        <x:v>Lançado</x:v>
      </x:c>
      <x:c r="U176" s="82" t="str">
        <x:v>Base code(s): S04, S08, S09, S10, S12, S13, S14</x:v>
      </x:c>
      <x:c r="V176" s="80" t="str">
        <x:v>Coleção principal (~1:64)</x:v>
      </x:c>
      <x:c r="W176" s="82" t="str">
        <x:v>https://hotwheels.fandom.com/wiki/Porsche_911_GT3</x:v>
      </x:c>
      <x:c r="X176" s="82" t="str">
        <x:v>https://hotwheels.fandom.com/wiki/Porsche_911_GT3</x:v>
      </x:c>
    </x:row>
    <x:row r="177">
      <x:c r="A177" s="80" t="str">
        <x:v>Não</x:v>
      </x:c>
      <x:c r="B177" s="80" t="str">
        <x:v>2 — Completar aos poucos</x:v>
      </x:c>
      <x:c r="C177" s="81" t="n">
        <x:v>2023</x:v>
      </x:c>
      <x:c r="D177" s="80" t="str">
        <x:v>Porsche 911 GT3 Cup</x:v>
      </x:c>
      <x:c r="E177" s="80" t="str">
        <x:v>Porsche 911 GT3 Cup</x:v>
      </x:c>
      <x:c r="F177" s="82" t="str">
        <x:v>Fast &amp; Furious (Series 2) 5/10</x:v>
      </x:c>
      <x:c r="G177" s="80" t="str"/>
      <x:c r="H177" s="80" t="str"/>
      <x:c r="I177" s="83" t="str">
        <x:v>HNT05</x:v>
      </x:c>
      <x:c r="J177" s="80" t="str">
        <x:v>Bright Blue</x:v>
      </x:c>
      <x:c r="K177" s="82" t="str">
        <x:v>Black stripe and "GT3 RS" on sides</x:v>
      </x:c>
      <x:c r="L177" s="82" t="str">
        <x:v>LW</x:v>
      </x:c>
      <x:c r="M177" s="82" t="str">
        <x:v>Black / Plastic</x:v>
      </x:c>
      <x:c r="N177" s="82" t="str">
        <x:v>Heavy smoke tint</x:v>
      </x:c>
      <x:c r="O177" s="82" t="str">
        <x:v>Black</x:v>
      </x:c>
      <x:c r="P177" s="82" t="str">
        <x:v>Malaysia</x:v>
      </x:c>
      <x:c r="Q177" s="82" t="str"/>
      <x:c r="R177" s="82" t="str">
        <x:v>Outra linha</x:v>
      </x:c>
      <x:c r="S177" s="82" t="str">
        <x:v>Comum / atual</x:v>
      </x:c>
      <x:c r="T177" s="82" t="str">
        <x:v>Lançado</x:v>
      </x:c>
      <x:c r="U177" s="82" t="str">
        <x:v>Updated tooling Base code(s): S20</x:v>
      </x:c>
      <x:c r="V177" s="80" t="str">
        <x:v>Coleção principal (~1:64)</x:v>
      </x:c>
      <x:c r="W177" s="82" t="str">
        <x:v>https://hotwheels.fandom.com/wiki/Porsche_911_GT3_Cup</x:v>
      </x:c>
      <x:c r="X177" s="82" t="str">
        <x:v>https://hotwheels.fandom.com/wiki/Porsche_911_GT3_Cup</x:v>
      </x:c>
    </x:row>
    <x:row r="178">
      <x:c r="A178" s="80" t="str">
        <x:v>Não</x:v>
      </x:c>
      <x:c r="B178" s="80" t="str">
        <x:v>2 — Completar aos poucos</x:v>
      </x:c>
      <x:c r="C178" s="81" t="n">
        <x:v>2023</x:v>
      </x:c>
      <x:c r="D178" s="80" t="str">
        <x:v>Porsche 911 GT3 Cup</x:v>
      </x:c>
      <x:c r="E178" s="80" t="str">
        <x:v>Porsche 911 GT3 Cup</x:v>
      </x:c>
      <x:c r="F178" s="82" t="str">
        <x:v>Forza 1/5</x:v>
      </x:c>
      <x:c r="G178" s="80" t="str"/>
      <x:c r="H178" s="80" t="str"/>
      <x:c r="I178" s="83" t="str">
        <x:v>HLK28</x:v>
      </x:c>
      <x:c r="J178" s="80" t="str">
        <x:v>Yellow</x:v>
      </x:c>
      <x:c r="K178" s="82" t="str">
        <x:v>Detailed taillights, Forza Motorsport logo on side, 75 PORSCHE, XBOX, GT3 on Back, Porsche logo on hood</x:v>
      </x:c>
      <x:c r="L178" s="82" t="str">
        <x:v>Chrome 10SP</x:v>
      </x:c>
      <x:c r="M178" s="82" t="str">
        <x:v>Black / Plastic</x:v>
      </x:c>
      <x:c r="N178" s="82" t="str">
        <x:v>Smoke tint</x:v>
      </x:c>
      <x:c r="O178" s="82" t="str">
        <x:v>Black</x:v>
      </x:c>
      <x:c r="P178" s="82" t="str">
        <x:v>Malaysia</x:v>
      </x:c>
      <x:c r="Q178" s="82" t="str"/>
      <x:c r="R178" s="82" t="str">
        <x:v>Outra linha</x:v>
      </x:c>
      <x:c r="S178" s="82" t="str">
        <x:v>Comum / atual</x:v>
      </x:c>
      <x:c r="T178" s="82" t="str">
        <x:v>Lançado</x:v>
      </x:c>
      <x:c r="U178" s="82" t="str">
        <x:v>Base code(s): S13, S20, S21 S27, S28, S29</x:v>
      </x:c>
      <x:c r="V178" s="80" t="str">
        <x:v>Coleção principal (~1:64)</x:v>
      </x:c>
      <x:c r="W178" s="82" t="str">
        <x:v>https://hotwheels.fandom.com/wiki/Porsche_911_GT3_Cup</x:v>
      </x:c>
      <x:c r="X178" s="82" t="str">
        <x:v>https://hotwheels.fandom.com/wiki/Porsche_911_GT3_Cup</x:v>
      </x:c>
    </x:row>
    <x:row r="179">
      <x:c r="A179" s="80" t="str">
        <x:v>Não</x:v>
      </x:c>
      <x:c r="B179" s="80" t="str">
        <x:v>2 — Completar aos poucos</x:v>
      </x:c>
      <x:c r="C179" s="81" t="n">
        <x:v>2023</x:v>
      </x:c>
      <x:c r="D179" s="80" t="str">
        <x:v>Porsche 911 GT3 Cup</x:v>
      </x:c>
      <x:c r="E179" s="80" t="str">
        <x:v>Porsche 911 GT3 Cup</x:v>
      </x:c>
      <x:c r="F179" s="82" t="str">
        <x:v>HNT21</x:v>
      </x:c>
      <x:c r="G179" s="80" t="str"/>
      <x:c r="H179" s="80" t="str">
        <x:v>Fast &amp; Furious 10-Pack</x:v>
      </x:c>
      <x:c r="I179" s="83" t="str">
        <x:v>Updated tooling / Base code(s): S01, S02</x:v>
      </x:c>
      <x:c r="J179" s="80" t="str">
        <x:v>Bright Blue</x:v>
      </x:c>
      <x:c r="K179" s="82" t="str">
        <x:v>Black stripe and "GT3 RS" on sides</x:v>
      </x:c>
      <x:c r="L179" s="82" t="str">
        <x:v>LW</x:v>
      </x:c>
      <x:c r="M179" s="82" t="str">
        <x:v>Black / / / Plastic</x:v>
      </x:c>
      <x:c r="N179" s="82" t="str">
        <x:v>Heavy smoke tint</x:v>
      </x:c>
      <x:c r="O179" s="82" t="str">
        <x:v>Black</x:v>
      </x:c>
      <x:c r="P179" s="82" t="str">
        <x:v>Malaysia</x:v>
      </x:c>
      <x:c r="Q179" s="82" t="str"/>
      <x:c r="R179" s="82" t="str">
        <x:v>Mainline</x:v>
      </x:c>
      <x:c r="S179" s="82" t="str">
        <x:v>Comum / atual</x:v>
      </x:c>
      <x:c r="T179" s="82" t="str">
        <x:v>Lançado</x:v>
      </x:c>
      <x:c r="U179" s="82" t="str"/>
      <x:c r="V179" s="80" t="str">
        <x:v>Coleção principal (~1:64)</x:v>
      </x:c>
      <x:c r="W179" s="82" t="str">
        <x:v>https://hotwheels.fandom.com/wiki/Porsche_911_GT3_Cup</x:v>
      </x:c>
      <x:c r="X179" s="82" t="str">
        <x:v>https://hotwheels.fandom.com/wiki/Porsche_911_GT3_Cup</x:v>
      </x:c>
    </x:row>
    <x:row r="180">
      <x:c r="A180" s="80" t="str">
        <x:v>Não</x:v>
      </x:c>
      <x:c r="B180" s="80" t="str">
        <x:v>2 — Completar aos poucos</x:v>
      </x:c>
      <x:c r="C180" s="81" t="n">
        <x:v>2023</x:v>
      </x:c>
      <x:c r="D180" s="80" t="str">
        <x:v>Porsche 911 GT3 Cup</x:v>
      </x:c>
      <x:c r="E180" s="80" t="str">
        <x:v>Porsche 911 GT3 Cup</x:v>
      </x:c>
      <x:c r="F180" s="82" t="str">
        <x:v>HNT21</x:v>
      </x:c>
      <x:c r="G180" s="80" t="str"/>
      <x:c r="H180" s="80" t="str">
        <x:v>Fast &amp; Furious 10-Pack</x:v>
      </x:c>
      <x:c r="I180" s="83" t="str">
        <x:v>Updated tooling Base code(s): S01, S02</x:v>
      </x:c>
      <x:c r="J180" s="80" t="str">
        <x:v>Bright Blue</x:v>
      </x:c>
      <x:c r="K180" s="82" t="str">
        <x:v>Black stripe and "GT3 RS" on sides</x:v>
      </x:c>
      <x:c r="L180" s="82" t="str">
        <x:v>LW</x:v>
      </x:c>
      <x:c r="M180" s="82" t="str">
        <x:v>Black / Plastic</x:v>
      </x:c>
      <x:c r="N180" s="82" t="str">
        <x:v>Heavy smoke tint</x:v>
      </x:c>
      <x:c r="O180" s="82" t="str">
        <x:v>Black</x:v>
      </x:c>
      <x:c r="P180" s="82" t="str">
        <x:v>Malaysia</x:v>
      </x:c>
      <x:c r="Q180" s="82" t="str"/>
      <x:c r="R180" s="82" t="str">
        <x:v>Mainline</x:v>
      </x:c>
      <x:c r="S180" s="82" t="str">
        <x:v>Comum / atual</x:v>
      </x:c>
      <x:c r="T180" s="82" t="str">
        <x:v>Lançado</x:v>
      </x:c>
      <x:c r="U180" s="82" t="str"/>
      <x:c r="V180" s="80" t="str">
        <x:v>Coleção principal (~1:64)</x:v>
      </x:c>
      <x:c r="W180" s="82" t="str">
        <x:v>https://hotwheels.fandom.com/wiki/Porsche_911_GT3_Cup</x:v>
      </x:c>
      <x:c r="X180" s="82" t="str">
        <x:v>https://hotwheels.fandom.com/wiki/Porsche_911_GT3_Cup</x:v>
      </x:c>
    </x:row>
    <x:row r="181">
      <x:c r="A181" s="80" t="str">
        <x:v>Não</x:v>
      </x:c>
      <x:c r="B181" s="80" t="str">
        <x:v>2 — Completar aos poucos</x:v>
      </x:c>
      <x:c r="C181" s="81" t="n">
        <x:v>2023</x:v>
      </x:c>
      <x:c r="D181" s="80" t="str">
        <x:v>Porsche 911 GT3 RS (2011)</x:v>
      </x:c>
      <x:c r="E181" s="80" t="str">
        <x:v>Porsche 911 GT3 RS</x:v>
      </x:c>
      <x:c r="F181" s="82" t="str">
        <x:v>NFT Garage (Series 5) / #01</x:v>
      </x:c>
      <x:c r="G181" s="80" t="str"/>
      <x:c r="H181" s="80" t="str"/>
      <x:c r="I181" s="83" t="str">
        <x:v>HRX26</x:v>
      </x:c>
      <x:c r="J181" s="80" t="str">
        <x:v>Spectraflame burnt orange</x:v>
      </x:c>
      <x:c r="K181" s="82" t="str">
        <x:v>Detailed headlights and taillights, racing flag design and Hot Wheels logo on sides, "NFTH" on sides &amp; rear, "GT3 RS" on hood and rear, "PORSCHE" on spoiler, black stripe on hood and roof</x:v>
      </x:c>
      <x:c r="L181" s="82" t="str">
        <x:v>Black RR10SP</x:v>
      </x:c>
      <x:c r="M181" s="82" t="str">
        <x:v>Black / / / Metal</x:v>
      </x:c>
      <x:c r="N181" s="82" t="str">
        <x:v>Smoke tint</x:v>
      </x:c>
      <x:c r="O181" s="82" t="str">
        <x:v>Black</x:v>
      </x:c>
      <x:c r="P181" s="82" t="str">
        <x:v>Malaysia</x:v>
      </x:c>
      <x:c r="Q181" s="82" t="str"/>
      <x:c r="R181" s="82" t="str">
        <x:v>Outra linha</x:v>
      </x:c>
      <x:c r="S181" s="82" t="str">
        <x:v>Comum / atual</x:v>
      </x:c>
      <x:c r="T181" s="82" t="str">
        <x:v>Lançado</x:v>
      </x:c>
      <x:c r="U181" s="82" t="str">
        <x:v>Base code(s): S19</x:v>
      </x:c>
      <x:c r="V181" s="80" t="str">
        <x:v>Coleção principal (~1:64)</x:v>
      </x:c>
      <x:c r="W181" s="82" t="str">
        <x:v>https://hotwheels.fandom.com/wiki/Porsche_911_GT3_RS_(2011)</x:v>
      </x:c>
      <x:c r="X181" s="82" t="str">
        <x:v>https://hotwheels.fandom.com/wiki/Porsche_911_GT3_RS_(2011)</x:v>
      </x:c>
    </x:row>
    <x:row r="182">
      <x:c r="A182" s="80" t="str">
        <x:v>Não</x:v>
      </x:c>
      <x:c r="B182" s="80" t="str">
        <x:v>2 — Completar aos poucos</x:v>
      </x:c>
      <x:c r="C182" s="81" t="n">
        <x:v>2023</x:v>
      </x:c>
      <x:c r="D182" s="80" t="str">
        <x:v>Porsche 911 GT3 RS (2016)</x:v>
      </x:c>
      <x:c r="E182" s="80" t="str">
        <x:v>Porsche 911 GT3 RS</x:v>
      </x:c>
      <x:c r="F182" s="82" t="str">
        <x:v>Multipack Exclusive</x:v>
      </x:c>
      <x:c r="G182" s="80" t="str"/>
      <x:c r="H182" s="80" t="str"/>
      <x:c r="I182" s="83" t="str">
        <x:v>X6999</x:v>
      </x:c>
      <x:c r="J182" s="80" t="str">
        <x:v>Birch Green</x:v>
      </x:c>
      <x:c r="K182" s="82" t="str">
        <x:v>Black stripe w/ 'GT3 RS' on sides, Black PORSCHE wing, Black stripes &amp; Porsche Badge on hood</x:v>
      </x:c>
      <x:c r="L182" s="82" t="str">
        <x:v>Black J5</x:v>
      </x:c>
      <x:c r="M182" s="82" t="str">
        <x:v>Black / / / Plastic</x:v>
      </x:c>
      <x:c r="N182" s="82" t="str">
        <x:v>Smoke tint</x:v>
      </x:c>
      <x:c r="O182" s="82" t="str">
        <x:v>Black</x:v>
      </x:c>
      <x:c r="P182" s="82" t="str">
        <x:v>Malaysia</x:v>
      </x:c>
      <x:c r="Q182" s="82" t="str"/>
      <x:c r="R182" s="82" t="str">
        <x:v>Temática / multipack</x:v>
      </x:c>
      <x:c r="S182" s="82" t="str">
        <x:v>Comum / atual</x:v>
      </x:c>
      <x:c r="T182" s="82" t="str">
        <x:v>Lançado</x:v>
      </x:c>
      <x:c r="U182" s="82" t="str">
        <x:v>Base code(s): S11, S23</x:v>
      </x:c>
      <x:c r="V182" s="80" t="str">
        <x:v>Coleção principal (~1:64)</x:v>
      </x:c>
      <x:c r="W182" s="82" t="str">
        <x:v>https://hotwheels.fandom.com/wiki/Porsche_911_GT3_RS_(2016)</x:v>
      </x:c>
      <x:c r="X182" s="82" t="str">
        <x:v>https://hotwheels.fandom.com/wiki/Porsche_911_GT3_RS_(2016)</x:v>
      </x:c>
    </x:row>
    <x:row r="183">
      <x:c r="A183" s="80" t="str">
        <x:v>Não</x:v>
      </x:c>
      <x:c r="B183" s="80" t="str">
        <x:v>2 — Completar aos poucos</x:v>
      </x:c>
      <x:c r="C183" s="81" t="n">
        <x:v>2023</x:v>
      </x:c>
      <x:c r="D183" s="80" t="str">
        <x:v>Porsche 911 GT3 RS (2016)</x:v>
      </x:c>
      <x:c r="E183" s="80" t="str">
        <x:v>Porsche 911 GT3 RS</x:v>
      </x:c>
      <x:c r="F183" s="82" t="str">
        <x:v>Multipack Exclusive</x:v>
      </x:c>
      <x:c r="G183" s="80" t="str"/>
      <x:c r="H183" s="80" t="str"/>
      <x:c r="I183" s="83" t="str">
        <x:v>X6999</x:v>
      </x:c>
      <x:c r="J183" s="80" t="str">
        <x:v>Shark blue</x:v>
      </x:c>
      <x:c r="K183" s="82" t="str">
        <x:v>Black stripe w/ 'GT3 RS' on sides, Black PORSCHE wing, Black stripes &amp; Porsche Badge on hood</x:v>
      </x:c>
      <x:c r="L183" s="82" t="str">
        <x:v>Black J5</x:v>
      </x:c>
      <x:c r="M183" s="82" t="str">
        <x:v>Black / / / Plastic</x:v>
      </x:c>
      <x:c r="N183" s="82" t="str">
        <x:v>Smoke tint</x:v>
      </x:c>
      <x:c r="O183" s="82" t="str">
        <x:v>Black</x:v>
      </x:c>
      <x:c r="P183" s="82" t="str">
        <x:v>Malaysia</x:v>
      </x:c>
      <x:c r="Q183" s="82" t="str"/>
      <x:c r="R183" s="82" t="str">
        <x:v>Temática / multipack</x:v>
      </x:c>
      <x:c r="S183" s="82" t="str">
        <x:v>Comum / atual</x:v>
      </x:c>
      <x:c r="T183" s="82" t="str">
        <x:v>Lançado</x:v>
      </x:c>
      <x:c r="U183" s="82" t="str">
        <x:v>Base code(s): R40, R41</x:v>
      </x:c>
      <x:c r="V183" s="80" t="str">
        <x:v>Coleção principal (~1:64)</x:v>
      </x:c>
      <x:c r="W183" s="82" t="str">
        <x:v>https://hotwheels.fandom.com/wiki/Porsche_911_GT3_RS_(2016)</x:v>
      </x:c>
      <x:c r="X183" s="82" t="str">
        <x:v>https://hotwheels.fandom.com/wiki/Porsche_911_GT3_RS_(2016)</x:v>
      </x:c>
    </x:row>
    <x:row r="184">
      <x:c r="A184" s="80" t="str">
        <x:v>Não</x:v>
      </x:c>
      <x:c r="B184" s="80" t="str">
        <x:v>2 — Completar aos poucos</x:v>
      </x:c>
      <x:c r="C184" s="81" t="n">
        <x:v>2023</x:v>
      </x:c>
      <x:c r="D184" s="80" t="str">
        <x:v>Porsche 911 Turbo (930)</x:v>
      </x:c>
      <x:c r="E184" s="80" t="str">
        <x:v>Porsche 911 Turbo (930)</x:v>
      </x:c>
      <x:c r="F184" s="82" t="str">
        <x:v>Hot Wheels Boulevard / #82</x:v>
      </x:c>
      <x:c r="G184" s="80" t="str"/>
      <x:c r="H184" s="80" t="str"/>
      <x:c r="I184" s="83" t="str">
        <x:v>HKF34</x:v>
      </x:c>
      <x:c r="J184" s="80" t="str">
        <x:v>Yellow</x:v>
      </x:c>
      <x:c r="K184" s="82" t="str">
        <x:v>Detailed headlights, taillights and trim</x:v>
      </x:c>
      <x:c r="L184" s="82" t="str">
        <x:v>Chrome Rim BRREx</x:v>
      </x:c>
      <x:c r="M184" s="82" t="str">
        <x:v>Black / / / Metal</x:v>
      </x:c>
      <x:c r="N184" s="82" t="str">
        <x:v>Smoke tint</x:v>
      </x:c>
      <x:c r="O184" s="82" t="str">
        <x:v>Black</x:v>
      </x:c>
      <x:c r="P184" s="82" t="str">
        <x:v>Thailand</x:v>
      </x:c>
      <x:c r="Q184" s="82" t="str"/>
      <x:c r="R184" s="82" t="str">
        <x:v>Premium</x:v>
      </x:c>
      <x:c r="S184" s="82" t="str">
        <x:v>Incomum</x:v>
      </x:c>
      <x:c r="T184" s="82" t="str">
        <x:v>Lançado</x:v>
      </x:c>
      <x:c r="U184" s="82" t="str">
        <x:v>Base code(s): S32, S34, S35</x:v>
      </x:c>
      <x:c r="V184" s="80" t="str">
        <x:v>Coleção principal (~1:64)</x:v>
      </x:c>
      <x:c r="W184" s="82" t="str">
        <x:v>https://hotwheels.fandom.com/wiki/Porsche_911_Turbo_(930)</x:v>
      </x:c>
      <x:c r="X184" s="82" t="str">
        <x:v>https://hotwheels.fandom.com/wiki/Porsche_911_Turbo_(930)</x:v>
      </x:c>
    </x:row>
    <x:row r="185">
      <x:c r="A185" s="80" t="str">
        <x:v>Não</x:v>
      </x:c>
      <x:c r="B185" s="80" t="str">
        <x:v>2 — Completar aos poucos</x:v>
      </x:c>
      <x:c r="C185" s="81" t="n">
        <x:v>2023</x:v>
      </x:c>
      <x:c r="D185" s="80" t="str">
        <x:v>Porsche 911 Turbo 3.6 (964)</x:v>
      </x:c>
      <x:c r="E185" s="80" t="str">
        <x:v>Porsche 911 Turbo 3.6 (964)</x:v>
      </x:c>
      <x:c r="F185" s="82" t="str">
        <x:v>Tooned / 5/5</x:v>
      </x:c>
      <x:c r="G185" s="80" t="str"/>
      <x:c r="H185" s="80" t="str">
        <x:v>234/250</x:v>
      </x:c>
      <x:c r="I185" s="83" t="str">
        <x:v>HKG69</x:v>
      </x:c>
      <x:c r="J185" s="80" t="str">
        <x:v>Metalflake black</x:v>
      </x:c>
      <x:c r="K185" s="82" t="str">
        <x:v>Detailed headlights &amp; taillights, "Turbo 3.6" on rear, "964 TURBO" license plate</x:v>
      </x:c>
      <x:c r="L185" s="82" t="str">
        <x:v>Micro5SP</x:v>
      </x:c>
      <x:c r="M185" s="82" t="str">
        <x:v>Gray / / / Plastic</x:v>
      </x:c>
      <x:c r="N185" s="82" t="str">
        <x:v>Smoke tint</x:v>
      </x:c>
      <x:c r="O185" s="82" t="str">
        <x:v>Black</x:v>
      </x:c>
      <x:c r="P185" s="82" t="str">
        <x:v>Malaysia</x:v>
      </x:c>
      <x:c r="Q185" s="82" t="str"/>
      <x:c r="R185" s="82" t="str">
        <x:v>Mainline</x:v>
      </x:c>
      <x:c r="S185" s="82" t="str">
        <x:v>Comum / atual</x:v>
      </x:c>
      <x:c r="T185" s="82" t="str">
        <x:v>Lançado</x:v>
      </x:c>
      <x:c r="U185" s="82" t="str"/>
      <x:c r="V185" s="80" t="str">
        <x:v>Coleção principal (~1:64)</x:v>
      </x:c>
      <x:c r="W185" s="82" t="str">
        <x:v>https://hotwheels.fandom.com/wiki/Porsche_911_Turbo_3.6_(964)</x:v>
      </x:c>
      <x:c r="X185" s="82" t="str">
        <x:v>https://hotwheels.fandom.com/wiki/Porsche_911_Turbo_3.6_(964)</x:v>
      </x:c>
    </x:row>
    <x:row r="186">
      <x:c r="A186" s="80" t="str">
        <x:v>Não</x:v>
      </x:c>
      <x:c r="B186" s="80" t="str">
        <x:v>2 — Completar aos poucos</x:v>
      </x:c>
      <x:c r="C186" s="81" t="n">
        <x:v>2023</x:v>
      </x:c>
      <x:c r="D186" s="80" t="str">
        <x:v>Porsche 928S Safari</x:v>
      </x:c>
      <x:c r="E186" s="80" t="str">
        <x:v>Porsche 928S Safari</x:v>
      </x:c>
      <x:c r="F186" s="82" t="str">
        <x:v>Baja Blazers / 5/10</x:v>
      </x:c>
      <x:c r="G186" s="80" t="str"/>
      <x:c r="H186" s="80" t="str">
        <x:v>208/250</x:v>
      </x:c>
      <x:c r="I186" s="83" t="str">
        <x:v>HKG46</x:v>
      </x:c>
      <x:c r="J186" s="80" t="str">
        <x:v>Metalflake gray</x:v>
      </x:c>
      <x:c r="K186" s="82" t="str">
        <x:v>Inverted German flag deco, "D. SHAKHMATOV", "D. LOPEZ", "A. ANDRIEU", Bilstein, Hot Wheels, Porsche, Porsche 75 logos on sides</x:v>
      </x:c>
      <x:c r="L186" s="82" t="str">
        <x:v>Black 5SP</x:v>
      </x:c>
      <x:c r="M186" s="82" t="str">
        <x:v>Black / / / Plastic</x:v>
      </x:c>
      <x:c r="N186" s="82" t="str">
        <x:v>Smoke tint</x:v>
      </x:c>
      <x:c r="O186" s="82" t="str">
        <x:v>Black</x:v>
      </x:c>
      <x:c r="P186" s="82" t="str">
        <x:v>Malaysia</x:v>
      </x:c>
      <x:c r="Q186" s="82" t="str"/>
      <x:c r="R186" s="82" t="str">
        <x:v>Mainline</x:v>
      </x:c>
      <x:c r="S186" s="82" t="str">
        <x:v>Comum / atual</x:v>
      </x:c>
      <x:c r="T186" s="82" t="str">
        <x:v>Lançado</x:v>
      </x:c>
      <x:c r="U186" s="82" t="str">
        <x:v>New Model / Base code(s): S22, S23, S24, S25, S26, S27</x:v>
      </x:c>
      <x:c r="V186" s="80" t="str">
        <x:v>Coleção principal (~1:64)</x:v>
      </x:c>
      <x:c r="W186" s="82" t="str">
        <x:v>https://hotwheels.fandom.com/wiki/Porsche_928S_Safari</x:v>
      </x:c>
      <x:c r="X186" s="82" t="str">
        <x:v>https://hotwheels.fandom.com/wiki/Porsche_928S_Safari</x:v>
      </x:c>
    </x:row>
    <x:row r="187">
      <x:c r="A187" s="80" t="str">
        <x:v>Não</x:v>
      </x:c>
      <x:c r="B187" s="80" t="str">
        <x:v>2 — Completar aos poucos</x:v>
      </x:c>
      <x:c r="C187" s="81" t="n">
        <x:v>2023</x:v>
      </x:c>
      <x:c r="D187" s="80" t="str">
        <x:v>Porsche 934 Turbo RSR</x:v>
      </x:c>
      <x:c r="E187" s="80" t="str">
        <x:v>Porsche 934 Turbo RSR</x:v>
      </x:c>
      <x:c r="F187" s="82" t="str">
        <x:v>European Car Culture Themed Multipack</x:v>
      </x:c>
      <x:c r="G187" s="80" t="str"/>
      <x:c r="H187" s="80" t="str"/>
      <x:c r="I187" s="83" t="str">
        <x:v>HLK51</x:v>
      </x:c>
      <x:c r="J187" s="80" t="str">
        <x:v>Creamy yellow</x:v>
      </x:c>
      <x:c r="K187" s="82" t="str">
        <x:v>Detailed trim, "68" on sides and hood</x:v>
      </x:c>
      <x:c r="L187" s="82" t="str">
        <x:v>Gold LW</x:v>
      </x:c>
      <x:c r="M187" s="82" t="str">
        <x:v>Black / / / Plastic</x:v>
      </x:c>
      <x:c r="N187" s="82" t="str">
        <x:v>Smoke tint</x:v>
      </x:c>
      <x:c r="O187" s="82" t="str">
        <x:v>Black</x:v>
      </x:c>
      <x:c r="P187" s="82" t="str">
        <x:v>Malaysia</x:v>
      </x:c>
      <x:c r="Q187" s="82" t="str"/>
      <x:c r="R187" s="82" t="str">
        <x:v>Premium</x:v>
      </x:c>
      <x:c r="S187" s="82" t="str">
        <x:v>Incomum</x:v>
      </x:c>
      <x:c r="T187" s="82" t="str">
        <x:v>Lançado</x:v>
      </x:c>
      <x:c r="U187" s="82" t="str">
        <x:v>Base code(s): S02</x:v>
      </x:c>
      <x:c r="V187" s="80" t="str">
        <x:v>Coleção principal (~1:64)</x:v>
      </x:c>
      <x:c r="W187" s="82" t="str">
        <x:v>https://hotwheels.fandom.com/wiki/Porsche_934_Turbo_RSR</x:v>
      </x:c>
      <x:c r="X187" s="82" t="str">
        <x:v>https://hotwheels.fandom.com/wiki/Porsche_934_Turbo_RSR</x:v>
      </x:c>
    </x:row>
    <x:row r="188">
      <x:c r="A188" s="80" t="str">
        <x:v>Não</x:v>
      </x:c>
      <x:c r="B188" s="80" t="str">
        <x:v>2 — Completar aos poucos</x:v>
      </x:c>
      <x:c r="C188" s="81" t="n">
        <x:v>2023</x:v>
      </x:c>
      <x:c r="D188" s="80" t="str">
        <x:v>Porsche 934.5</x:v>
      </x:c>
      <x:c r="E188" s="80" t="str">
        <x:v>Porsche 934.5</x:v>
      </x:c>
      <x:c r="F188" s="82" t="str">
        <x:v>Car Culture: Team Transport (Legends Tour)</x:v>
      </x:c>
      <x:c r="G188" s="80" t="str"/>
      <x:c r="H188" s="80" t="str"/>
      <x:c r="I188" s="83" t="str">
        <x:v>HPG19</x:v>
      </x:c>
      <x:c r="J188" s="80" t="str">
        <x:v>Metalflake Silver</x:v>
      </x:c>
      <x:c r="K188" s="82" t="str">
        <x:v>"23" , "Legends Tour"on sides, Detailed headlights &amp; taillights</x:v>
      </x:c>
      <x:c r="L188" s="82" t="str">
        <x:v>Black RRA</x:v>
      </x:c>
      <x:c r="M188" s="82" t="str">
        <x:v>Black / / / Metal</x:v>
      </x:c>
      <x:c r="N188" s="82" t="str">
        <x:v>Smoke tint</x:v>
      </x:c>
      <x:c r="O188" s="82" t="str">
        <x:v>Black</x:v>
      </x:c>
      <x:c r="P188" s="82" t="str">
        <x:v>Thailand</x:v>
      </x:c>
      <x:c r="Q188" s="82" t="str">
        <x:v>Walmart</x:v>
      </x:c>
      <x:c r="R188" s="82" t="str">
        <x:v>Premium</x:v>
      </x:c>
      <x:c r="S188" s="82" t="str">
        <x:v>Rara</x:v>
      </x:c>
      <x:c r="T188" s="82" t="str">
        <x:v>Lançado</x:v>
      </x:c>
      <x:c r="U188" s="82" t="str">
        <x:v>Walmart Exclusive / Base code(s): S16, S17, S22</x:v>
      </x:c>
      <x:c r="V188" s="80" t="str">
        <x:v>Coleção principal (~1:64)</x:v>
      </x:c>
      <x:c r="W188" s="82" t="str">
        <x:v>https://hotwheels.fandom.com/wiki/Porsche_934.5</x:v>
      </x:c>
      <x:c r="X188" s="82" t="str">
        <x:v>https://hotwheels.fandom.com/wiki/Porsche_934.5</x:v>
      </x:c>
    </x:row>
    <x:row r="189">
      <x:c r="A189" s="80" t="str">
        <x:v>Não</x:v>
      </x:c>
      <x:c r="B189" s="80" t="str">
        <x:v>2 — Completar aos poucos</x:v>
      </x:c>
      <x:c r="C189" s="81" t="n">
        <x:v>2023</x:v>
      </x:c>
      <x:c r="D189" s="80" t="str">
        <x:v>Porsche 934.5</x:v>
      </x:c>
      <x:c r="E189" s="80" t="str">
        <x:v>Porsche 934.5</x:v>
      </x:c>
      <x:c r="F189" s="82" t="str">
        <x:v>Ultra Hots / 8/8</x:v>
      </x:c>
      <x:c r="G189" s="80" t="str"/>
      <x:c r="H189" s="80" t="str"/>
      <x:c r="I189" s="83" t="str">
        <x:v>HLH96</x:v>
      </x:c>
      <x:c r="J189" s="80" t="str">
        <x:v>Spectraflame orange</x:v>
      </x:c>
      <x:c r="K189" s="82" t="str">
        <x:v>Detailed headlights &amp; taillights, afterburner flame tampos, "68" on sides</x:v>
      </x:c>
      <x:c r="L189" s="82" t="str">
        <x:v>GUH</x:v>
      </x:c>
      <x:c r="M189" s="82" t="str">
        <x:v>Black / / / Plastic</x:v>
      </x:c>
      <x:c r="N189" s="82" t="str">
        <x:v>Smoke tint</x:v>
      </x:c>
      <x:c r="O189" s="82" t="str">
        <x:v>Black</x:v>
      </x:c>
      <x:c r="P189" s="82" t="str">
        <x:v>Malaysia</x:v>
      </x:c>
      <x:c r="Q189" s="82" t="str"/>
      <x:c r="R189" s="82" t="str">
        <x:v>Outra linha</x:v>
      </x:c>
      <x:c r="S189" s="82" t="str">
        <x:v>Comum / atual</x:v>
      </x:c>
      <x:c r="T189" s="82" t="str">
        <x:v>Lançado</x:v>
      </x:c>
      <x:c r="U189" s="82" t="str">
        <x:v>Base code(s): R45, R49, S02</x:v>
      </x:c>
      <x:c r="V189" s="80" t="str">
        <x:v>Coleção principal (~1:64)</x:v>
      </x:c>
      <x:c r="W189" s="82" t="str">
        <x:v>https://hotwheels.fandom.com/wiki/Porsche_934.5</x:v>
      </x:c>
      <x:c r="X189" s="82" t="str">
        <x:v>https://hotwheels.fandom.com/wiki/Porsche_934.5</x:v>
      </x:c>
    </x:row>
    <x:row r="190">
      <x:c r="A190" s="80" t="str">
        <x:v>Não</x:v>
      </x:c>
      <x:c r="B190" s="80" t="str">
        <x:v>2 — Completar aos poucos</x:v>
      </x:c>
      <x:c r="C190" s="81" t="n">
        <x:v>2023</x:v>
      </x:c>
      <x:c r="D190" s="80" t="str">
        <x:v>Porsche 935 (2022)</x:v>
      </x:c>
      <x:c r="E190" s="80" t="str">
        <x:v>Porsche 935</x:v>
      </x:c>
      <x:c r="F190" s="82" t="str">
        <x:v>Car Culture: Race Day / 1/5</x:v>
      </x:c>
      <x:c r="G190" s="80" t="str"/>
      <x:c r="H190" s="80" t="str"/>
      <x:c r="I190" s="83" t="str">
        <x:v>HKC59</x:v>
      </x:c>
      <x:c r="J190" s="80" t="str">
        <x:v>White</x:v>
      </x:c>
      <x:c r="K190" s="82" t="str">
        <x:v>Detailed headlights and taillights, purple accents, KW Suspension logo, "23" on sides</x:v>
      </x:c>
      <x:c r="L190" s="82" t="str">
        <x:v>White RRA</x:v>
      </x:c>
      <x:c r="M190" s="82" t="str">
        <x:v>Black / / / Metal</x:v>
      </x:c>
      <x:c r="N190" s="82" t="str">
        <x:v>Smoke tint</x:v>
      </x:c>
      <x:c r="O190" s="82" t="str">
        <x:v>Black</x:v>
      </x:c>
      <x:c r="P190" s="82" t="str">
        <x:v>Thailand</x:v>
      </x:c>
      <x:c r="Q190" s="82" t="str"/>
      <x:c r="R190" s="82" t="str">
        <x:v>Premium</x:v>
      </x:c>
      <x:c r="S190" s="82" t="str">
        <x:v>Incomum</x:v>
      </x:c>
      <x:c r="T190" s="82" t="str">
        <x:v>Lançado</x:v>
      </x:c>
      <x:c r="U190" s="82" t="str">
        <x:v>New Die-Cast Chassis / Base code(s): S27, S28, S29</x:v>
      </x:c>
      <x:c r="V190" s="80" t="str">
        <x:v>Coleção principal (~1:64)</x:v>
      </x:c>
      <x:c r="W190" s="82" t="str">
        <x:v>https://hotwheels.fandom.com/wiki/Porsche_935_(2022)</x:v>
      </x:c>
      <x:c r="X190" s="82" t="str">
        <x:v>https://hotwheels.fandom.com/wiki/Porsche_935_(2022)</x:v>
      </x:c>
    </x:row>
    <x:row r="191">
      <x:c r="A191" s="80" t="str">
        <x:v>Não</x:v>
      </x:c>
      <x:c r="B191" s="80" t="str">
        <x:v>2 — Completar aos poucos</x:v>
      </x:c>
      <x:c r="C191" s="81" t="n">
        <x:v>2023</x:v>
      </x:c>
      <x:c r="D191" s="80" t="str">
        <x:v>Porsche 935 (2022)</x:v>
      </x:c>
      <x:c r="E191" s="80" t="str">
        <x:v>Porsche 935</x:v>
      </x:c>
      <x:c r="F191" s="82" t="str">
        <x:v>Hot Wheels Boulevard / #87</x:v>
      </x:c>
      <x:c r="G191" s="80" t="str"/>
      <x:c r="H191" s="80" t="str"/>
      <x:c r="I191" s="83" t="str">
        <x:v>HKF36</x:v>
      </x:c>
      <x:c r="J191" s="80" t="str">
        <x:v>Red</x:v>
      </x:c>
      <x:c r="K191" s="82" t="str">
        <x:v>Detailed headlights and taillights, Team Salzburg-inspired livery, circle on sides</x:v>
      </x:c>
      <x:c r="L191" s="82" t="str">
        <x:v>Black RRA</x:v>
      </x:c>
      <x:c r="M191" s="82" t="str">
        <x:v>Black / / / Metal</x:v>
      </x:c>
      <x:c r="N191" s="82" t="str">
        <x:v>Smoke tint</x:v>
      </x:c>
      <x:c r="O191" s="82" t="str">
        <x:v>Black</x:v>
      </x:c>
      <x:c r="P191" s="82" t="str">
        <x:v>Thailand</x:v>
      </x:c>
      <x:c r="Q191" s="82" t="str"/>
      <x:c r="R191" s="82" t="str">
        <x:v>Premium</x:v>
      </x:c>
      <x:c r="S191" s="82" t="str">
        <x:v>Incomum</x:v>
      </x:c>
      <x:c r="T191" s="82" t="str">
        <x:v>Lançado</x:v>
      </x:c>
      <x:c r="U191" s="82" t="str">
        <x:v>Base code(s): S41, S44</x:v>
      </x:c>
      <x:c r="V191" s="80" t="str">
        <x:v>Coleção principal (~1:64)</x:v>
      </x:c>
      <x:c r="W191" s="82" t="str">
        <x:v>https://hotwheels.fandom.com/wiki/Porsche_935_(2022)</x:v>
      </x:c>
      <x:c r="X191" s="82" t="str">
        <x:v>https://hotwheels.fandom.com/wiki/Porsche_935_(2022)</x:v>
      </x:c>
    </x:row>
    <x:row r="192">
      <x:c r="A192" s="80" t="str">
        <x:v>Não</x:v>
      </x:c>
      <x:c r="B192" s="80" t="str">
        <x:v>2 — Completar aos poucos</x:v>
      </x:c>
      <x:c r="C192" s="81" t="n">
        <x:v>2023</x:v>
      </x:c>
      <x:c r="D192" s="80" t="str">
        <x:v>Porsche 935 (2022)</x:v>
      </x:c>
      <x:c r="E192" s="80" t="str">
        <x:v>Porsche 935</x:v>
      </x:c>
      <x:c r="F192" s="82" t="str">
        <x:v>HW Exotics / 7/10</x:v>
      </x:c>
      <x:c r="G192" s="80" t="str"/>
      <x:c r="H192" s="80" t="str">
        <x:v>223/250</x:v>
      </x:c>
      <x:c r="I192" s="83" t="str">
        <x:v>HKH96</x:v>
      </x:c>
      <x:c r="J192" s="80" t="str">
        <x:v>Navy blue</x:v>
      </x:c>
      <x:c r="K192" s="82" t="str">
        <x:v>Gold trim, red and yellow striping on sides, Porsche 75 and Porsche logos on door</x:v>
      </x:c>
      <x:c r="L192" s="82" t="str">
        <x:v>Chrome Gold Rim, Black AeroDisc</x:v>
      </x:c>
      <x:c r="M192" s="82" t="str">
        <x:v>Black / / / Plastic</x:v>
      </x:c>
      <x:c r="N192" s="82" t="str">
        <x:v>Smoke tint</x:v>
      </x:c>
      <x:c r="O192" s="82" t="str">
        <x:v>Black</x:v>
      </x:c>
      <x:c r="P192" s="82" t="str">
        <x:v>Malaysia</x:v>
      </x:c>
      <x:c r="Q192" s="82" t="str"/>
      <x:c r="R192" s="82" t="str">
        <x:v>Mainline</x:v>
      </x:c>
      <x:c r="S192" s="82" t="str">
        <x:v>Comum / atual</x:v>
      </x:c>
      <x:c r="T192" s="82" t="str">
        <x:v>Lançado</x:v>
      </x:c>
      <x:c r="U192" s="82" t="str">
        <x:v>Porsche 75th Anniversary / Base code(s): S24, S25, S26, S27</x:v>
      </x:c>
      <x:c r="V192" s="80" t="str">
        <x:v>Coleção principal (~1:64)</x:v>
      </x:c>
      <x:c r="W192" s="82" t="str">
        <x:v>https://hotwheels.fandom.com/wiki/Porsche_935_(2022)</x:v>
      </x:c>
      <x:c r="X192" s="82" t="str">
        <x:v>https://hotwheels.fandom.com/wiki/Porsche_935_(2022)</x:v>
      </x:c>
    </x:row>
    <x:row r="193">
      <x:c r="A193" s="80" t="str">
        <x:v>Não</x:v>
      </x:c>
      <x:c r="B193" s="80" t="str">
        <x:v>2 — Completar aos poucos</x:v>
      </x:c>
      <x:c r="C193" s="81" t="n">
        <x:v>2023</x:v>
      </x:c>
      <x:c r="D193" s="80" t="str">
        <x:v>Porsche 959 (1986)</x:v>
      </x:c>
      <x:c r="E193" s="80" t="str">
        <x:v>Porsche 959 (1986)</x:v>
      </x:c>
      <x:c r="F193" s="82" t="str">
        <x:v>Car Culture: Team Transport / #61</x:v>
      </x:c>
      <x:c r="G193" s="80" t="str"/>
      <x:c r="H193" s="80" t="str"/>
      <x:c r="I193" s="83" t="str">
        <x:v>HKF47</x:v>
      </x:c>
      <x:c r="J193" s="80" t="str">
        <x:v>White</x:v>
      </x:c>
      <x:c r="K193" s="82" t="str">
        <x:v>Red &amp; Blue stripes, "59" on hood and sides. "PORSCHE" on hood. "Brumos Porsche" on sides</x:v>
      </x:c>
      <x:c r="L193" s="82" t="str">
        <x:v>White RRSteelie</x:v>
      </x:c>
      <x:c r="M193" s="82" t="str">
        <x:v>Black / / / Metal</x:v>
      </x:c>
      <x:c r="N193" s="82" t="str">
        <x:v>Tinted (Black)</x:v>
      </x:c>
      <x:c r="O193" s="82" t="str">
        <x:v>Black</x:v>
      </x:c>
      <x:c r="P193" s="82" t="str">
        <x:v>Thailand</x:v>
      </x:c>
      <x:c r="Q193" s="82" t="str"/>
      <x:c r="R193" s="82" t="str">
        <x:v>Premium</x:v>
      </x:c>
      <x:c r="S193" s="82" t="str">
        <x:v>Incomum</x:v>
      </x:c>
      <x:c r="T193" s="82" t="str">
        <x:v>Lançado</x:v>
      </x:c>
      <x:c r="U193" s="82" t="str"/>
      <x:c r="V193" s="80" t="str">
        <x:v>Coleção principal (~1:64)</x:v>
      </x:c>
      <x:c r="W193" s="82" t="str">
        <x:v>https://hotwheels.fandom.com/wiki/Porsche_959_(1986)</x:v>
      </x:c>
      <x:c r="X193" s="82" t="str">
        <x:v>https://hotwheels.fandom.com/wiki/Porsche_959_(1986)</x:v>
      </x:c>
    </x:row>
    <x:row r="194">
      <x:c r="A194" s="80" t="str">
        <x:v>Não</x:v>
      </x:c>
      <x:c r="B194" s="80" t="str">
        <x:v>2 — Completar aos poucos</x:v>
      </x:c>
      <x:c r="C194" s="81" t="n">
        <x:v>2023</x:v>
      </x:c>
      <x:c r="D194" s="80" t="str">
        <x:v>Porsche 993 GT2</x:v>
      </x:c>
      <x:c r="E194" s="80" t="str">
        <x:v>Porsche 993 GT2</x:v>
      </x:c>
      <x:c r="F194" s="82" t="str">
        <x:v>55th Anniversary Black and Yellow / 4/6</x:v>
      </x:c>
      <x:c r="G194" s="80" t="str"/>
      <x:c r="H194" s="80" t="str"/>
      <x:c r="I194" s="83" t="str">
        <x:v>HLK06</x:v>
      </x:c>
      <x:c r="J194" s="80" t="str">
        <x:v>Matte black</x:v>
      </x:c>
      <x:c r="K194" s="82" t="str">
        <x:v>Hot Wheels logo, "55th", red and yellow stripes on sides</x:v>
      </x:c>
      <x:c r="L194" s="82" t="str">
        <x:v>Chrome Gold J5</x:v>
      </x:c>
      <x:c r="M194" s="82" t="str">
        <x:v>Gold Chrome / / / Plastic</x:v>
      </x:c>
      <x:c r="N194" s="82" t="str">
        <x:v>Clear</x:v>
      </x:c>
      <x:c r="O194" s="82" t="str">
        <x:v>Red</x:v>
      </x:c>
      <x:c r="P194" s="82" t="str">
        <x:v>Malaysia</x:v>
      </x:c>
      <x:c r="Q194" s="82" t="str"/>
      <x:c r="R194" s="82" t="str">
        <x:v>Outra linha</x:v>
      </x:c>
      <x:c r="S194" s="82" t="str">
        <x:v>Comum / atual</x:v>
      </x:c>
      <x:c r="T194" s="82" t="str">
        <x:v>Lançado</x:v>
      </x:c>
      <x:c r="U194" s="82" t="str">
        <x:v>Base code(s): S08, S15, S16, S18, S20</x:v>
      </x:c>
      <x:c r="V194" s="80" t="str">
        <x:v>Coleção principal (~1:64)</x:v>
      </x:c>
      <x:c r="W194" s="82" t="str">
        <x:v>https://hotwheels.fandom.com/wiki/Porsche_993_GT2</x:v>
      </x:c>
      <x:c r="X194" s="82" t="str">
        <x:v>https://hotwheels.fandom.com/wiki/Porsche_993_GT2</x:v>
      </x:c>
    </x:row>
    <x:row r="195">
      <x:c r="A195" s="80" t="str">
        <x:v>Não</x:v>
      </x:c>
      <x:c r="B195" s="80" t="str">
        <x:v>2 — Completar aos poucos</x:v>
      </x:c>
      <x:c r="C195" s="81" t="n">
        <x:v>2023</x:v>
      </x:c>
      <x:c r="D195" s="80" t="str">
        <x:v>Porsche 993 GT2</x:v>
      </x:c>
      <x:c r="E195" s="80" t="str">
        <x:v>Porsche 993 GT2</x:v>
      </x:c>
      <x:c r="F195" s="82" t="str">
        <x:v>Collector Edition</x:v>
      </x:c>
      <x:c r="G195" s="80" t="str"/>
      <x:c r="H195" s="80" t="str"/>
      <x:c r="I195" s="83" t="str">
        <x:v>HKL69</x:v>
      </x:c>
      <x:c r="J195" s="80" t="str">
        <x:v>Spectraflame Rubine Red</x:v>
      </x:c>
      <x:c r="K195" s="82" t="str">
        <x:v>Hot Wheels logo, pink and magenta pinstriping, black striping, "1" on sides and hood</x:v>
      </x:c>
      <x:c r="L195" s="82" t="str">
        <x:v>RLRRSteelie</x:v>
      </x:c>
      <x:c r="M195" s="82" t="str">
        <x:v>ZAMAC</x:v>
      </x:c>
      <x:c r="N195" s="82" t="str">
        <x:v>Clear</x:v>
      </x:c>
      <x:c r="O195" s="82" t="str">
        <x:v>Black</x:v>
      </x:c>
      <x:c r="P195" s="82" t="str">
        <x:v>Malaysia</x:v>
      </x:c>
      <x:c r="Q195" s="82" t="str">
        <x:v>Mail-in / Collector Edition</x:v>
      </x:c>
      <x:c r="R195" s="82" t="str">
        <x:v>Outra linha</x:v>
      </x:c>
      <x:c r="S195" s="82" t="str">
        <x:v>Rara</x:v>
      </x:c>
      <x:c r="T195" s="82" t="str">
        <x:v>Lançado</x:v>
      </x:c>
      <x:c r="U195" s="82" t="str">
        <x:v>Dollar General Mail-in / Base code(s): R40, R44</x:v>
      </x:c>
      <x:c r="V195" s="80" t="str">
        <x:v>Coleção principal (~1:64)</x:v>
      </x:c>
      <x:c r="W195" s="82" t="str">
        <x:v>https://hotwheels.fandom.com/wiki/Porsche_993_GT2</x:v>
      </x:c>
      <x:c r="X195" s="82" t="str">
        <x:v>https://hotwheels.fandom.com/wiki/Porsche_993_GT2</x:v>
      </x:c>
    </x:row>
    <x:row r="196">
      <x:c r="A196" s="80" t="str">
        <x:v>Não</x:v>
      </x:c>
      <x:c r="B196" s="80" t="str">
        <x:v>2 — Completar aos poucos</x:v>
      </x:c>
      <x:c r="C196" s="81" t="n">
        <x:v>2023</x:v>
      </x:c>
      <x:c r="D196" s="80" t="str">
        <x:v>Porsche Panamera Turbo S E-Hybrid Sport Turismo</x:v>
      </x:c>
      <x:c r="E196" s="80" t="str">
        <x:v>Porsche Panamera Turbo S E-Hybrid Sport Turismo</x:v>
      </x:c>
      <x:c r="F196" s="82" t="str">
        <x:v>HW Green Speed / 2/10</x:v>
      </x:c>
      <x:c r="G196" s="80" t="str"/>
      <x:c r="H196" s="80" t="str">
        <x:v>038/250</x:v>
      </x:c>
      <x:c r="I196" s="83" t="str">
        <x:v>HKL38</x:v>
      </x:c>
      <x:c r="J196" s="80" t="str">
        <x:v>Metalflake Burnt Orange</x:v>
      </x:c>
      <x:c r="K196" s="82" t="str">
        <x:v>Detailed headlights, taillights, and front bumper; Black roof, HW logo license plate on front and rear, Porsche logo emblem on hood, "PORSCHE PANAMERA TURBO S" emblem at rear</x:v>
      </x:c>
      <x:c r="L196" s="82" t="str">
        <x:v>PR5</x:v>
      </x:c>
      <x:c r="M196" s="82" t="str">
        <x:v>Black / / / Plastic</x:v>
      </x:c>
      <x:c r="N196" s="82" t="str">
        <x:v>Smoke tint</x:v>
      </x:c>
      <x:c r="O196" s="82" t="str">
        <x:v>Dark Gray</x:v>
      </x:c>
      <x:c r="P196" s="82" t="str">
        <x:v>Malaysia</x:v>
      </x:c>
      <x:c r="Q196" s="82" t="str"/>
      <x:c r="R196" s="82" t="str">
        <x:v>Mainline</x:v>
      </x:c>
      <x:c r="S196" s="82" t="str">
        <x:v>Comum / atual</x:v>
      </x:c>
      <x:c r="T196" s="82" t="str">
        <x:v>Lançado</x:v>
      </x:c>
      <x:c r="U196" s="82" t="str">
        <x:v>Dollar General Exclusive / Base code(s): R41, R42</x:v>
      </x:c>
      <x:c r="V196" s="80" t="str">
        <x:v>Coleção principal (~1:64)</x:v>
      </x:c>
      <x:c r="W196" s="82" t="str">
        <x:v>https://hotwheels.fandom.com/wiki/Porsche_Panamera_Turbo_S_E-Hybrid_Sport_Turismo</x:v>
      </x:c>
      <x:c r="X196" s="82" t="str">
        <x:v>https://hotwheels.fandom.com/wiki/Porsche_Panamera_Turbo_S_E-Hybrid_Sport_Turismo</x:v>
      </x:c>
    </x:row>
    <x:row r="197">
      <x:c r="A197" s="80" t="str">
        <x:v>Não</x:v>
      </x:c>
      <x:c r="B197" s="80" t="str">
        <x:v>2 — Completar aos poucos</x:v>
      </x:c>
      <x:c r="C197" s="81" t="n">
        <x:v>2023</x:v>
      </x:c>
      <x:c r="D197" s="80" t="str">
        <x:v>Porsche Panamera Turbo S E-Hybrid Sport Turismo</x:v>
      </x:c>
      <x:c r="E197" s="80" t="str">
        <x:v>Porsche Panamera Turbo S E-Hybrid Sport Turismo</x:v>
      </x:c>
      <x:c r="F197" s="82" t="str">
        <x:v>HW Green Speed / 2/10</x:v>
      </x:c>
      <x:c r="G197" s="80" t="str"/>
      <x:c r="H197" s="80" t="str">
        <x:v>038/250</x:v>
      </x:c>
      <x:c r="I197" s="83" t="str">
        <x:v>HKH55</x:v>
      </x:c>
      <x:c r="J197" s="80" t="str">
        <x:v>Red</x:v>
      </x:c>
      <x:c r="K197" s="82" t="str">
        <x:v>Detailed headlights, taillights, and front bumper; Black roof, HW logo license plate on front and rear, Porsche logo emblem on hood, "PORSCHE PANAMERA TURBO S" emblem at rear</x:v>
      </x:c>
      <x:c r="L197" s="82" t="str">
        <x:v>Chrome rim, Black PR5</x:v>
      </x:c>
      <x:c r="M197" s="82" t="str">
        <x:v>Black / / / Plastic</x:v>
      </x:c>
      <x:c r="N197" s="82" t="str">
        <x:v>Smoke tint</x:v>
      </x:c>
      <x:c r="O197" s="82" t="str">
        <x:v>Dark Gray</x:v>
      </x:c>
      <x:c r="P197" s="82" t="str">
        <x:v>Malaysia</x:v>
      </x:c>
      <x:c r="Q197" s="82" t="str"/>
      <x:c r="R197" s="82" t="str">
        <x:v>Mainline</x:v>
      </x:c>
      <x:c r="S197" s="82" t="str">
        <x:v>Comum / atual</x:v>
      </x:c>
      <x:c r="T197" s="82" t="str">
        <x:v>Lançado</x:v>
      </x:c>
      <x:c r="U197" s="82" t="str">
        <x:v>Base code(s): R35, R37, R38, R40, R41</x:v>
      </x:c>
      <x:c r="V197" s="80" t="str">
        <x:v>Coleção principal (~1:64)</x:v>
      </x:c>
      <x:c r="W197" s="82" t="str">
        <x:v>https://hotwheels.fandom.com/wiki/Porsche_Panamera_Turbo_S_E-Hybrid_Sport_Turismo</x:v>
      </x:c>
      <x:c r="X197" s="82" t="str">
        <x:v>https://hotwheels.fandom.com/wiki/Porsche_Panamera_Turbo_S_E-Hybrid_Sport_Turismo</x:v>
      </x:c>
    </x:row>
    <x:row r="198">
      <x:c r="A198" s="80" t="str">
        <x:v>Não</x:v>
      </x:c>
      <x:c r="B198" s="80" t="str">
        <x:v>2 — Completar aos poucos</x:v>
      </x:c>
      <x:c r="C198" s="81" t="n">
        <x:v>2023</x:v>
      </x:c>
      <x:c r="D198" s="80" t="str">
        <x:v>Porsche Taycan Turbo S</x:v>
      </x:c>
      <x:c r="E198" s="80" t="str">
        <x:v>Porsche Taycan Turbo S</x:v>
      </x:c>
      <x:c r="F198" s="82" t="str">
        <x:v>Factory Fresh / 4/5</x:v>
      </x:c>
      <x:c r="G198" s="80" t="str"/>
      <x:c r="H198" s="80" t="str">
        <x:v>149/250</x:v>
      </x:c>
      <x:c r="I198" s="83" t="str">
        <x:v>HKJ31</x:v>
      </x:c>
      <x:c r="J198" s="80" t="str">
        <x:v>Metalflake Mamba Green</x:v>
      </x:c>
      <x:c r="K198" s="82" t="str">
        <x:v>Detailed headlights &amp; taillights, "Turbo S" license plate, "PORSCHE Taycan Turbo S" on rear</x:v>
      </x:c>
      <x:c r="L198" s="82" t="str">
        <x:v>Chrome rim, black OH5</x:v>
      </x:c>
      <x:c r="M198" s="82" t="str">
        <x:v>Black / / / Plastic</x:v>
      </x:c>
      <x:c r="N198" s="82" t="str">
        <x:v>Smoke tint</x:v>
      </x:c>
      <x:c r="O198" s="82" t="str">
        <x:v>Black</x:v>
      </x:c>
      <x:c r="P198" s="82" t="str">
        <x:v>Malaysia</x:v>
      </x:c>
      <x:c r="Q198" s="82" t="str"/>
      <x:c r="R198" s="82" t="str">
        <x:v>Mainline</x:v>
      </x:c>
      <x:c r="S198" s="82" t="str">
        <x:v>Comum / atual</x:v>
      </x:c>
      <x:c r="T198" s="82" t="str">
        <x:v>Lançado</x:v>
      </x:c>
      <x:c r="U198" s="82" t="str">
        <x:v>Base code(s): S01, S02, S05, S07</x:v>
      </x:c>
      <x:c r="V198" s="80" t="str">
        <x:v>Coleção principal (~1:64)</x:v>
      </x:c>
      <x:c r="W198" s="82" t="str">
        <x:v>https://hotwheels.fandom.com/wiki/Porsche_Taycan_Turbo_S</x:v>
      </x:c>
      <x:c r="X198" s="82" t="str">
        <x:v>https://hotwheels.fandom.com/wiki/Porsche_Taycan_Turbo_S</x:v>
      </x:c>
    </x:row>
    <x:row r="199">
      <x:c r="A199" s="80" t="str">
        <x:v>Não</x:v>
      </x:c>
      <x:c r="B199" s="80" t="str">
        <x:v>2 — Completar aos poucos</x:v>
      </x:c>
      <x:c r="C199" s="81" t="n">
        <x:v>2023</x:v>
      </x:c>
      <x:c r="D199" s="80" t="str">
        <x:v>Porsche Taycan Turbo S</x:v>
      </x:c>
      <x:c r="E199" s="80" t="str">
        <x:v>Porsche Taycan Turbo S</x:v>
      </x:c>
      <x:c r="F199" s="82" t="str">
        <x:v>Factory Fresh / 4/5</x:v>
      </x:c>
      <x:c r="G199" s="80" t="str"/>
      <x:c r="H199" s="80" t="str">
        <x:v>149/250</x:v>
      </x:c>
      <x:c r="I199" s="83" t="str">
        <x:v>HKL30</x:v>
      </x:c>
      <x:c r="J199" s="80" t="str">
        <x:v>ZAMAC</x:v>
      </x:c>
      <x:c r="K199" s="82" t="str">
        <x:v>Detailed headlights &amp; taillights, "Turbo S" license plate, "PORSCHE Taycan Turbo S" on rear</x:v>
      </x:c>
      <x:c r="L199" s="82" t="str">
        <x:v>Gray rim, black OH5</x:v>
      </x:c>
      <x:c r="M199" s="82" t="str">
        <x:v>Black / / / Plastic</x:v>
      </x:c>
      <x:c r="N199" s="82" t="str">
        <x:v>Smoke tint</x:v>
      </x:c>
      <x:c r="O199" s="82" t="str">
        <x:v>Black</x:v>
      </x:c>
      <x:c r="P199" s="82" t="str">
        <x:v>Malaysia</x:v>
      </x:c>
      <x:c r="Q199" s="82" t="str">
        <x:v>ZAMAC, Walmart</x:v>
      </x:c>
      <x:c r="R199" s="82" t="str">
        <x:v>Mainline</x:v>
      </x:c>
      <x:c r="S199" s="82" t="str">
        <x:v>Rara</x:v>
      </x:c>
      <x:c r="T199" s="82" t="str">
        <x:v>Lançado</x:v>
      </x:c>
      <x:c r="U199" s="82" t="str">
        <x:v>Walmart Exclusive / Base code(s): S12</x:v>
      </x:c>
      <x:c r="V199" s="80" t="str">
        <x:v>Coleção principal (~1:64)</x:v>
      </x:c>
      <x:c r="W199" s="82" t="str">
        <x:v>https://hotwheels.fandom.com/wiki/Porsche_Taycan_Turbo_S</x:v>
      </x:c>
      <x:c r="X199" s="82" t="str">
        <x:v>https://hotwheels.fandom.com/wiki/Porsche_Taycan_Turbo_S</x:v>
      </x:c>
    </x:row>
    <x:row r="200">
      <x:c r="A200" s="80" t="str">
        <x:v>Não</x:v>
      </x:c>
      <x:c r="B200" s="80" t="str">
        <x:v>2 — Completar aos poucos</x:v>
      </x:c>
      <x:c r="C200" s="81" t="n">
        <x:v>2022</x:v>
      </x:c>
      <x:c r="D200" s="80" t="str">
        <x:v>'71 Porsche 911</x:v>
      </x:c>
      <x:c r="E200" s="80" t="str">
        <x:v>'71 Porsche 911</x:v>
      </x:c>
      <x:c r="F200" s="82" t="str">
        <x:v>FAO Schwarz Gold Multipack</x:v>
      </x:c>
      <x:c r="G200" s="80" t="str"/>
      <x:c r="H200" s="80" t="str"/>
      <x:c r="I200" s="83" t="str">
        <x:v>HNB86</x:v>
      </x:c>
      <x:c r="J200" s="80" t="str">
        <x:v>Metalflake gold</x:v>
      </x:c>
      <x:c r="K200" s="82" t="str">
        <x:v>Goldenrod "Porsche" stripe on rockers. "HWGRFX" on doors. Roundel on doors &amp; hood. Porsche badge on hood. Headlights.</x:v>
      </x:c>
      <x:c r="L200" s="82" t="str">
        <x:v>Gold Chrome 5SP</x:v>
      </x:c>
      <x:c r="M200" s="82" t="str">
        <x:v>Gold Chrome / / / Plastic</x:v>
      </x:c>
      <x:c r="N200" s="82" t="str">
        <x:v>Smoke tint</x:v>
      </x:c>
      <x:c r="O200" s="82" t="str">
        <x:v>Black</x:v>
      </x:c>
      <x:c r="P200" s="82" t="str">
        <x:v>Malaysia</x:v>
      </x:c>
      <x:c r="Q200" s="82" t="str"/>
      <x:c r="R200" s="82" t="str">
        <x:v>Temática / multipack</x:v>
      </x:c>
      <x:c r="S200" s="82" t="str">
        <x:v>Comum / atual</x:v>
      </x:c>
      <x:c r="T200" s="82" t="str">
        <x:v>Lançado</x:v>
      </x:c>
      <x:c r="U200" s="82" t="str">
        <x:v>Base code(s): R23</x:v>
      </x:c>
      <x:c r="V200" s="80" t="str">
        <x:v>Coleção principal (~1:64)</x:v>
      </x:c>
      <x:c r="W200" s="82" t="str">
        <x:v>https://hotwheels.fandom.com/wiki/%2771_Porsche_911</x:v>
      </x:c>
      <x:c r="X200" s="82" t="str">
        <x:v>https://hotwheels.fandom.com/wiki/%2771_Porsche_911</x:v>
      </x:c>
    </x:row>
    <x:row r="201">
      <x:c r="A201" s="80" t="str">
        <x:v>Não</x:v>
      </x:c>
      <x:c r="B201" s="80" t="str">
        <x:v>2 — Completar aos poucos</x:v>
      </x:c>
      <x:c r="C201" s="81" t="n">
        <x:v>2022</x:v>
      </x:c>
      <x:c r="D201" s="80" t="str">
        <x:v>'71 Porsche 911</x:v>
      </x:c>
      <x:c r="E201" s="80" t="str">
        <x:v>'71 Porsche 911</x:v>
      </x:c>
      <x:c r="F201" s="82" t="str">
        <x:v>Racing Circuit / 4/5</x:v>
      </x:c>
      <x:c r="G201" s="80" t="str"/>
      <x:c r="H201" s="80" t="str"/>
      <x:c r="I201" s="83" t="str">
        <x:v>HDG72</x:v>
      </x:c>
      <x:c r="J201" s="80" t="str">
        <x:v>Yellow</x:v>
      </x:c>
      <x:c r="K201" s="82" t="str">
        <x:v>Black stripe with Porsche embossed, Bilstein, Goodyear &amp; HWGRFX on doors, White dot on doors &amp; hood</x:v>
      </x:c>
      <x:c r="L201" s="82" t="str">
        <x:v>5SP</x:v>
      </x:c>
      <x:c r="M201" s="82" t="str">
        <x:v>Yellow / / / Plastic</x:v>
      </x:c>
      <x:c r="N201" s="82" t="str">
        <x:v>Smoke tint</x:v>
      </x:c>
      <x:c r="O201" s="82" t="str">
        <x:v>Black</x:v>
      </x:c>
      <x:c r="P201" s="82" t="str">
        <x:v>Malaysia</x:v>
      </x:c>
      <x:c r="Q201" s="82" t="str"/>
      <x:c r="R201" s="82" t="str">
        <x:v>Outra linha</x:v>
      </x:c>
      <x:c r="S201" s="82" t="str">
        <x:v>Comum / atual</x:v>
      </x:c>
      <x:c r="T201" s="82" t="str">
        <x:v>Lançado</x:v>
      </x:c>
      <x:c r="U201" s="82" t="str">
        <x:v>Base code(s): P43, P44, P45, P46</x:v>
      </x:c>
      <x:c r="V201" s="80" t="str">
        <x:v>Coleção principal (~1:64)</x:v>
      </x:c>
      <x:c r="W201" s="82" t="str">
        <x:v>https://hotwheels.fandom.com/wiki/%2771_Porsche_911</x:v>
      </x:c>
      <x:c r="X201" s="82" t="str">
        <x:v>https://hotwheels.fandom.com/wiki/%2771_Porsche_911</x:v>
      </x:c>
    </x:row>
    <x:row r="202">
      <x:c r="A202" s="80" t="str">
        <x:v>Não</x:v>
      </x:c>
      <x:c r="B202" s="80" t="str">
        <x:v>2 — Completar aos poucos</x:v>
      </x:c>
      <x:c r="C202" s="81" t="n">
        <x:v>2022</x:v>
      </x:c>
      <x:c r="D202" s="80" t="str">
        <x:v>Porsche 356 Outlaw</x:v>
      </x:c>
      <x:c r="E202" s="80" t="str">
        <x:v>Porsche 356 Outlaw</x:v>
      </x:c>
      <x:c r="F202" s="82" t="str">
        <x:v>Multipack Exclusive</x:v>
      </x:c>
      <x:c r="G202" s="80" t="str"/>
      <x:c r="H202" s="80" t="str"/>
      <x:c r="I202" s="83" t="str">
        <x:v>X6999</x:v>
      </x:c>
      <x:c r="J202" s="80" t="str">
        <x:v>Black</x:v>
      </x:c>
      <x:c r="K202" s="82" t="str">
        <x:v>"310" on hood and doors, Goodyear, Bilstein, Castrol, Sparco logos</x:v>
      </x:c>
      <x:c r="L202" s="82" t="str">
        <x:v>Black, Chrome Red Rim DD8</x:v>
      </x:c>
      <x:c r="M202" s="82" t="str">
        <x:v>Black / / / Plastic</x:v>
      </x:c>
      <x:c r="N202" s="82" t="str">
        <x:v>Clear</x:v>
      </x:c>
      <x:c r="O202" s="82" t="str">
        <x:v>Red</x:v>
      </x:c>
      <x:c r="P202" s="82" t="str">
        <x:v>Malaysia</x:v>
      </x:c>
      <x:c r="Q202" s="82" t="str"/>
      <x:c r="R202" s="82" t="str">
        <x:v>Temática / multipack</x:v>
      </x:c>
      <x:c r="S202" s="82" t="str">
        <x:v>Comum / atual</x:v>
      </x:c>
      <x:c r="T202" s="82" t="str">
        <x:v>Lançado</x:v>
      </x:c>
      <x:c r="U202" s="82" t="str">
        <x:v>Base code(s): P43, P44, P48, R02</x:v>
      </x:c>
      <x:c r="V202" s="80" t="str">
        <x:v>Coleção principal (~1:64)</x:v>
      </x:c>
      <x:c r="W202" s="82" t="str">
        <x:v>https://hotwheels.fandom.com/wiki/Porsche_356_Outlaw</x:v>
      </x:c>
      <x:c r="X202" s="82" t="str">
        <x:v>https://hotwheels.fandom.com/wiki/Porsche_356_Outlaw</x:v>
      </x:c>
    </x:row>
    <x:row r="203">
      <x:c r="A203" s="80" t="str">
        <x:v>Não</x:v>
      </x:c>
      <x:c r="B203" s="80" t="str">
        <x:v>2 — Completar aos poucos</x:v>
      </x:c>
      <x:c r="C203" s="81" t="n">
        <x:v>2022</x:v>
      </x:c>
      <x:c r="D203" s="80" t="str">
        <x:v>Porsche 356 Outlaw</x:v>
      </x:c>
      <x:c r="E203" s="80" t="str">
        <x:v>Porsche 356 Outlaw</x:v>
      </x:c>
      <x:c r="F203" s="82" t="str">
        <x:v>Multipack Exclusive</x:v>
      </x:c>
      <x:c r="G203" s="80" t="str"/>
      <x:c r="H203" s="80" t="str"/>
      <x:c r="I203" s="83" t="str">
        <x:v>X6999</x:v>
      </x:c>
      <x:c r="J203" s="80" t="str">
        <x:v>Green</x:v>
      </x:c>
      <x:c r="K203" s="82" t="str">
        <x:v>"310" on hood and doors, Goodyear, Bilstein, Castrol, Sparco logos</x:v>
      </x:c>
      <x:c r="L203" s="82" t="str">
        <x:v>Black, Chrome Rim DD8</x:v>
      </x:c>
      <x:c r="M203" s="82" t="str">
        <x:v>Black / / / Plastic</x:v>
      </x:c>
      <x:c r="N203" s="82" t="str">
        <x:v>Smoke tint</x:v>
      </x:c>
      <x:c r="O203" s="82" t="str">
        <x:v>Tan</x:v>
      </x:c>
      <x:c r="P203" s="82" t="str">
        <x:v>Malaysia</x:v>
      </x:c>
      <x:c r="Q203" s="82" t="str"/>
      <x:c r="R203" s="82" t="str">
        <x:v>Temática / multipack</x:v>
      </x:c>
      <x:c r="S203" s="82" t="str">
        <x:v>Comum / atual</x:v>
      </x:c>
      <x:c r="T203" s="82" t="str">
        <x:v>Lançado</x:v>
      </x:c>
      <x:c r="U203" s="82" t="str">
        <x:v>Base code(s): R10, R14</x:v>
      </x:c>
      <x:c r="V203" s="80" t="str">
        <x:v>Coleção principal (~1:64)</x:v>
      </x:c>
      <x:c r="W203" s="82" t="str">
        <x:v>https://hotwheels.fandom.com/wiki/Porsche_356_Outlaw</x:v>
      </x:c>
      <x:c r="X203" s="82" t="str">
        <x:v>https://hotwheels.fandom.com/wiki/Porsche_356_Outlaw</x:v>
      </x:c>
    </x:row>
    <x:row r="204">
      <x:c r="A204" s="80" t="str">
        <x:v>Não</x:v>
      </x:c>
      <x:c r="B204" s="80" t="str">
        <x:v>2 — Completar aos poucos</x:v>
      </x:c>
      <x:c r="C204" s="81" t="n">
        <x:v>2022</x:v>
      </x:c>
      <x:c r="D204" s="80" t="str">
        <x:v>Porsche 356 Outlaw</x:v>
      </x:c>
      <x:c r="E204" s="80" t="str">
        <x:v>Porsche 356 Outlaw</x:v>
      </x:c>
      <x:c r="F204" s="82" t="str">
        <x:v>Multipack Exclusive</x:v>
      </x:c>
      <x:c r="G204" s="80" t="str"/>
      <x:c r="H204" s="80" t="str"/>
      <x:c r="I204" s="83" t="str">
        <x:v>X6999</x:v>
      </x:c>
      <x:c r="J204" s="80" t="str">
        <x:v>Tan</x:v>
      </x:c>
      <x:c r="K204" s="82" t="str">
        <x:v>"310" on hood and doors, Goodyear, Bilstein, Castrol, Sparco logos</x:v>
      </x:c>
      <x:c r="L204" s="82" t="str">
        <x:v>Black, Gray Rim DD8</x:v>
      </x:c>
      <x:c r="M204" s="82" t="str">
        <x:v>Black / / / Plastic</x:v>
      </x:c>
      <x:c r="N204" s="82" t="str">
        <x:v>Smoke tint</x:v>
      </x:c>
      <x:c r="O204" s="82" t="str">
        <x:v>Black</x:v>
      </x:c>
      <x:c r="P204" s="82" t="str">
        <x:v>Malaysia</x:v>
      </x:c>
      <x:c r="Q204" s="82" t="str"/>
      <x:c r="R204" s="82" t="str">
        <x:v>Temática / multipack</x:v>
      </x:c>
      <x:c r="S204" s="82" t="str">
        <x:v>Comum / atual</x:v>
      </x:c>
      <x:c r="T204" s="82" t="str">
        <x:v>Lançado</x:v>
      </x:c>
      <x:c r="U204" s="82" t="str">
        <x:v>Base code(s): R26, R28</x:v>
      </x:c>
      <x:c r="V204" s="80" t="str">
        <x:v>Coleção principal (~1:64)</x:v>
      </x:c>
      <x:c r="W204" s="82" t="str">
        <x:v>https://hotwheels.fandom.com/wiki/Porsche_356_Outlaw</x:v>
      </x:c>
      <x:c r="X204" s="82" t="str">
        <x:v>https://hotwheels.fandom.com/wiki/Porsche_356_Outlaw</x:v>
      </x:c>
    </x:row>
    <x:row r="205">
      <x:c r="A205" s="80" t="str">
        <x:v>Não</x:v>
      </x:c>
      <x:c r="B205" s="80" t="str">
        <x:v>2 — Completar aos poucos</x:v>
      </x:c>
      <x:c r="C205" s="81" t="n">
        <x:v>2022</x:v>
      </x:c>
      <x:c r="D205" s="80" t="str">
        <x:v>Porsche 356 Speedster</x:v>
      </x:c>
      <x:c r="E205" s="80" t="str">
        <x:v>Porsche 356 Speedster</x:v>
      </x:c>
      <x:c r="F205" s="82" t="str">
        <x:v>Collector Edition</x:v>
      </x:c>
      <x:c r="G205" s="80" t="str"/>
      <x:c r="H205" s="80" t="str"/>
      <x:c r="I205" s="83" t="str">
        <x:v>HCW10</x:v>
      </x:c>
      <x:c r="J205" s="80" t="str">
        <x:v>Spectraflame blue</x:v>
      </x:c>
      <x:c r="K205" s="82" t="str">
        <x:v>Detailed headlights, Hot Wheels logo, gold pinstriping, "3" on sides</x:v>
      </x:c>
      <x:c r="L205" s="82" t="str">
        <x:v>Gold RR8SP</x:v>
      </x:c>
      <x:c r="M205" s="82" t="str">
        <x:v>ZAMAC</x:v>
      </x:c>
      <x:c r="N205" s="82" t="str">
        <x:v>Clear</x:v>
      </x:c>
      <x:c r="O205" s="82" t="str">
        <x:v>Black</x:v>
      </x:c>
      <x:c r="P205" s="82" t="str">
        <x:v>Malaysia</x:v>
      </x:c>
      <x:c r="Q205" s="82" t="str">
        <x:v>Mail-in / Collector Edition</x:v>
      </x:c>
      <x:c r="R205" s="82" t="str">
        <x:v>Outra linha</x:v>
      </x:c>
      <x:c r="S205" s="82" t="str">
        <x:v>Rara</x:v>
      </x:c>
      <x:c r="T205" s="82" t="str">
        <x:v>Lançado</x:v>
      </x:c>
      <x:c r="U205" s="82" t="str"/>
      <x:c r="V205" s="80" t="str">
        <x:v>Coleção principal (~1:64)</x:v>
      </x:c>
      <x:c r="W205" s="82" t="str">
        <x:v>https://hotwheels.fandom.com/wiki/Porsche_356_Speedster</x:v>
      </x:c>
      <x:c r="X205" s="82" t="str">
        <x:v>https://hotwheels.fandom.com/wiki/Porsche_356_Speedster</x:v>
      </x:c>
    </x:row>
    <x:row r="206">
      <x:c r="A206" s="80" t="str">
        <x:v>Não</x:v>
      </x:c>
      <x:c r="B206" s="80" t="str">
        <x:v>2 — Completar aos poucos</x:v>
      </x:c>
      <x:c r="C206" s="81" t="n">
        <x:v>2022</x:v>
      </x:c>
      <x:c r="D206" s="80" t="str">
        <x:v>Porsche 911 GT2</x:v>
      </x:c>
      <x:c r="E206" s="80" t="str">
        <x:v>Porsche 911 GT2</x:v>
      </x:c>
      <x:c r="F206" s="82" t="str">
        <x:v>Multipack Exclusive</x:v>
      </x:c>
      <x:c r="G206" s="80" t="str"/>
      <x:c r="H206" s="80" t="str"/>
      <x:c r="I206" s="83" t="str">
        <x:v>X6999</x:v>
      </x:c>
      <x:c r="J206" s="80" t="str">
        <x:v>Metallic Silver</x:v>
      </x:c>
      <x:c r="K206" s="82" t="str">
        <x:v>Black stripes, GT2 at back</x:v>
      </x:c>
      <x:c r="L206" s="82" t="str">
        <x:v>Chrome lip, black J5</x:v>
      </x:c>
      <x:c r="M206" s="82" t="str">
        <x:v>Gray / / / Plastic</x:v>
      </x:c>
      <x:c r="N206" s="82" t="str">
        <x:v>Tinted (Black)</x:v>
      </x:c>
      <x:c r="O206" s="82" t="str">
        <x:v>Black</x:v>
      </x:c>
      <x:c r="P206" s="82" t="str">
        <x:v>Malaysia</x:v>
      </x:c>
      <x:c r="Q206" s="82" t="str"/>
      <x:c r="R206" s="82" t="str">
        <x:v>Temática / multipack</x:v>
      </x:c>
      <x:c r="S206" s="82" t="str">
        <x:v>Comum / atual</x:v>
      </x:c>
      <x:c r="T206" s="82" t="str">
        <x:v>Lançado</x:v>
      </x:c>
      <x:c r="U206" s="82" t="str">
        <x:v>Base code(s): P47, P48, P49, R17</x:v>
      </x:c>
      <x:c r="V206" s="80" t="str">
        <x:v>Coleção principal (~1:64)</x:v>
      </x:c>
      <x:c r="W206" s="82" t="str">
        <x:v>https://hotwheels.fandom.com/wiki/Porsche_911_GT2</x:v>
      </x:c>
      <x:c r="X206" s="82" t="str">
        <x:v>https://hotwheels.fandom.com/wiki/Porsche_911_GT2</x:v>
      </x:c>
    </x:row>
    <x:row r="207">
      <x:c r="A207" s="80" t="str">
        <x:v>Não</x:v>
      </x:c>
      <x:c r="B207" s="80" t="str">
        <x:v>2 — Completar aos poucos</x:v>
      </x:c>
      <x:c r="C207" s="81" t="n">
        <x:v>2022</x:v>
      </x:c>
      <x:c r="D207" s="80" t="str">
        <x:v>Porsche 911 GT3</x:v>
      </x:c>
      <x:c r="E207" s="80" t="str">
        <x:v>Porsche 911 GT3</x:v>
      </x:c>
      <x:c r="F207" s="82" t="str">
        <x:v>Factory Fresh / 10/10</x:v>
      </x:c>
      <x:c r="G207" s="80" t="str"/>
      <x:c r="H207" s="80" t="str">
        <x:v>199/250</x:v>
      </x:c>
      <x:c r="I207" s="83" t="str">
        <x:v>HCX85</x:v>
      </x:c>
      <x:c r="J207" s="80" t="str">
        <x:v>Matte Jet Black</x:v>
      </x:c>
      <x:c r="K207" s="82" t="str">
        <x:v>Detailed taillights, reflectors and trim, black roof and front air intakes, "GT3" badging, "911 GT3" license plate</x:v>
      </x:c>
      <x:c r="L207" s="82" t="str">
        <x:v>Gray Y5</x:v>
      </x:c>
      <x:c r="M207" s="82" t="str">
        <x:v>Black / / / Plastic</x:v>
      </x:c>
      <x:c r="N207" s="82" t="str">
        <x:v>Smoke tint</x:v>
      </x:c>
      <x:c r="O207" s="82" t="str">
        <x:v>Black</x:v>
      </x:c>
      <x:c r="P207" s="82" t="str">
        <x:v>Malaysia</x:v>
      </x:c>
      <x:c r="Q207" s="82" t="str"/>
      <x:c r="R207" s="82" t="str">
        <x:v>Mainline</x:v>
      </x:c>
      <x:c r="S207" s="82" t="str">
        <x:v>Comum / atual</x:v>
      </x:c>
      <x:c r="T207" s="82" t="str">
        <x:v>Lançado</x:v>
      </x:c>
      <x:c r="U207" s="82" t="str">
        <x:v>New Model / Base code(s): R29, R30, R31, R32, R33, R34, R35</x:v>
      </x:c>
      <x:c r="V207" s="80" t="str">
        <x:v>Coleção principal (~1:64)</x:v>
      </x:c>
      <x:c r="W207" s="82" t="str">
        <x:v>https://hotwheels.fandom.com/wiki/Porsche_911_GT3</x:v>
      </x:c>
      <x:c r="X207" s="82" t="str">
        <x:v>https://hotwheels.fandom.com/wiki/Porsche_911_GT3</x:v>
      </x:c>
    </x:row>
    <x:row r="208">
      <x:c r="A208" s="80" t="str">
        <x:v>Não</x:v>
      </x:c>
      <x:c r="B208" s="80" t="str">
        <x:v>2 — Completar aos poucos</x:v>
      </x:c>
      <x:c r="C208" s="81" t="n">
        <x:v>2022</x:v>
      </x:c>
      <x:c r="D208" s="80" t="str">
        <x:v>Porsche 911 GT3</x:v>
      </x:c>
      <x:c r="E208" s="80" t="str">
        <x:v>Porsche 911 GT3</x:v>
      </x:c>
      <x:c r="F208" s="82" t="str">
        <x:v>Factory Fresh / 10/10</x:v>
      </x:c>
      <x:c r="G208" s="80" t="str"/>
      <x:c r="H208" s="80" t="str">
        <x:v>199/250</x:v>
      </x:c>
      <x:c r="I208" s="83" t="str">
        <x:v>HCT22</x:v>
      </x:c>
      <x:c r="J208" s="80" t="str">
        <x:v>Shark Blue</x:v>
      </x:c>
      <x:c r="K208" s="82" t="str">
        <x:v>Detailed taillights, reflectors and trim, black roof and front air intakes, "GT3" badging, "911 GT3" license plate</x:v>
      </x:c>
      <x:c r="L208" s="82" t="str">
        <x:v>Black Y5</x:v>
      </x:c>
      <x:c r="M208" s="82" t="str">
        <x:v>Black / / / Plastic</x:v>
      </x:c>
      <x:c r="N208" s="82" t="str">
        <x:v>Smoke tint</x:v>
      </x:c>
      <x:c r="O208" s="82" t="str">
        <x:v>Black</x:v>
      </x:c>
      <x:c r="P208" s="82" t="str">
        <x:v>Malaysia</x:v>
      </x:c>
      <x:c r="Q208" s="82" t="str"/>
      <x:c r="R208" s="82" t="str">
        <x:v>Mainline</x:v>
      </x:c>
      <x:c r="S208" s="82" t="str">
        <x:v>Comum / atual</x:v>
      </x:c>
      <x:c r="T208" s="82" t="str">
        <x:v>Lançado</x:v>
      </x:c>
      <x:c r="U208" s="82" t="str">
        <x:v>New Model / Base code(s): R14, R15, R16, R20</x:v>
      </x:c>
      <x:c r="V208" s="80" t="str">
        <x:v>Coleção principal (~1:64)</x:v>
      </x:c>
      <x:c r="W208" s="82" t="str">
        <x:v>https://hotwheels.fandom.com/wiki/Porsche_911_GT3</x:v>
      </x:c>
      <x:c r="X208" s="82" t="str">
        <x:v>https://hotwheels.fandom.com/wiki/Porsche_911_GT3</x:v>
      </x:c>
    </x:row>
    <x:row r="209">
      <x:c r="A209" s="80" t="str">
        <x:v>Não</x:v>
      </x:c>
      <x:c r="B209" s="80" t="str">
        <x:v>2 — Completar aos poucos</x:v>
      </x:c>
      <x:c r="C209" s="81" t="n">
        <x:v>2022</x:v>
      </x:c>
      <x:c r="D209" s="80" t="str">
        <x:v>Porsche 911 GT3 Cup</x:v>
      </x:c>
      <x:c r="E209" s="80" t="str">
        <x:v>Porsche 911 GT3 Cup</x:v>
      </x:c>
      <x:c r="F209" s="82" t="str">
        <x:v>Mattel Indonesia Employee Exclusive 2-Packs 2/2</x:v>
      </x:c>
      <x:c r="G209" s="80" t="str"/>
      <x:c r="H209" s="80" t="str"/>
      <x:c r="I209" s="83" t="str">
        <x:v>DAP02</x:v>
      </x:c>
      <x:c r="J209" s="80" t="str">
        <x:v>Green</x:v>
      </x:c>
      <x:c r="K209" s="82" t="str">
        <x:v>Yellow stripes stripes and "30" on sides</x:v>
      </x:c>
      <x:c r="L209" s="82" t="str">
        <x:v>RRS</x:v>
      </x:c>
      <x:c r="M209" s="82" t="str">
        <x:v>Black / Plastic</x:v>
      </x:c>
      <x:c r="N209" s="82" t="str">
        <x:v>Clear</x:v>
      </x:c>
      <x:c r="O209" s="82" t="str">
        <x:v>Gray</x:v>
      </x:c>
      <x:c r="P209" s="82" t="str">
        <x:v>Indonesia</x:v>
      </x:c>
      <x:c r="Q209" s="82" t="str"/>
      <x:c r="R209" s="82" t="str">
        <x:v>Outra linha</x:v>
      </x:c>
      <x:c r="S209" s="82" t="str">
        <x:v>Comum / atual</x:v>
      </x:c>
      <x:c r="T209" s="82" t="str">
        <x:v>Lançado</x:v>
      </x:c>
      <x:c r="U209" s="82" t="str">
        <x:v>Base code(s):</x:v>
      </x:c>
      <x:c r="V209" s="80" t="str">
        <x:v>Coleção principal (~1:64)</x:v>
      </x:c>
      <x:c r="W209" s="82" t="str">
        <x:v>https://hotwheels.fandom.com/wiki/Porsche_911_GT3_Cup</x:v>
      </x:c>
      <x:c r="X209" s="82" t="str">
        <x:v>https://hotwheels.fandom.com/wiki/Porsche_911_GT3_Cup</x:v>
      </x:c>
    </x:row>
    <x:row r="210">
      <x:c r="A210" s="80" t="str">
        <x:v>Não</x:v>
      </x:c>
      <x:c r="B210" s="80" t="str">
        <x:v>2 — Completar aos poucos</x:v>
      </x:c>
      <x:c r="C210" s="81" t="n">
        <x:v>2022</x:v>
      </x:c>
      <x:c r="D210" s="80" t="str">
        <x:v>Porsche 911 GT3 RS (2011)</x:v>
      </x:c>
      <x:c r="E210" s="80" t="str">
        <x:v>Porsche 911 GT3 RS</x:v>
      </x:c>
      <x:c r="F210" s="82" t="str">
        <x:v>Car Culture: Deutschland Design / 3/5</x:v>
      </x:c>
      <x:c r="G210" s="80" t="str"/>
      <x:c r="H210" s="80" t="str"/>
      <x:c r="I210" s="83" t="str">
        <x:v>HCJ94</x:v>
      </x:c>
      <x:c r="J210" s="80" t="str">
        <x:v>Sky blue</x:v>
      </x:c>
      <x:c r="K210" s="82" t="str">
        <x:v>Detailed headlights, taillights, reflectors and vent trim, "PORSCHE" on sides, "GT3 RS" on rear</x:v>
      </x:c>
      <x:c r="L210" s="82" t="str">
        <x:v>RR5SPM</x:v>
      </x:c>
      <x:c r="M210" s="82" t="str">
        <x:v>Matte Black / / / Metal</x:v>
      </x:c>
      <x:c r="N210" s="82" t="str">
        <x:v>Smoke tint</x:v>
      </x:c>
      <x:c r="O210" s="82" t="str">
        <x:v>Black</x:v>
      </x:c>
      <x:c r="P210" s="82" t="str">
        <x:v>Thailand</x:v>
      </x:c>
      <x:c r="Q210" s="82" t="str"/>
      <x:c r="R210" s="82" t="str">
        <x:v>Premium</x:v>
      </x:c>
      <x:c r="S210" s="82" t="str">
        <x:v>Incomum</x:v>
      </x:c>
      <x:c r="T210" s="82" t="str">
        <x:v>Lançado</x:v>
      </x:c>
      <x:c r="U210" s="82" t="str">
        <x:v>Base code(s): R02, R03, R04</x:v>
      </x:c>
      <x:c r="V210" s="80" t="str">
        <x:v>Coleção principal (~1:64)</x:v>
      </x:c>
      <x:c r="W210" s="82" t="str">
        <x:v>https://hotwheels.fandom.com/wiki/Porsche_911_GT3_RS_(2011)</x:v>
      </x:c>
      <x:c r="X210" s="82" t="str">
        <x:v>https://hotwheels.fandom.com/wiki/Porsche_911_GT3_RS_(2011)</x:v>
      </x:c>
    </x:row>
    <x:row r="211">
      <x:c r="A211" s="80" t="str">
        <x:v>Não</x:v>
      </x:c>
      <x:c r="B211" s="80" t="str">
        <x:v>2 — Completar aos poucos</x:v>
      </x:c>
      <x:c r="C211" s="81" t="n">
        <x:v>2022</x:v>
      </x:c>
      <x:c r="D211" s="80" t="str">
        <x:v>Porsche 911 GT3 RS (2011)</x:v>
      </x:c>
      <x:c r="E211" s="80" t="str">
        <x:v>Porsche 911 GT3 RS</x:v>
      </x:c>
      <x:c r="F211" s="82" t="str">
        <x:v>Replica Entertainment: Forza Motorsport Premium 5-Pack / 3/5</x:v>
      </x:c>
      <x:c r="G211" s="80" t="str"/>
      <x:c r="H211" s="80" t="str"/>
      <x:c r="I211" s="83" t="str">
        <x:v>HFF49</x:v>
      </x:c>
      <x:c r="J211" s="80" t="str">
        <x:v>Unpainted &amp; Red</x:v>
      </x:c>
      <x:c r="K211" s="82" t="str">
        <x:v>FORZA logos on sides (White Ghosted), Red stripe w/ 'GT3 RS' on sides, red roof &amp; hood.</x:v>
      </x:c>
      <x:c r="L211" s="82" t="str">
        <x:v>Black RR10SP</x:v>
      </x:c>
      <x:c r="M211" s="82" t="str">
        <x:v>Red / / / Metal</x:v>
      </x:c>
      <x:c r="N211" s="82" t="str">
        <x:v>Smoke tint</x:v>
      </x:c>
      <x:c r="O211" s="82" t="str">
        <x:v>Black</x:v>
      </x:c>
      <x:c r="P211" s="82" t="str">
        <x:v>Thailand</x:v>
      </x:c>
      <x:c r="Q211" s="82" t="str"/>
      <x:c r="R211" s="82" t="str">
        <x:v>Premium</x:v>
      </x:c>
      <x:c r="S211" s="82" t="str">
        <x:v>Incomum</x:v>
      </x:c>
      <x:c r="T211" s="82" t="str">
        <x:v>Lançado</x:v>
      </x:c>
      <x:c r="U211" s="82" t="str">
        <x:v>Similar to DWJ93 Base code: R15, R16</x:v>
      </x:c>
      <x:c r="V211" s="80" t="str">
        <x:v>Coleção principal (~1:64)</x:v>
      </x:c>
      <x:c r="W211" s="82" t="str">
        <x:v>https://hotwheels.fandom.com/wiki/Porsche_911_GT3_RS_(2011)</x:v>
      </x:c>
      <x:c r="X211" s="82" t="str">
        <x:v>https://hotwheels.fandom.com/wiki/Porsche_911_GT3_RS_(2011)</x:v>
      </x:c>
    </x:row>
    <x:row r="212">
      <x:c r="A212" s="80" t="str">
        <x:v>Não</x:v>
      </x:c>
      <x:c r="B212" s="80" t="str">
        <x:v>2 — Completar aos poucos</x:v>
      </x:c>
      <x:c r="C212" s="81" t="n">
        <x:v>2022</x:v>
      </x:c>
      <x:c r="D212" s="80" t="str">
        <x:v>Porsche 911 GT3 RS (2016)</x:v>
      </x:c>
      <x:c r="E212" s="80" t="str">
        <x:v>Porsche 911 GT3 RS</x:v>
      </x:c>
      <x:c r="F212" s="82" t="str">
        <x:v>European Car Culture Themed Multipack</x:v>
      </x:c>
      <x:c r="G212" s="80" t="str"/>
      <x:c r="H212" s="80" t="str"/>
      <x:c r="I212" s="83" t="str">
        <x:v>HDH51</x:v>
      </x:c>
      <x:c r="J212" s="80" t="str">
        <x:v>Metalflake Silver</x:v>
      </x:c>
      <x:c r="K212" s="82" t="str">
        <x:v>Red stripe on hood &amp; sides, "GT3 RS". "Porsche" on rear wing</x:v>
      </x:c>
      <x:c r="L212" s="82" t="str">
        <x:v>Black PR5</x:v>
      </x:c>
      <x:c r="M212" s="82" t="str">
        <x:v>Black / / / Plastic</x:v>
      </x:c>
      <x:c r="N212" s="82" t="str">
        <x:v>Smoke tint</x:v>
      </x:c>
      <x:c r="O212" s="82" t="str">
        <x:v>Black</x:v>
      </x:c>
      <x:c r="P212" s="82" t="str">
        <x:v>Malaysia</x:v>
      </x:c>
      <x:c r="Q212" s="82" t="str"/>
      <x:c r="R212" s="82" t="str">
        <x:v>Premium</x:v>
      </x:c>
      <x:c r="S212" s="82" t="str">
        <x:v>Incomum</x:v>
      </x:c>
      <x:c r="T212" s="82" t="str">
        <x:v>Lançado</x:v>
      </x:c>
      <x:c r="U212" s="82" t="str">
        <x:v>Base code(s): R11</x:v>
      </x:c>
      <x:c r="V212" s="80" t="str">
        <x:v>Coleção principal (~1:64)</x:v>
      </x:c>
      <x:c r="W212" s="82" t="str">
        <x:v>https://hotwheels.fandom.com/wiki/Porsche_911_GT3_RS_(2016)</x:v>
      </x:c>
      <x:c r="X212" s="82" t="str">
        <x:v>https://hotwheels.fandom.com/wiki/Porsche_911_GT3_RS_(2016)</x:v>
      </x:c>
    </x:row>
    <x:row r="213">
      <x:c r="A213" s="80" t="str">
        <x:v>Não</x:v>
      </x:c>
      <x:c r="B213" s="80" t="str">
        <x:v>2 — Completar aos poucos</x:v>
      </x:c>
      <x:c r="C213" s="81" t="n">
        <x:v>2022</x:v>
      </x:c>
      <x:c r="D213" s="80" t="str">
        <x:v>Porsche 911 Turbo (930)</x:v>
      </x:c>
      <x:c r="E213" s="80" t="str">
        <x:v>Porsche 911 Turbo (930)</x:v>
      </x:c>
      <x:c r="F213" s="82" t="str">
        <x:v>Replica Entertainment: Cyberpunk 2077</x:v>
      </x:c>
      <x:c r="G213" s="80" t="str"/>
      <x:c r="H213" s="80" t="str"/>
      <x:c r="I213" s="83" t="str">
        <x:v>HCP04</x:v>
      </x:c>
      <x:c r="J213" s="80" t="str">
        <x:v>Metalflake Two-tone Gray &amp; Black</x:v>
      </x:c>
      <x:c r="K213" s="82" t="str">
        <x:v>Detailed headlights and taillights, red stripes, "G200", various other text on sides</x:v>
      </x:c>
      <x:c r="L213" s="82" t="str">
        <x:v>Chrome Rim RRLW5</x:v>
      </x:c>
      <x:c r="M213" s="82" t="str">
        <x:v>Black / / / Metal</x:v>
      </x:c>
      <x:c r="N213" s="82" t="str">
        <x:v>Smoke tint</x:v>
      </x:c>
      <x:c r="O213" s="82" t="str">
        <x:v>Black</x:v>
      </x:c>
      <x:c r="P213" s="82" t="str">
        <x:v>Indonesia</x:v>
      </x:c>
      <x:c r="Q213" s="82" t="str"/>
      <x:c r="R213" s="82" t="str">
        <x:v>Premium</x:v>
      </x:c>
      <x:c r="S213" s="82" t="str">
        <x:v>Incomum</x:v>
      </x:c>
      <x:c r="T213" s="82" t="str">
        <x:v>Lançado</x:v>
      </x:c>
      <x:c r="U213" s="82" t="str">
        <x:v>Base code(s): R17</x:v>
      </x:c>
      <x:c r="V213" s="80" t="str">
        <x:v>Coleção principal (~1:64)</x:v>
      </x:c>
      <x:c r="W213" s="82" t="str">
        <x:v>https://hotwheels.fandom.com/wiki/Porsche_911_Turbo_(930)</x:v>
      </x:c>
      <x:c r="X213" s="82" t="str">
        <x:v>https://hotwheels.fandom.com/wiki/Porsche_911_Turbo_(930)</x:v>
      </x:c>
    </x:row>
    <x:row r="214">
      <x:c r="A214" s="80" t="str">
        <x:v>Não</x:v>
      </x:c>
      <x:c r="B214" s="80" t="str">
        <x:v>2 — Completar aos poucos</x:v>
      </x:c>
      <x:c r="C214" s="81" t="n">
        <x:v>2022</x:v>
      </x:c>
      <x:c r="D214" s="80" t="str">
        <x:v>Porsche 914 Safari</x:v>
      </x:c>
      <x:c r="E214" s="80" t="str">
        <x:v>Porsche 914 Safari</x:v>
      </x:c>
      <x:c r="F214" s="82" t="str">
        <x:v>Legends Tour Special Edition</x:v>
      </x:c>
      <x:c r="G214" s="80" t="str"/>
      <x:c r="H214" s="80" t="str"/>
      <x:c r="I214" s="83" t="str">
        <x:v>00000</x:v>
      </x:c>
      <x:c r="J214" s="80" t="str">
        <x:v>White</x:v>
      </x:c>
      <x:c r="K214" s="82" t="str">
        <x:v>Red head, Mobil 1 decorations</x:v>
      </x:c>
      <x:c r="L214" s="82" t="str">
        <x:v>Chrome Rim, Black RR10SP</x:v>
      </x:c>
      <x:c r="M214" s="82" t="str"/>
      <x:c r="N214" s="82" t="str">
        <x:v>Smoke tint</x:v>
      </x:c>
      <x:c r="O214" s="82" t="str">
        <x:v>Black</x:v>
      </x:c>
      <x:c r="P214" s="82" t="str">
        <x:v>Malaysia</x:v>
      </x:c>
      <x:c r="Q214" s="82" t="str"/>
      <x:c r="R214" s="82" t="str">
        <x:v>Outra linha</x:v>
      </x:c>
      <x:c r="S214" s="82" t="str">
        <x:v>Comum / atual</x:v>
      </x:c>
      <x:c r="T214" s="82" t="str">
        <x:v>Lançado</x:v>
      </x:c>
      <x:c r="U214" s="82" t="str">
        <x:v>50 produced / Base code(s):</x:v>
      </x:c>
      <x:c r="V214" s="80" t="str">
        <x:v>Coleção principal (~1:64)</x:v>
      </x:c>
      <x:c r="W214" s="82" t="str">
        <x:v>https://hotwheels.fandom.com/wiki/Porsche_914_Safari</x:v>
      </x:c>
      <x:c r="X214" s="82" t="str">
        <x:v>https://hotwheels.fandom.com/wiki/Porsche_914_Safari</x:v>
      </x:c>
    </x:row>
    <x:row r="215">
      <x:c r="A215" s="80" t="str">
        <x:v>Não</x:v>
      </x:c>
      <x:c r="B215" s="80" t="str">
        <x:v>2 — Completar aos poucos</x:v>
      </x:c>
      <x:c r="C215" s="81" t="n">
        <x:v>2022</x:v>
      </x:c>
      <x:c r="D215" s="80" t="str">
        <x:v>Porsche 917 LH</x:v>
      </x:c>
      <x:c r="E215" s="80" t="str">
        <x:v>Porsche 917 LH</x:v>
      </x:c>
      <x:c r="F215" s="82" t="str">
        <x:v>Car Culture: Team Transport / #41</x:v>
      </x:c>
      <x:c r="G215" s="80" t="str"/>
      <x:c r="H215" s="80" t="str"/>
      <x:c r="I215" s="83" t="str">
        <x:v>HCR36</x:v>
      </x:c>
      <x:c r="J215" s="80" t="str">
        <x:v>Sky blue</x:v>
      </x:c>
      <x:c r="K215" s="82" t="str">
        <x:v>Detailed taillights, orange roof, "17" numbering with white roundels on sides &amp; front, Gulf logos on front-side corners &amp; rear wheel well covers, "Gulf-Porsche" side lettering, black Porsche side stripes</x:v>
      </x:c>
      <x:c r="L215" s="82" t="str">
        <x:v>Black RR5SPM</x:v>
      </x:c>
      <x:c r="M215" s="82" t="str">
        <x:v>Sky blue / / / Metal</x:v>
      </x:c>
      <x:c r="N215" s="82" t="str">
        <x:v>Clear</x:v>
      </x:c>
      <x:c r="O215" s="82" t="str">
        <x:v>Black</x:v>
      </x:c>
      <x:c r="P215" s="82" t="str">
        <x:v>Thailand</x:v>
      </x:c>
      <x:c r="Q215" s="82" t="str"/>
      <x:c r="R215" s="82" t="str">
        <x:v>Premium</x:v>
      </x:c>
      <x:c r="S215" s="82" t="str">
        <x:v>Incomum</x:v>
      </x:c>
      <x:c r="T215" s="82" t="str">
        <x:v>Lançado</x:v>
      </x:c>
      <x:c r="U215" s="82" t="str">
        <x:v>New die-cast chassis / Base code(s): R13, R14, R17</x:v>
      </x:c>
      <x:c r="V215" s="80" t="str">
        <x:v>Coleção principal (~1:64)</x:v>
      </x:c>
      <x:c r="W215" s="82" t="str">
        <x:v>https://hotwheels.fandom.com/wiki/Porsche_917_LH</x:v>
      </x:c>
      <x:c r="X215" s="82" t="str">
        <x:v>https://hotwheels.fandom.com/wiki/Porsche_917_LH</x:v>
      </x:c>
    </x:row>
    <x:row r="216">
      <x:c r="A216" s="80" t="str">
        <x:v>Não</x:v>
      </x:c>
      <x:c r="B216" s="80" t="str">
        <x:v>2 — Completar aos poucos</x:v>
      </x:c>
      <x:c r="C216" s="81" t="n">
        <x:v>2022</x:v>
      </x:c>
      <x:c r="D216" s="80" t="str">
        <x:v>Porsche 934 Turbo RSR</x:v>
      </x:c>
      <x:c r="E216" s="80" t="str">
        <x:v>Porsche 934 Turbo RSR</x:v>
      </x:c>
      <x:c r="F216" s="82" t="str">
        <x:v>Mattel Indonesia Employee Exclusive 2-Packs / 2/2</x:v>
      </x:c>
      <x:c r="G216" s="80" t="str"/>
      <x:c r="H216" s="80" t="str"/>
      <x:c r="I216" s="83" t="str">
        <x:v>DAP02</x:v>
      </x:c>
      <x:c r="J216" s="80" t="str">
        <x:v>Pink</x:v>
      </x:c>
      <x:c r="K216" s="82" t="str">
        <x:v>2 yellow flowers, "30 times of SPRING" on sides</x:v>
      </x:c>
      <x:c r="L216" s="82" t="str">
        <x:v>RRLW5</x:v>
      </x:c>
      <x:c r="M216" s="82" t="str">
        <x:v>Black / / / Plastic</x:v>
      </x:c>
      <x:c r="N216" s="82" t="str">
        <x:v>Smoke tint</x:v>
      </x:c>
      <x:c r="O216" s="82" t="str">
        <x:v>Black</x:v>
      </x:c>
      <x:c r="P216" s="82" t="str">
        <x:v>Indonesia</x:v>
      </x:c>
      <x:c r="Q216" s="82" t="str"/>
      <x:c r="R216" s="82" t="str">
        <x:v>Outra linha</x:v>
      </x:c>
      <x:c r="S216" s="82" t="str">
        <x:v>Comum / atual</x:v>
      </x:c>
      <x:c r="T216" s="82" t="str">
        <x:v>Lançado</x:v>
      </x:c>
      <x:c r="U216" s="82" t="str">
        <x:v>Occasionally replaced with Torque Twister / Base code(s):</x:v>
      </x:c>
      <x:c r="V216" s="80" t="str">
        <x:v>Coleção principal (~1:64)</x:v>
      </x:c>
      <x:c r="W216" s="82" t="str">
        <x:v>https://hotwheels.fandom.com/wiki/Porsche_934_Turbo_RSR</x:v>
      </x:c>
      <x:c r="X216" s="82" t="str">
        <x:v>https://hotwheels.fandom.com/wiki/Porsche_934_Turbo_RSR</x:v>
      </x:c>
    </x:row>
    <x:row r="217">
      <x:c r="A217" s="80" t="str">
        <x:v>Não</x:v>
      </x:c>
      <x:c r="B217" s="80" t="str">
        <x:v>2 — Completar aos poucos</x:v>
      </x:c>
      <x:c r="C217" s="81" t="n">
        <x:v>2022</x:v>
      </x:c>
      <x:c r="D217" s="80" t="str">
        <x:v>Porsche 935 (2021)</x:v>
      </x:c>
      <x:c r="E217" s="80" t="str">
        <x:v>Porsche 935</x:v>
      </x:c>
      <x:c r="F217" s="82" t="str">
        <x:v>Retro Racers / 8/10</x:v>
      </x:c>
      <x:c r="G217" s="80" t="str"/>
      <x:c r="H217" s="80" t="str">
        <x:v>132/250</x:v>
      </x:c>
      <x:c r="I217" s="83" t="str">
        <x:v>HCT96</x:v>
      </x:c>
      <x:c r="J217" s="80" t="str">
        <x:v>Deep Blue</x:v>
      </x:c>
      <x:c r="K217" s="82" t="str">
        <x:v>Yellow &amp; red accents, "35", Bilstein &amp; Goodyear logos on sides</x:v>
      </x:c>
      <x:c r="L217" s="82" t="str">
        <x:v>Gold LW</x:v>
      </x:c>
      <x:c r="M217" s="82" t="str">
        <x:v>Black / / / Plastic</x:v>
      </x:c>
      <x:c r="N217" s="82" t="str">
        <x:v>Smoke tint</x:v>
      </x:c>
      <x:c r="O217" s="82" t="str">
        <x:v>Black</x:v>
      </x:c>
      <x:c r="P217" s="82" t="str">
        <x:v>Malaysia</x:v>
      </x:c>
      <x:c r="Q217" s="82" t="str"/>
      <x:c r="R217" s="82" t="str">
        <x:v>Mainline</x:v>
      </x:c>
      <x:c r="S217" s="82" t="str">
        <x:v>Comum / atual</x:v>
      </x:c>
      <x:c r="T217" s="82" t="str">
        <x:v>Lançado</x:v>
      </x:c>
      <x:c r="U217" s="82" t="str">
        <x:v>Base code(s): R04, R05, R06, R07, R08, R09</x:v>
      </x:c>
      <x:c r="V217" s="80" t="str">
        <x:v>Coleção principal (~1:64)</x:v>
      </x:c>
      <x:c r="W217" s="82" t="str">
        <x:v>https://hotwheels.fandom.com/wiki/Porsche_935_(2021)</x:v>
      </x:c>
      <x:c r="X217" s="82" t="str">
        <x:v>https://hotwheels.fandom.com/wiki/Porsche_935_(2021)</x:v>
      </x:c>
    </x:row>
    <x:row r="218">
      <x:c r="A218" s="80" t="str">
        <x:v>Não</x:v>
      </x:c>
      <x:c r="B218" s="80" t="str">
        <x:v>2 — Completar aos poucos</x:v>
      </x:c>
      <x:c r="C218" s="81" t="n">
        <x:v>2022</x:v>
      </x:c>
      <x:c r="D218" s="80" t="str">
        <x:v>Porsche 935 (2021)</x:v>
      </x:c>
      <x:c r="E218" s="80" t="str">
        <x:v>Porsche 935</x:v>
      </x:c>
      <x:c r="F218" s="82" t="str">
        <x:v>Retro Racers / 8/10</x:v>
      </x:c>
      <x:c r="G218" s="80" t="str"/>
      <x:c r="H218" s="80" t="str">
        <x:v>132/250</x:v>
      </x:c>
      <x:c r="I218" s="83" t="str">
        <x:v>HJP30</x:v>
      </x:c>
      <x:c r="J218" s="80" t="str">
        <x:v>Orange</x:v>
      </x:c>
      <x:c r="K218" s="82" t="str">
        <x:v>Yellow &amp; black accents, "35", Bilstein &amp; Goodyear logos on sides</x:v>
      </x:c>
      <x:c r="L218" s="82" t="str">
        <x:v>LW</x:v>
      </x:c>
      <x:c r="M218" s="82" t="str">
        <x:v>Black / / / Plastic</x:v>
      </x:c>
      <x:c r="N218" s="82" t="str">
        <x:v>Smoke tint</x:v>
      </x:c>
      <x:c r="O218" s="82" t="str">
        <x:v>Black</x:v>
      </x:c>
      <x:c r="P218" s="82" t="str">
        <x:v>Malaysia</x:v>
      </x:c>
      <x:c r="Q218" s="82" t="str"/>
      <x:c r="R218" s="82" t="str">
        <x:v>Mainline</x:v>
      </x:c>
      <x:c r="S218" s="82" t="str">
        <x:v>Comum / atual</x:v>
      </x:c>
      <x:c r="T218" s="82" t="str">
        <x:v>Lançado</x:v>
      </x:c>
      <x:c r="U218" s="82" t="str">
        <x:v>Best Buy Exclusive / Base code(s): R23, R24</x:v>
      </x:c>
      <x:c r="V218" s="80" t="str">
        <x:v>Coleção principal (~1:64)</x:v>
      </x:c>
      <x:c r="W218" s="82" t="str">
        <x:v>https://hotwheels.fandom.com/wiki/Porsche_935_(2021)</x:v>
      </x:c>
      <x:c r="X218" s="82" t="str">
        <x:v>https://hotwheels.fandom.com/wiki/Porsche_935_(2021)</x:v>
      </x:c>
    </x:row>
    <x:row r="219">
      <x:c r="A219" s="80" t="str">
        <x:v>Não</x:v>
      </x:c>
      <x:c r="B219" s="80" t="str">
        <x:v>2 — Completar aos poucos</x:v>
      </x:c>
      <x:c r="C219" s="81" t="n">
        <x:v>2022</x:v>
      </x:c>
      <x:c r="D219" s="80" t="str">
        <x:v>Porsche 935 (2021)</x:v>
      </x:c>
      <x:c r="E219" s="80" t="str">
        <x:v>Porsche 935</x:v>
      </x:c>
      <x:c r="F219" s="82" t="str">
        <x:v>Toy Fair</x:v>
      </x:c>
      <x:c r="G219" s="80" t="str"/>
      <x:c r="H219" s="80" t="str"/>
      <x:c r="I219" s="83" t="str">
        <x:v>GTD77</x:v>
      </x:c>
      <x:c r="J219" s="80" t="str">
        <x:v>Spectraflame Cyan</x:v>
      </x:c>
      <x:c r="K219" s="82" t="str">
        <x:v>Stripe down hood, "22" on hood &amp; sides, "PORSCHE" on wing</x:v>
      </x:c>
      <x:c r="L219" s="82" t="str">
        <x:v>Gold RR10SPM</x:v>
      </x:c>
      <x:c r="M219" s="82" t="str">
        <x:v>Matte Black / / / Plastic</x:v>
      </x:c>
      <x:c r="N219" s="82" t="str">
        <x:v>Smoke tint</x:v>
      </x:c>
      <x:c r="O219" s="82" t="str">
        <x:v>Black</x:v>
      </x:c>
      <x:c r="P219" s="82" t="str">
        <x:v>Malaysia</x:v>
      </x:c>
      <x:c r="Q219" s="82" t="str"/>
      <x:c r="R219" s="82" t="str">
        <x:v>Outra linha</x:v>
      </x:c>
      <x:c r="S219" s="82" t="str">
        <x:v>Comum / atual</x:v>
      </x:c>
      <x:c r="T219" s="82" t="str">
        <x:v>Lançado</x:v>
      </x:c>
      <x:c r="U219" s="82" t="str">
        <x:v>Base code(s):</x:v>
      </x:c>
      <x:c r="V219" s="80" t="str">
        <x:v>Coleção principal (~1:64)</x:v>
      </x:c>
      <x:c r="W219" s="82" t="str">
        <x:v>https://hotwheels.fandom.com/wiki/Porsche_935_(2021)</x:v>
      </x:c>
      <x:c r="X219" s="82" t="str">
        <x:v>https://hotwheels.fandom.com/wiki/Porsche_935_(2021)</x:v>
      </x:c>
    </x:row>
    <x:row r="220">
      <x:c r="A220" s="80" t="str">
        <x:v>Não</x:v>
      </x:c>
      <x:c r="B220" s="80" t="str">
        <x:v>2 — Completar aos poucos</x:v>
      </x:c>
      <x:c r="C220" s="81" t="n">
        <x:v>2022</x:v>
      </x:c>
      <x:c r="D220" s="80" t="str">
        <x:v>Porsche 935 (2022)</x:v>
      </x:c>
      <x:c r="E220" s="80" t="str">
        <x:v>Porsche 935</x:v>
      </x:c>
      <x:c r="F220" s="82" t="str">
        <x:v>HW Turbo / 1/10</x:v>
      </x:c>
      <x:c r="G220" s="80" t="str"/>
      <x:c r="H220" s="80" t="str">
        <x:v>012/250</x:v>
      </x:c>
      <x:c r="I220" s="83" t="str">
        <x:v>HCW73</x:v>
      </x:c>
      <x:c r="J220" s="80" t="str">
        <x:v>Black</x:v>
      </x:c>
      <x:c r="K220" s="82" t="str">
        <x:v>John Player Special-inspired livery, light metallic gold stripes on fenders, "70" in metallic golden circle on sides</x:v>
      </x:c>
      <x:c r="L220" s="82" t="str">
        <x:v>Black AeroDisc</x:v>
      </x:c>
      <x:c r="M220" s="82" t="str">
        <x:v>Black / / / Plastic</x:v>
      </x:c>
      <x:c r="N220" s="82" t="str">
        <x:v>Smoke tint</x:v>
      </x:c>
      <x:c r="O220" s="82" t="str">
        <x:v>Black</x:v>
      </x:c>
      <x:c r="P220" s="82" t="str">
        <x:v>Malaysia</x:v>
      </x:c>
      <x:c r="Q220" s="82" t="str"/>
      <x:c r="R220" s="82" t="str">
        <x:v>Mainline</x:v>
      </x:c>
      <x:c r="S220" s="82" t="str">
        <x:v>Comum / atual</x:v>
      </x:c>
      <x:c r="T220" s="82" t="str">
        <x:v>Lançado</x:v>
      </x:c>
      <x:c r="U220" s="82" t="str">
        <x:v>New Model / Base code(s): P52, R01, R04, R05</x:v>
      </x:c>
      <x:c r="V220" s="80" t="str">
        <x:v>Coleção principal (~1:64)</x:v>
      </x:c>
      <x:c r="W220" s="82" t="str">
        <x:v>https://hotwheels.fandom.com/wiki/Porsche_935_(2022)</x:v>
      </x:c>
      <x:c r="X220" s="82" t="str">
        <x:v>https://hotwheels.fandom.com/wiki/Porsche_935_(2022)</x:v>
      </x:c>
    </x:row>
    <x:row r="221">
      <x:c r="A221" s="80" t="str">
        <x:v>Não</x:v>
      </x:c>
      <x:c r="B221" s="80" t="str">
        <x:v>2 — Completar aos poucos</x:v>
      </x:c>
      <x:c r="C221" s="81" t="n">
        <x:v>2022</x:v>
      </x:c>
      <x:c r="D221" s="80" t="str">
        <x:v>Porsche 935 (2022)</x:v>
      </x:c>
      <x:c r="E221" s="80" t="str">
        <x:v>Porsche 935</x:v>
      </x:c>
      <x:c r="F221" s="82" t="str">
        <x:v>HW Turbo / 1/10</x:v>
      </x:c>
      <x:c r="G221" s="80" t="str"/>
      <x:c r="H221" s="80" t="str">
        <x:v>012/250</x:v>
      </x:c>
      <x:c r="I221" s="83" t="str">
        <x:v>HCT16</x:v>
      </x:c>
      <x:c r="J221" s="80" t="str">
        <x:v>Red</x:v>
      </x:c>
      <x:c r="K221" s="82" t="str">
        <x:v>Momo-inspired livery, yellow stripes on fenders, "70" in white circle on sides</x:v>
      </x:c>
      <x:c r="L221" s="82" t="str">
        <x:v>Grey AeroDisc</x:v>
      </x:c>
      <x:c r="M221" s="82" t="str">
        <x:v>Black / / / Plastic</x:v>
      </x:c>
      <x:c r="N221" s="82" t="str">
        <x:v>Smoke tint</x:v>
      </x:c>
      <x:c r="O221" s="82" t="str">
        <x:v>Black</x:v>
      </x:c>
      <x:c r="P221" s="82" t="str">
        <x:v>Malaysia</x:v>
      </x:c>
      <x:c r="Q221" s="82" t="str"/>
      <x:c r="R221" s="82" t="str">
        <x:v>Mainline</x:v>
      </x:c>
      <x:c r="S221" s="82" t="str">
        <x:v>Comum / atual</x:v>
      </x:c>
      <x:c r="T221" s="82" t="str">
        <x:v>Lançado</x:v>
      </x:c>
      <x:c r="U221" s="82" t="str">
        <x:v>New Model / Base code(s): P34, P35, P36, P37, P38, P39, P40</x:v>
      </x:c>
      <x:c r="V221" s="80" t="str">
        <x:v>Coleção principal (~1:64)</x:v>
      </x:c>
      <x:c r="W221" s="82" t="str">
        <x:v>https://hotwheels.fandom.com/wiki/Porsche_935_(2022)</x:v>
      </x:c>
      <x:c r="X221" s="82" t="str">
        <x:v>https://hotwheels.fandom.com/wiki/Porsche_935_(2022)</x:v>
      </x:c>
    </x:row>
    <x:row r="222">
      <x:c r="A222" s="80" t="str">
        <x:v>Não</x:v>
      </x:c>
      <x:c r="B222" s="80" t="str">
        <x:v>2 — Completar aos poucos</x:v>
      </x:c>
      <x:c r="C222" s="81" t="n">
        <x:v>2022</x:v>
      </x:c>
      <x:c r="D222" s="80" t="str">
        <x:v>Porsche 935 (2022)</x:v>
      </x:c>
      <x:c r="E222" s="80" t="str">
        <x:v>Porsche 935</x:v>
      </x:c>
      <x:c r="F222" s="82" t="str">
        <x:v>Red Edition / 9/12</x:v>
      </x:c>
      <x:c r="G222" s="80" t="str"/>
      <x:c r="H222" s="80" t="str">
        <x:v>012/250</x:v>
      </x:c>
      <x:c r="I222" s="83" t="str">
        <x:v>HCY66</x:v>
      </x:c>
      <x:c r="J222" s="80" t="str">
        <x:v>White</x:v>
      </x:c>
      <x:c r="K222" s="82" t="str">
        <x:v>Red stripes with 'RED' written on side behind door and Hot Wheels banner on rear side-fender, "70" in black circle on doors</x:v>
      </x:c>
      <x:c r="L222" s="82" t="str">
        <x:v>Chrome Red LW</x:v>
      </x:c>
      <x:c r="M222" s="82" t="str">
        <x:v>Black / / / Plastic</x:v>
      </x:c>
      <x:c r="N222" s="82" t="str">
        <x:v>Smoke tint</x:v>
      </x:c>
      <x:c r="O222" s="82" t="str">
        <x:v>Black</x:v>
      </x:c>
      <x:c r="P222" s="82" t="str">
        <x:v>Malaysia</x:v>
      </x:c>
      <x:c r="Q222" s="82" t="str">
        <x:v>Target / Red Edition</x:v>
      </x:c>
      <x:c r="R222" s="82" t="str">
        <x:v>Mainline</x:v>
      </x:c>
      <x:c r="S222" s="82" t="str">
        <x:v>Rara</x:v>
      </x:c>
      <x:c r="T222" s="82" t="str">
        <x:v>Lançado</x:v>
      </x:c>
      <x:c r="U222" s="82" t="str">
        <x:v>Target Exclusive / New Model / Base code(s): R12, R13</x:v>
      </x:c>
      <x:c r="V222" s="80" t="str">
        <x:v>Coleção principal (~1:64)</x:v>
      </x:c>
      <x:c r="W222" s="82" t="str">
        <x:v>https://hotwheels.fandom.com/wiki/Porsche_935_(2022)</x:v>
      </x:c>
      <x:c r="X222" s="82" t="str">
        <x:v>https://hotwheels.fandom.com/wiki/Porsche_935_(2022)</x:v>
      </x:c>
    </x:row>
    <x:row r="223">
      <x:c r="A223" s="80" t="str">
        <x:v>Não</x:v>
      </x:c>
      <x:c r="B223" s="80" t="str">
        <x:v>2 — Completar aos poucos</x:v>
      </x:c>
      <x:c r="C223" s="81" t="n">
        <x:v>2022</x:v>
      </x:c>
      <x:c r="D223" s="80" t="str">
        <x:v>Porsche 962</x:v>
      </x:c>
      <x:c r="E223" s="80" t="str">
        <x:v>Porsche 962</x:v>
      </x:c>
      <x:c r="F223" s="82" t="str">
        <x:v>Car Culture: Team Transport / #45</x:v>
      </x:c>
      <x:c r="G223" s="80" t="str"/>
      <x:c r="H223" s="80" t="str"/>
      <x:c r="I223" s="83" t="str">
        <x:v>HCR34</x:v>
      </x:c>
      <x:c r="J223" s="80" t="str">
        <x:v>Red</x:v>
      </x:c>
      <x:c r="K223" s="82" t="str">
        <x:v>Shell Racing livery, "17" on sides, "Shell mit M2000" on wing</x:v>
      </x:c>
      <x:c r="L223" s="82" t="str">
        <x:v>White RRA</x:v>
      </x:c>
      <x:c r="M223" s="82" t="str">
        <x:v>Matte Black / / / Metal</x:v>
      </x:c>
      <x:c r="N223" s="82" t="str">
        <x:v>Clear</x:v>
      </x:c>
      <x:c r="O223" s="82" t="str">
        <x:v>Black</x:v>
      </x:c>
      <x:c r="P223" s="82" t="str">
        <x:v>Thailand</x:v>
      </x:c>
      <x:c r="Q223" s="82" t="str"/>
      <x:c r="R223" s="82" t="str">
        <x:v>Premium</x:v>
      </x:c>
      <x:c r="S223" s="82" t="str">
        <x:v>Incomum</x:v>
      </x:c>
      <x:c r="T223" s="82" t="str">
        <x:v>Lançado</x:v>
      </x:c>
      <x:c r="U223" s="82" t="str">
        <x:v>Base code(s): R19, R26</x:v>
      </x:c>
      <x:c r="V223" s="80" t="str">
        <x:v>Coleção principal (~1:64)</x:v>
      </x:c>
      <x:c r="W223" s="82" t="str">
        <x:v>https://hotwheels.fandom.com/wiki/Porsche_962</x:v>
      </x:c>
      <x:c r="X223" s="82" t="str">
        <x:v>https://hotwheels.fandom.com/wiki/Porsche_962</x:v>
      </x:c>
    </x:row>
    <x:row r="224">
      <x:c r="A224" s="80" t="str">
        <x:v>Não</x:v>
      </x:c>
      <x:c r="B224" s="80" t="str">
        <x:v>2 — Completar aos poucos</x:v>
      </x:c>
      <x:c r="C224" s="81" t="n">
        <x:v>2022</x:v>
      </x:c>
      <x:c r="D224" s="80" t="str">
        <x:v>Porsche 993 GT2</x:v>
      </x:c>
      <x:c r="E224" s="80" t="str">
        <x:v>Porsche 993 GT2</x:v>
      </x:c>
      <x:c r="F224" s="82" t="str">
        <x:v>Mystery Models (Series 1) / 1/10</x:v>
      </x:c>
      <x:c r="G224" s="80" t="str"/>
      <x:c r="H224" s="80" t="str"/>
      <x:c r="I224" s="83" t="str">
        <x:v>HFK86</x:v>
      </x:c>
      <x:c r="J224" s="80" t="str">
        <x:v>Metallic Dark Red</x:v>
      </x:c>
      <x:c r="K224" s="82" t="str">
        <x:v>Black, Gold &amp; White "1" PORSCHE HW Logo , Porsche Badge</x:v>
      </x:c>
      <x:c r="L224" s="82" t="str">
        <x:v>Black, Chrome Gold Rim J5</x:v>
      </x:c>
      <x:c r="M224" s="82" t="str">
        <x:v>Charcoal / / / Plastic</x:v>
      </x:c>
      <x:c r="N224" s="82" t="str">
        <x:v>Clear</x:v>
      </x:c>
      <x:c r="O224" s="82" t="str">
        <x:v>Satin Grey</x:v>
      </x:c>
      <x:c r="P224" s="82" t="str">
        <x:v>Malaysia</x:v>
      </x:c>
      <x:c r="Q224" s="82" t="str"/>
      <x:c r="R224" s="82" t="str">
        <x:v>Outra linha</x:v>
      </x:c>
      <x:c r="S224" s="82" t="str">
        <x:v>Comum / atual</x:v>
      </x:c>
      <x:c r="T224" s="82" t="str">
        <x:v>Lançado</x:v>
      </x:c>
      <x:c r="U224" s="82" t="str">
        <x:v>Base code(s): P44, P47</x:v>
      </x:c>
      <x:c r="V224" s="80" t="str">
        <x:v>Coleção principal (~1:64)</x:v>
      </x:c>
      <x:c r="W224" s="82" t="str">
        <x:v>https://hotwheels.fandom.com/wiki/Porsche_993_GT2</x:v>
      </x:c>
      <x:c r="X224" s="82" t="str">
        <x:v>https://hotwheels.fandom.com/wiki/Porsche_993_GT2</x:v>
      </x:c>
    </x:row>
    <x:row r="225">
      <x:c r="A225" s="80" t="str">
        <x:v>Não</x:v>
      </x:c>
      <x:c r="B225" s="80" t="str">
        <x:v>2 — Completar aos poucos</x:v>
      </x:c>
      <x:c r="C225" s="81" t="n">
        <x:v>2022</x:v>
      </x:c>
      <x:c r="D225" s="80" t="str">
        <x:v>Porsche Cayman S</x:v>
      </x:c>
      <x:c r="E225" s="80" t="str">
        <x:v>Porsche Cayman S</x:v>
      </x:c>
      <x:c r="F225" s="82" t="str">
        <x:v>Multipack Exclusive</x:v>
      </x:c>
      <x:c r="G225" s="80" t="str"/>
      <x:c r="H225" s="80" t="str"/>
      <x:c r="I225" s="83" t="str">
        <x:v>X6999</x:v>
      </x:c>
      <x:c r="J225" s="80" t="str">
        <x:v>Black</x:v>
      </x:c>
      <x:c r="K225" s="82" t="str">
        <x:v>Grey stripes on sides, headlight decos &amp; Porsche Badge</x:v>
      </x:c>
      <x:c r="L225" s="82" t="str">
        <x:v>Grey 10SP</x:v>
      </x:c>
      <x:c r="M225" s="82" t="str">
        <x:v>Black / Plastic</x:v>
      </x:c>
      <x:c r="N225" s="82" t="str">
        <x:v>Smoke tint</x:v>
      </x:c>
      <x:c r="O225" s="82" t="str">
        <x:v>Light Gray</x:v>
      </x:c>
      <x:c r="P225" s="82" t="str">
        <x:v>Malaysia</x:v>
      </x:c>
      <x:c r="Q225" s="82" t="str"/>
      <x:c r="R225" s="82" t="str">
        <x:v>Temática / multipack</x:v>
      </x:c>
      <x:c r="S225" s="82" t="str">
        <x:v>Comum / atual</x:v>
      </x:c>
      <x:c r="T225" s="82" t="str">
        <x:v>Lançado</x:v>
      </x:c>
      <x:c r="U225" s="82" t="str">
        <x:v>Base code(s): P44, R18, R36, R38</x:v>
      </x:c>
      <x:c r="V225" s="80" t="str">
        <x:v>Coleção principal (~1:64)</x:v>
      </x:c>
      <x:c r="W225" s="82" t="str">
        <x:v>https://hotwheels.fandom.com/wiki/Porsche_Cayman_S</x:v>
      </x:c>
      <x:c r="X225" s="82" t="str">
        <x:v>https://hotwheels.fandom.com/wiki/Porsche_Cayman_S</x:v>
      </x:c>
    </x:row>
    <x:row r="226">
      <x:c r="A226" s="80" t="str">
        <x:v>Não</x:v>
      </x:c>
      <x:c r="B226" s="80" t="str">
        <x:v>2 — Completar aos poucos</x:v>
      </x:c>
      <x:c r="C226" s="81" t="n">
        <x:v>2022</x:v>
      </x:c>
      <x:c r="D226" s="80" t="str">
        <x:v>Porsche Panamera Turbo S E-Hybrid Sport Turismo</x:v>
      </x:c>
      <x:c r="E226" s="80" t="str">
        <x:v>Porsche Panamera Turbo S E-Hybrid Sport Turismo</x:v>
      </x:c>
      <x:c r="F226" s="82" t="str">
        <x:v>Luxury Sedans / 1/5</x:v>
      </x:c>
      <x:c r="G226" s="80" t="str"/>
      <x:c r="H226" s="80" t="str"/>
      <x:c r="I226" s="83" t="str">
        <x:v>HDH12</x:v>
      </x:c>
      <x:c r="J226" s="80" t="str">
        <x:v>Jet Black</x:v>
      </x:c>
      <x:c r="K226" s="82" t="str">
        <x:v>Detailed taillights and side trim, "e-hybrid" on sides</x:v>
      </x:c>
      <x:c r="L226" s="82" t="str">
        <x:v>10SP</x:v>
      </x:c>
      <x:c r="M226" s="82" t="str">
        <x:v>Dark Gray / / / Plastic</x:v>
      </x:c>
      <x:c r="N226" s="82" t="str">
        <x:v>Smoke tint</x:v>
      </x:c>
      <x:c r="O226" s="82" t="str">
        <x:v>Dark Gray</x:v>
      </x:c>
      <x:c r="P226" s="82" t="str">
        <x:v>Malaysia</x:v>
      </x:c>
      <x:c r="Q226" s="82" t="str"/>
      <x:c r="R226" s="82" t="str">
        <x:v>Outra linha</x:v>
      </x:c>
      <x:c r="S226" s="82" t="str">
        <x:v>Comum / atual</x:v>
      </x:c>
      <x:c r="T226" s="82" t="str">
        <x:v>Lançado</x:v>
      </x:c>
      <x:c r="U226" s="82" t="str">
        <x:v>Base code(s): P51, P52, R03, R05, R08</x:v>
      </x:c>
      <x:c r="V226" s="80" t="str">
        <x:v>Coleção principal (~1:64)</x:v>
      </x:c>
      <x:c r="W226" s="82" t="str">
        <x:v>https://hotwheels.fandom.com/wiki/Porsche_Panamera_Turbo_S_E-Hybrid_Sport_Turismo</x:v>
      </x:c>
      <x:c r="X226" s="82" t="str">
        <x:v>https://hotwheels.fandom.com/wiki/Porsche_Panamera_Turbo_S_E-Hybrid_Sport_Turismo</x:v>
      </x:c>
    </x:row>
    <x:row r="227">
      <x:c r="A227" s="80" t="str">
        <x:v>Não</x:v>
      </x:c>
      <x:c r="B227" s="80" t="str">
        <x:v>2 — Completar aos poucos</x:v>
      </x:c>
      <x:c r="C227" s="81" t="n">
        <x:v>2022</x:v>
      </x:c>
      <x:c r="D227" s="80" t="str">
        <x:v>Porsche Taycan Turbo S</x:v>
      </x:c>
      <x:c r="E227" s="80" t="str">
        <x:v>Porsche Taycan Turbo S</x:v>
      </x:c>
      <x:c r="F227" s="82" t="str">
        <x:v>Hot Wheels id: Moving Forward / 02/03</x:v>
      </x:c>
      <x:c r="G227" s="80" t="str"/>
      <x:c r="H227" s="80" t="str"/>
      <x:c r="I227" s="83" t="str">
        <x:v>HBG28</x:v>
      </x:c>
      <x:c r="J227" s="80" t="str">
        <x:v>Spectraflame Jet Black</x:v>
      </x:c>
      <x:c r="K227" s="82" t="str">
        <x:v>Detailed headlights &amp; taillights, "SAFETY CAR" on sides, white slanted lines &amp; red line down car</x:v>
      </x:c>
      <x:c r="L227" s="82" t="str">
        <x:v>Chrome ID</x:v>
      </x:c>
      <x:c r="M227" s="82" t="str">
        <x:v>Clear Black / / / Plastic</x:v>
      </x:c>
      <x:c r="N227" s="82" t="str">
        <x:v>Smoke tint</x:v>
      </x:c>
      <x:c r="O227" s="82" t="str">
        <x:v>Black</x:v>
      </x:c>
      <x:c r="P227" s="82" t="str">
        <x:v>Malaysia</x:v>
      </x:c>
      <x:c r="Q227" s="82" t="str"/>
      <x:c r="R227" s="82" t="str">
        <x:v>Outra linha</x:v>
      </x:c>
      <x:c r="S227" s="82" t="str">
        <x:v>Comum / atual</x:v>
      </x:c>
      <x:c r="T227" s="82" t="str">
        <x:v>Lançado</x:v>
      </x:c>
      <x:c r="U227" s="82" t="str">
        <x:v>Base code(s): P21</x:v>
      </x:c>
      <x:c r="V227" s="80" t="str">
        <x:v>Coleção principal (~1:64)</x:v>
      </x:c>
      <x:c r="W227" s="82" t="str">
        <x:v>https://hotwheels.fandom.com/wiki/Porsche_Taycan_Turbo_S</x:v>
      </x:c>
      <x:c r="X227" s="82" t="str">
        <x:v>https://hotwheels.fandom.com/wiki/Porsche_Taycan_Turbo_S</x:v>
      </x:c>
    </x:row>
    <x:row r="228">
      <x:c r="A228" s="80" t="str">
        <x:v>Não</x:v>
      </x:c>
      <x:c r="B228" s="80" t="str">
        <x:v>2 — Completar aos poucos</x:v>
      </x:c>
      <x:c r="C228" s="81" t="n">
        <x:v>2021</x:v>
      </x:c>
      <x:c r="D228" s="80" t="str">
        <x:v>'71 Porsche 911</x:v>
      </x:c>
      <x:c r="E228" s="80" t="str">
        <x:v>'71 Porsche 911</x:v>
      </x:c>
      <x:c r="F228" s="82" t="str">
        <x:v>Collector Edition</x:v>
      </x:c>
      <x:c r="G228" s="80" t="str"/>
      <x:c r="H228" s="80" t="str"/>
      <x:c r="I228" s="83" t="str">
        <x:v>GTD71</x:v>
      </x:c>
      <x:c r="J228" s="80" t="str">
        <x:v>Spectraflame Aqua Green</x:v>
      </x:c>
      <x:c r="K228" s="82" t="str">
        <x:v>White, Yellow, and Orange Stripes, Hot Wheels logo and "4"</x:v>
      </x:c>
      <x:c r="L228" s="82" t="str">
        <x:v>Black MiniC4SP</x:v>
      </x:c>
      <x:c r="M228" s="82" t="str">
        <x:v>Black / / / Metal</x:v>
      </x:c>
      <x:c r="N228" s="82" t="str">
        <x:v>Clear</x:v>
      </x:c>
      <x:c r="O228" s="82" t="str">
        <x:v>Black</x:v>
      </x:c>
      <x:c r="P228" s="82" t="str">
        <x:v>Thailand</x:v>
      </x:c>
      <x:c r="Q228" s="82" t="str">
        <x:v>Target / Red Edition, Mail-in / Collector Edition</x:v>
      </x:c>
      <x:c r="R228" s="82" t="str">
        <x:v>Outra linha</x:v>
      </x:c>
      <x:c r="S228" s="82" t="str">
        <x:v>Rara</x:v>
      </x:c>
      <x:c r="T228" s="82" t="str">
        <x:v>Lançado</x:v>
      </x:c>
      <x:c r="U228" s="82" t="str">
        <x:v>Target Mail-in / Base code(s): P05, P06</x:v>
      </x:c>
      <x:c r="V228" s="80" t="str">
        <x:v>Coleção principal (~1:64)</x:v>
      </x:c>
      <x:c r="W228" s="82" t="str">
        <x:v>https://hotwheels.fandom.com/wiki/%2771_Porsche_911</x:v>
      </x:c>
      <x:c r="X228" s="82" t="str">
        <x:v>https://hotwheels.fandom.com/wiki/%2771_Porsche_911</x:v>
      </x:c>
    </x:row>
    <x:row r="229">
      <x:c r="A229" s="80" t="str">
        <x:v>Não</x:v>
      </x:c>
      <x:c r="B229" s="80" t="str">
        <x:v>2 — Completar aos poucos</x:v>
      </x:c>
      <x:c r="C229" s="81" t="n">
        <x:v>2021</x:v>
      </x:c>
      <x:c r="D229" s="80" t="str">
        <x:v>'71 Porsche 911</x:v>
      </x:c>
      <x:c r="E229" s="80" t="str">
        <x:v>'71 Porsche 911</x:v>
      </x:c>
      <x:c r="F229" s="82" t="str">
        <x:v>Orange and Blue / 4/6</x:v>
      </x:c>
      <x:c r="G229" s="80" t="str"/>
      <x:c r="H229" s="80" t="str"/>
      <x:c r="I229" s="83" t="str">
        <x:v>GRR39</x:v>
      </x:c>
      <x:c r="J229" s="80" t="str">
        <x:v>Metalflake Orange</x:v>
      </x:c>
      <x:c r="K229" s="82" t="str">
        <x:v>Dark blue stripe on hood, '53' and dark blue stripe on sides</x:v>
      </x:c>
      <x:c r="L229" s="82" t="str">
        <x:v>Chrome Light Blue LW</x:v>
      </x:c>
      <x:c r="M229" s="82" t="str">
        <x:v>Chrome / / / Plastic</x:v>
      </x:c>
      <x:c r="N229" s="82" t="str">
        <x:v>Smoke tint</x:v>
      </x:c>
      <x:c r="O229" s="82" t="str">
        <x:v>Black</x:v>
      </x:c>
      <x:c r="P229" s="82" t="str">
        <x:v>Malaysia</x:v>
      </x:c>
      <x:c r="Q229" s="82" t="str"/>
      <x:c r="R229" s="82" t="str">
        <x:v>Outra linha</x:v>
      </x:c>
      <x:c r="S229" s="82" t="str">
        <x:v>Comum / atual</x:v>
      </x:c>
      <x:c r="T229" s="82" t="str">
        <x:v>Lançado</x:v>
      </x:c>
      <x:c r="U229" s="82" t="str">
        <x:v>Base code(s): P03, P05, P07, P14</x:v>
      </x:c>
      <x:c r="V229" s="80" t="str">
        <x:v>Coleção principal (~1:64)</x:v>
      </x:c>
      <x:c r="W229" s="82" t="str">
        <x:v>https://hotwheels.fandom.com/wiki/%2771_Porsche_911</x:v>
      </x:c>
      <x:c r="X229" s="82" t="str">
        <x:v>https://hotwheels.fandom.com/wiki/%2771_Porsche_911</x:v>
      </x:c>
    </x:row>
    <x:row r="230">
      <x:c r="A230" s="80" t="str">
        <x:v>Não</x:v>
      </x:c>
      <x:c r="B230" s="80" t="str">
        <x:v>2 — Completar aos poucos</x:v>
      </x:c>
      <x:c r="C230" s="81" t="n">
        <x:v>2021</x:v>
      </x:c>
      <x:c r="D230" s="80" t="str">
        <x:v>'89 Porsche 944 Turbo</x:v>
      </x:c>
      <x:c r="E230" s="80" t="str">
        <x:v>'89 Porsche 944 Turbo</x:v>
      </x:c>
      <x:c r="F230" s="82" t="str">
        <x:v>HW Turbo / 2/5</x:v>
      </x:c>
      <x:c r="G230" s="80" t="str"/>
      <x:c r="H230" s="80" t="str">
        <x:v>045/250</x:v>
      </x:c>
      <x:c r="I230" s="83" t="str">
        <x:v>GTC38</x:v>
      </x:c>
      <x:c r="J230" s="80" t="str">
        <x:v>Satin Blue</x:v>
      </x:c>
      <x:c r="K230" s="82" t="str">
        <x:v>Porsche logo, headlights &amp; taillights, Red stripes, Silver 944, Magnus Walker Urban Outlaw logos</x:v>
      </x:c>
      <x:c r="L230" s="82" t="str">
        <x:v>Copper J5</x:v>
      </x:c>
      <x:c r="M230" s="82" t="str">
        <x:v>Black / / / Plastic</x:v>
      </x:c>
      <x:c r="N230" s="82" t="str">
        <x:v>Tinted (Black)</x:v>
      </x:c>
      <x:c r="O230" s="82" t="str">
        <x:v>Black</x:v>
      </x:c>
      <x:c r="P230" s="82" t="str">
        <x:v>Malaysia</x:v>
      </x:c>
      <x:c r="Q230" s="82" t="str"/>
      <x:c r="R230" s="82" t="str">
        <x:v>Mainline</x:v>
      </x:c>
      <x:c r="S230" s="82" t="str">
        <x:v>Comum / atual</x:v>
      </x:c>
      <x:c r="T230" s="82" t="str">
        <x:v>Lançado</x:v>
      </x:c>
      <x:c r="U230" s="82" t="str">
        <x:v>Urban Outlaw / New loop logo on base / Base code(s): N48, N49, N50, N51, N52, P01, P03</x:v>
      </x:c>
      <x:c r="V230" s="80" t="str">
        <x:v>Coleção principal (~1:64)</x:v>
      </x:c>
      <x:c r="W230" s="82" t="str">
        <x:v>https://hotwheels.fandom.com/wiki/%2789_Porsche_944_Turbo</x:v>
      </x:c>
      <x:c r="X230" s="82" t="str">
        <x:v>https://hotwheels.fandom.com/wiki/%2789_Porsche_944_Turbo</x:v>
      </x:c>
    </x:row>
    <x:row r="231">
      <x:c r="A231" s="80" t="str">
        <x:v>Não</x:v>
      </x:c>
      <x:c r="B231" s="80" t="str">
        <x:v>2 — Completar aos poucos</x:v>
      </x:c>
      <x:c r="C231" s="81" t="n">
        <x:v>2021</x:v>
      </x:c>
      <x:c r="D231" s="80" t="str">
        <x:v>'89 Porsche 944 Turbo</x:v>
      </x:c>
      <x:c r="E231" s="80" t="str">
        <x:v>'89 Porsche 944 Turbo</x:v>
      </x:c>
      <x:c r="F231" s="82" t="str">
        <x:v>HW Turbo / 2/5</x:v>
      </x:c>
      <x:c r="G231" s="80" t="str"/>
      <x:c r="H231" s="80" t="str">
        <x:v>045/250</x:v>
      </x:c>
      <x:c r="I231" s="83" t="str">
        <x:v>GRY56</x:v>
      </x:c>
      <x:c r="J231" s="80" t="str">
        <x:v>Silver</x:v>
      </x:c>
      <x:c r="K231" s="82" t="str">
        <x:v>Porsche logo, headlights &amp; taillights, Blue stripes, White 944, Magnus Walker Urban Outlaw logos</x:v>
      </x:c>
      <x:c r="L231" s="82" t="str">
        <x:v>Gold J5</x:v>
      </x:c>
      <x:c r="M231" s="82" t="str">
        <x:v>Black / / / Plastic</x:v>
      </x:c>
      <x:c r="N231" s="82" t="str">
        <x:v>Tinted (Black)</x:v>
      </x:c>
      <x:c r="O231" s="82" t="str">
        <x:v>Black</x:v>
      </x:c>
      <x:c r="P231" s="82" t="str">
        <x:v>Malaysia</x:v>
      </x:c>
      <x:c r="Q231" s="82" t="str"/>
      <x:c r="R231" s="82" t="str">
        <x:v>Mainline</x:v>
      </x:c>
      <x:c r="S231" s="82" t="str">
        <x:v>Comum / atual</x:v>
      </x:c>
      <x:c r="T231" s="82" t="str">
        <x:v>Lançado</x:v>
      </x:c>
      <x:c r="U231" s="82" t="str">
        <x:v>Urban Outlaw / Base code(s): N33, N36, N37, N38, N41</x:v>
      </x:c>
      <x:c r="V231" s="80" t="str">
        <x:v>Coleção principal (~1:64)</x:v>
      </x:c>
      <x:c r="W231" s="82" t="str">
        <x:v>https://hotwheels.fandom.com/wiki/%2789_Porsche_944_Turbo</x:v>
      </x:c>
      <x:c r="X231" s="82" t="str">
        <x:v>https://hotwheels.fandom.com/wiki/%2789_Porsche_944_Turbo</x:v>
      </x:c>
    </x:row>
    <x:row r="232">
      <x:c r="A232" s="80" t="str">
        <x:v>Não</x:v>
      </x:c>
      <x:c r="B232" s="80" t="str">
        <x:v>2 — Completar aos poucos</x:v>
      </x:c>
      <x:c r="C232" s="81" t="n">
        <x:v>2021</x:v>
      </x:c>
      <x:c r="D232" s="80" t="str">
        <x:v>'96 Porsche Carrera</x:v>
      </x:c>
      <x:c r="E232" s="80" t="str">
        <x:v>'96 Porsche Carrera</x:v>
      </x:c>
      <x:c r="F232" s="82" t="str">
        <x:v>HW Dream Garage / 1/5</x:v>
      </x:c>
      <x:c r="G232" s="80" t="str"/>
      <x:c r="H232" s="80" t="str">
        <x:v>016/250</x:v>
      </x:c>
      <x:c r="I232" s="83" t="str">
        <x:v>GTB93</x:v>
      </x:c>
      <x:c r="J232" s="80" t="str">
        <x:v>Dark Green</x:v>
      </x:c>
      <x:c r="K232" s="82" t="str">
        <x:v>Orange &amp; White decals on sides &amp; hood, Detailed rear grille</x:v>
      </x:c>
      <x:c r="L232" s="82" t="str">
        <x:v>White AeroDisc</x:v>
      </x:c>
      <x:c r="M232" s="82" t="str"/>
      <x:c r="N232" s="82" t="str">
        <x:v>Smoke tint</x:v>
      </x:c>
      <x:c r="O232" s="82" t="str">
        <x:v>Black</x:v>
      </x:c>
      <x:c r="P232" s="82" t="str">
        <x:v>Malaysia</x:v>
      </x:c>
      <x:c r="Q232" s="82" t="str"/>
      <x:c r="R232" s="82" t="str">
        <x:v>Mainline</x:v>
      </x:c>
      <x:c r="S232" s="82" t="str">
        <x:v>Comum / atual</x:v>
      </x:c>
      <x:c r="T232" s="82" t="str">
        <x:v>Lançado</x:v>
      </x:c>
      <x:c r="U232" s="82" t="str">
        <x:v>Base code(s): N48, N49, N50, N51, N52, P08 (AMAZON EU 36-PACK)</x:v>
      </x:c>
      <x:c r="V232" s="80" t="str">
        <x:v>Coleção principal (~1:64)</x:v>
      </x:c>
      <x:c r="W232" s="82" t="str">
        <x:v>https://hotwheels.fandom.com/wiki/%2796_Porsche_Carrera</x:v>
      </x:c>
      <x:c r="X232" s="82" t="str">
        <x:v>https://hotwheels.fandom.com/wiki/%2796_Porsche_Carrera</x:v>
      </x:c>
    </x:row>
    <x:row r="233">
      <x:c r="A233" s="80" t="str">
        <x:v>Não</x:v>
      </x:c>
      <x:c r="B233" s="80" t="str">
        <x:v>2 — Completar aos poucos</x:v>
      </x:c>
      <x:c r="C233" s="81" t="n">
        <x:v>2021</x:v>
      </x:c>
      <x:c r="D233" s="80" t="str">
        <x:v>'96 Porsche Carrera</x:v>
      </x:c>
      <x:c r="E233" s="80" t="str">
        <x:v>'96 Porsche Carrera</x:v>
      </x:c>
      <x:c r="F233" s="82" t="str">
        <x:v>HW Dream Garage / 1/5</x:v>
      </x:c>
      <x:c r="G233" s="80" t="str"/>
      <x:c r="H233" s="80" t="str">
        <x:v>016/250</x:v>
      </x:c>
      <x:c r="I233" s="83" t="str">
        <x:v>GRY11</x:v>
      </x:c>
      <x:c r="J233" s="80" t="str">
        <x:v>White</x:v>
      </x:c>
      <x:c r="K233" s="82" t="str">
        <x:v>Orange &amp; Beige decals on sides &amp; hood, Detailed rear grille</x:v>
      </x:c>
      <x:c r="L233" s="82" t="str">
        <x:v>Dark Gray AeroDisc</x:v>
      </x:c>
      <x:c r="M233" s="82" t="str"/>
      <x:c r="N233" s="82" t="str">
        <x:v>Smoke tint</x:v>
      </x:c>
      <x:c r="O233" s="82" t="str">
        <x:v>Black</x:v>
      </x:c>
      <x:c r="P233" s="82" t="str">
        <x:v>Malaysia</x:v>
      </x:c>
      <x:c r="Q233" s="82" t="str"/>
      <x:c r="R233" s="82" t="str">
        <x:v>Mainline</x:v>
      </x:c>
      <x:c r="S233" s="82" t="str">
        <x:v>Comum / atual</x:v>
      </x:c>
      <x:c r="T233" s="82" t="str">
        <x:v>Lançado</x:v>
      </x:c>
      <x:c r="U233" s="82" t="str">
        <x:v>Base code(s): N31, N33, N34, N35, N36, N37, N38</x:v>
      </x:c>
      <x:c r="V233" s="80" t="str">
        <x:v>Coleção principal (~1:64)</x:v>
      </x:c>
      <x:c r="W233" s="82" t="str">
        <x:v>https://hotwheels.fandom.com/wiki/%2796_Porsche_Carrera</x:v>
      </x:c>
      <x:c r="X233" s="82" t="str">
        <x:v>https://hotwheels.fandom.com/wiki/%2796_Porsche_Carrera</x:v>
      </x:c>
    </x:row>
    <x:row r="234">
      <x:c r="A234" s="80" t="str">
        <x:v>Não</x:v>
      </x:c>
      <x:c r="B234" s="80" t="str">
        <x:v>2 — Completar aos poucos</x:v>
      </x:c>
      <x:c r="C234" s="81" t="n">
        <x:v>2021</x:v>
      </x:c>
      <x:c r="D234" s="80" t="str">
        <x:v>Porsche 356 Outlaw</x:v>
      </x:c>
      <x:c r="E234" s="80" t="str">
        <x:v>Porsche 356 Outlaw</x:v>
      </x:c>
      <x:c r="F234" s="82" t="str">
        <x:v>HW Speed Graphics / 7/10</x:v>
      </x:c>
      <x:c r="G234" s="80" t="str"/>
      <x:c r="H234" s="80" t="str">
        <x:v>171/250</x:v>
      </x:c>
      <x:c r="I234" s="83" t="str">
        <x:v>GRY45</x:v>
      </x:c>
      <x:c r="J234" s="80" t="str">
        <x:v>Sky Blue</x:v>
      </x:c>
      <x:c r="K234" s="82" t="str">
        <x:v>Orange accents, Gulf logo</x:v>
      </x:c>
      <x:c r="L234" s="82" t="str">
        <x:v>AeroDisc</x:v>
      </x:c>
      <x:c r="M234" s="82" t="str">
        <x:v>Dark Gray / / / Plastic</x:v>
      </x:c>
      <x:c r="N234" s="82" t="str">
        <x:v>Smoke tint</x:v>
      </x:c>
      <x:c r="O234" s="82" t="str">
        <x:v>Black</x:v>
      </x:c>
      <x:c r="P234" s="82" t="str">
        <x:v>Malaysia</x:v>
      </x:c>
      <x:c r="Q234" s="82" t="str"/>
      <x:c r="R234" s="82" t="str">
        <x:v>Mainline</x:v>
      </x:c>
      <x:c r="S234" s="82" t="str">
        <x:v>Comum / atual</x:v>
      </x:c>
      <x:c r="T234" s="82" t="str">
        <x:v>Lançado</x:v>
      </x:c>
      <x:c r="U234" s="82" t="str">
        <x:v>Base code(s): P05, P06, P08, P09, P10</x:v>
      </x:c>
      <x:c r="V234" s="80" t="str">
        <x:v>Coleção principal (~1:64)</x:v>
      </x:c>
      <x:c r="W234" s="82" t="str">
        <x:v>https://hotwheels.fandom.com/wiki/Porsche_356_Outlaw</x:v>
      </x:c>
      <x:c r="X234" s="82" t="str">
        <x:v>https://hotwheels.fandom.com/wiki/Porsche_356_Outlaw</x:v>
      </x:c>
    </x:row>
    <x:row r="235">
      <x:c r="A235" s="80" t="str">
        <x:v>Não</x:v>
      </x:c>
      <x:c r="B235" s="80" t="str">
        <x:v>2 — Completar aos poucos</x:v>
      </x:c>
      <x:c r="C235" s="81" t="n">
        <x:v>2021</x:v>
      </x:c>
      <x:c r="D235" s="80" t="str">
        <x:v>Porsche 911 GT2</x:v>
      </x:c>
      <x:c r="E235" s="80" t="str">
        <x:v>Porsche 911 GT2</x:v>
      </x:c>
      <x:c r="F235" s="82" t="str">
        <x:v>Multipack Exclusive</x:v>
      </x:c>
      <x:c r="G235" s="80" t="str"/>
      <x:c r="H235" s="80" t="str"/>
      <x:c r="I235" s="83" t="str">
        <x:v>X6999</x:v>
      </x:c>
      <x:c r="J235" s="80" t="str">
        <x:v>White</x:v>
      </x:c>
      <x:c r="K235" s="82" t="str">
        <x:v>Black stripes on hood &amp; roof, GT2 on tail, Porsche badge on hood</x:v>
      </x:c>
      <x:c r="L235" s="82" t="str">
        <x:v>Chrome lip, black J5</x:v>
      </x:c>
      <x:c r="M235" s="82" t="str">
        <x:v>Gray / / / Plastic</x:v>
      </x:c>
      <x:c r="N235" s="82" t="str">
        <x:v>Tinted (Black)</x:v>
      </x:c>
      <x:c r="O235" s="82" t="str">
        <x:v>Black</x:v>
      </x:c>
      <x:c r="P235" s="82" t="str">
        <x:v>Malaysia</x:v>
      </x:c>
      <x:c r="Q235" s="82" t="str"/>
      <x:c r="R235" s="82" t="str">
        <x:v>Temática / multipack</x:v>
      </x:c>
      <x:c r="S235" s="82" t="str">
        <x:v>Comum / atual</x:v>
      </x:c>
      <x:c r="T235" s="82" t="str">
        <x:v>Lançado</x:v>
      </x:c>
      <x:c r="U235" s="82" t="str">
        <x:v>Base code(s): N43, P29, P43, P44, P46</x:v>
      </x:c>
      <x:c r="V235" s="80" t="str">
        <x:v>Coleção principal (~1:64)</x:v>
      </x:c>
      <x:c r="W235" s="82" t="str">
        <x:v>https://hotwheels.fandom.com/wiki/Porsche_911_GT2</x:v>
      </x:c>
      <x:c r="X235" s="82" t="str">
        <x:v>https://hotwheels.fandom.com/wiki/Porsche_911_GT2</x:v>
      </x:c>
    </x:row>
    <x:row r="236">
      <x:c r="A236" s="80" t="str">
        <x:v>Não</x:v>
      </x:c>
      <x:c r="B236" s="80" t="str">
        <x:v>2 — Completar aos poucos</x:v>
      </x:c>
      <x:c r="C236" s="81" t="n">
        <x:v>2021</x:v>
      </x:c>
      <x:c r="D236" s="80" t="str">
        <x:v>Porsche 911 GT3 RS (2011)</x:v>
      </x:c>
      <x:c r="E236" s="80" t="str">
        <x:v>Porsche 911 GT3 RS</x:v>
      </x:c>
      <x:c r="F236" s="82" t="str">
        <x:v>Forza Horizon / 2/5</x:v>
      </x:c>
      <x:c r="G236" s="80" t="str"/>
      <x:c r="H236" s="80" t="str"/>
      <x:c r="I236" s="83" t="str">
        <x:v>GRP34</x:v>
      </x:c>
      <x:c r="J236" s="80" t="str">
        <x:v>Flat Black</x:v>
      </x:c>
      <x:c r="K236" s="82" t="str">
        <x:v>Detailed headlights, "GT3 RS", Forza Horizon logos on side</x:v>
      </x:c>
      <x:c r="L236" s="82" t="str">
        <x:v>Dark Grey PR5</x:v>
      </x:c>
      <x:c r="M236" s="82" t="str">
        <x:v>Gray / / / Plastic</x:v>
      </x:c>
      <x:c r="N236" s="82" t="str">
        <x:v>Smoke tint</x:v>
      </x:c>
      <x:c r="O236" s="82" t="str">
        <x:v>Pink</x:v>
      </x:c>
      <x:c r="P236" s="82" t="str">
        <x:v>Malaysia</x:v>
      </x:c>
      <x:c r="Q236" s="82" t="str"/>
      <x:c r="R236" s="82" t="str">
        <x:v>Outra linha</x:v>
      </x:c>
      <x:c r="S236" s="82" t="str">
        <x:v>Comum / atual</x:v>
      </x:c>
      <x:c r="T236" s="82" t="str">
        <x:v>Lançado</x:v>
      </x:c>
      <x:c r="U236" s="82" t="str">
        <x:v>Base code(s): P31</x:v>
      </x:c>
      <x:c r="V236" s="80" t="str">
        <x:v>Coleção principal (~1:64)</x:v>
      </x:c>
      <x:c r="W236" s="82" t="str">
        <x:v>https://hotwheels.fandom.com/wiki/Porsche_911_GT3_RS_(2011)</x:v>
      </x:c>
      <x:c r="X236" s="82" t="str">
        <x:v>https://hotwheels.fandom.com/wiki/Porsche_911_GT3_RS_(2011)</x:v>
      </x:c>
    </x:row>
    <x:row r="237">
      <x:c r="A237" s="80" t="str">
        <x:v>Não</x:v>
      </x:c>
      <x:c r="B237" s="80" t="str">
        <x:v>2 — Completar aos poucos</x:v>
      </x:c>
      <x:c r="C237" s="81" t="n">
        <x:v>2021</x:v>
      </x:c>
      <x:c r="D237" s="80" t="str">
        <x:v>Porsche 911 GT3 RS (2011)</x:v>
      </x:c>
      <x:c r="E237" s="80" t="str">
        <x:v>Porsche 911 GT3 RS</x:v>
      </x:c>
      <x:c r="F237" s="82" t="str">
        <x:v>Forza Horizon / 2/5</x:v>
      </x:c>
      <x:c r="G237" s="80" t="str"/>
      <x:c r="H237" s="80" t="str">
        <x:v>Dark Grey 10SP</x:v>
      </x:c>
      <x:c r="I237" s="83" t="str">
        <x:v>GRP34</x:v>
      </x:c>
      <x:c r="J237" s="80" t="str">
        <x:v>Flat Black</x:v>
      </x:c>
      <x:c r="K237" s="82" t="str">
        <x:v>Detailed headlights, "GT3 RS", Forza Horizon logos on side</x:v>
      </x:c>
      <x:c r="L237" s="82" t="str"/>
      <x:c r="M237" s="82" t="str">
        <x:v>Gray / / / Plastic</x:v>
      </x:c>
      <x:c r="N237" s="82" t="str">
        <x:v>Smoke tint</x:v>
      </x:c>
      <x:c r="O237" s="82" t="str">
        <x:v>Pink</x:v>
      </x:c>
      <x:c r="P237" s="82" t="str">
        <x:v>Malaysia</x:v>
      </x:c>
      <x:c r="Q237" s="82" t="str"/>
      <x:c r="R237" s="82" t="str">
        <x:v>Mainline</x:v>
      </x:c>
      <x:c r="S237" s="82" t="str">
        <x:v>Comum / atual</x:v>
      </x:c>
      <x:c r="T237" s="82" t="str">
        <x:v>Lançado</x:v>
      </x:c>
      <x:c r="U237" s="82" t="str">
        <x:v>Base code(s): P31</x:v>
      </x:c>
      <x:c r="V237" s="80" t="str">
        <x:v>Coleção principal (~1:64)</x:v>
      </x:c>
      <x:c r="W237" s="82" t="str">
        <x:v>https://hotwheels.fandom.com/wiki/Porsche_911_GT3_RS_(2011)</x:v>
      </x:c>
      <x:c r="X237" s="82" t="str">
        <x:v>https://hotwheels.fandom.com/wiki/Porsche_911_GT3_RS_(2011)</x:v>
      </x:c>
    </x:row>
    <x:row r="238">
      <x:c r="A238" s="80" t="str">
        <x:v>Não</x:v>
      </x:c>
      <x:c r="B238" s="80" t="str">
        <x:v>2 — Completar aos poucos</x:v>
      </x:c>
      <x:c r="C238" s="81" t="n">
        <x:v>2021</x:v>
      </x:c>
      <x:c r="D238" s="80" t="str">
        <x:v>Porsche 911 GT3 RS (2016)</x:v>
      </x:c>
      <x:c r="E238" s="80" t="str">
        <x:v>Porsche 911 GT3 RS</x:v>
      </x:c>
      <x:c r="F238" s="82" t="str">
        <x:v>Factory 500 H.P. / 10/10</x:v>
      </x:c>
      <x:c r="G238" s="80" t="str"/>
      <x:c r="H238" s="80" t="str"/>
      <x:c r="I238" s="83" t="str">
        <x:v>GRT11</x:v>
      </x:c>
      <x:c r="J238" s="80" t="str">
        <x:v>Yellow</x:v>
      </x:c>
      <x:c r="K238" s="82" t="str">
        <x:v>Porsche 'GT3 RS' stripes on sides, 'Porsche' on rear spoiler, Porsche emblem on hood</x:v>
      </x:c>
      <x:c r="L238" s="82" t="str">
        <x:v>Black PR5</x:v>
      </x:c>
      <x:c r="M238" s="82" t="str">
        <x:v>Black / / / Plastic</x:v>
      </x:c>
      <x:c r="N238" s="82" t="str">
        <x:v>Smoke tint</x:v>
      </x:c>
      <x:c r="O238" s="82" t="str">
        <x:v>Black</x:v>
      </x:c>
      <x:c r="P238" s="82" t="str">
        <x:v>Thailand</x:v>
      </x:c>
      <x:c r="Q238" s="82" t="str"/>
      <x:c r="R238" s="82" t="str">
        <x:v>Outra linha</x:v>
      </x:c>
      <x:c r="S238" s="82" t="str">
        <x:v>Comum / atual</x:v>
      </x:c>
      <x:c r="T238" s="82" t="str">
        <x:v>Lançado</x:v>
      </x:c>
      <x:c r="U238" s="82" t="str">
        <x:v>Base code(s): N37, N38, N39, N48</x:v>
      </x:c>
      <x:c r="V238" s="80" t="str">
        <x:v>Coleção principal (~1:64)</x:v>
      </x:c>
      <x:c r="W238" s="82" t="str">
        <x:v>https://hotwheels.fandom.com/wiki/Porsche_911_GT3_RS_(2016)</x:v>
      </x:c>
      <x:c r="X238" s="82" t="str">
        <x:v>https://hotwheels.fandom.com/wiki/Porsche_911_GT3_RS_(2016)</x:v>
      </x:c>
    </x:row>
    <x:row r="239">
      <x:c r="A239" s="80" t="str">
        <x:v>Não</x:v>
      </x:c>
      <x:c r="B239" s="80" t="str">
        <x:v>2 — Completar aos poucos</x:v>
      </x:c>
      <x:c r="C239" s="81" t="n">
        <x:v>2021</x:v>
      </x:c>
      <x:c r="D239" s="80" t="str">
        <x:v>Porsche 911 GT3 RS (2016)</x:v>
      </x:c>
      <x:c r="E239" s="80" t="str">
        <x:v>Porsche 911 GT3 RS</x:v>
      </x:c>
      <x:c r="F239" s="82" t="str">
        <x:v>Hot Wheels id: HW Euro Sport / 01/03</x:v>
      </x:c>
      <x:c r="G239" s="80" t="str"/>
      <x:c r="H239" s="80" t="str"/>
      <x:c r="I239" s="83" t="str">
        <x:v>HBG16</x:v>
      </x:c>
      <x:c r="J239" s="80" t="str">
        <x:v>Spectraflame Birch Green</x:v>
      </x:c>
      <x:c r="K239" s="82" t="str">
        <x:v>"GT3 RS" sides, 'Porsche' on rear wing</x:v>
      </x:c>
      <x:c r="L239" s="82" t="str">
        <x:v>ID</x:v>
      </x:c>
      <x:c r="M239" s="82" t="str">
        <x:v>Transparent Black / / / Plastic</x:v>
      </x:c>
      <x:c r="N239" s="82" t="str">
        <x:v>Smoke tint</x:v>
      </x:c>
      <x:c r="O239" s="82" t="str">
        <x:v>Black</x:v>
      </x:c>
      <x:c r="P239" s="82" t="str">
        <x:v>Malaysia</x:v>
      </x:c>
      <x:c r="Q239" s="82" t="str"/>
      <x:c r="R239" s="82" t="str">
        <x:v>Mainline</x:v>
      </x:c>
      <x:c r="S239" s="82" t="str">
        <x:v>Comum / atual</x:v>
      </x:c>
      <x:c r="T239" s="82" t="str">
        <x:v>Lançado</x:v>
      </x:c>
      <x:c r="U239" s="82" t="str">
        <x:v>Base code(s): P20</x:v>
      </x:c>
      <x:c r="V239" s="80" t="str">
        <x:v>Coleção principal (~1:64)</x:v>
      </x:c>
      <x:c r="W239" s="82" t="str">
        <x:v>https://hotwheels.fandom.com/wiki/Porsche_911_GT3_RS_(2016)</x:v>
      </x:c>
      <x:c r="X239" s="82" t="str">
        <x:v>https://hotwheels.fandom.com/wiki/Porsche_911_GT3_RS_(2016)</x:v>
      </x:c>
    </x:row>
    <x:row r="240">
      <x:c r="A240" s="80" t="str">
        <x:v>Não</x:v>
      </x:c>
      <x:c r="B240" s="80" t="str">
        <x:v>2 — Completar aos poucos</x:v>
      </x:c>
      <x:c r="C240" s="81" t="n">
        <x:v>2021</x:v>
      </x:c>
      <x:c r="D240" s="80" t="str">
        <x:v>Porsche 911 GT3 RS (2016)</x:v>
      </x:c>
      <x:c r="E240" s="80" t="str">
        <x:v>Porsche 911 GT3 RS</x:v>
      </x:c>
      <x:c r="F240" s="82" t="str">
        <x:v>Replica Entertainment: Forza Horizon 4</x:v>
      </x:c>
      <x:c r="G240" s="80" t="str"/>
      <x:c r="H240" s="80" t="str"/>
      <x:c r="I240" s="83" t="str">
        <x:v>GRL77</x:v>
      </x:c>
      <x:c r="J240" s="80" t="str">
        <x:v>Lizard Green</x:v>
      </x:c>
      <x:c r="K240" s="82" t="str">
        <x:v>Forza logo and "GT3 RS" on sides, detailed air intakes and vents, Forza logo on wing</x:v>
      </x:c>
      <x:c r="L240" s="82" t="str">
        <x:v>RR10SPM</x:v>
      </x:c>
      <x:c r="M240" s="82" t="str">
        <x:v>Black / / / Metal</x:v>
      </x:c>
      <x:c r="N240" s="82" t="str">
        <x:v>Smoke tint</x:v>
      </x:c>
      <x:c r="O240" s="82" t="str">
        <x:v>Black</x:v>
      </x:c>
      <x:c r="P240" s="82" t="str">
        <x:v>Thailand</x:v>
      </x:c>
      <x:c r="Q240" s="82" t="str"/>
      <x:c r="R240" s="82" t="str">
        <x:v>Premium</x:v>
      </x:c>
      <x:c r="S240" s="82" t="str">
        <x:v>Incomum</x:v>
      </x:c>
      <x:c r="T240" s="82" t="str">
        <x:v>Lançado</x:v>
      </x:c>
      <x:c r="U240" s="82" t="str">
        <x:v>Base code(s): P12, P18, P21</x:v>
      </x:c>
      <x:c r="V240" s="80" t="str">
        <x:v>Coleção principal (~1:64)</x:v>
      </x:c>
      <x:c r="W240" s="82" t="str">
        <x:v>https://hotwheels.fandom.com/wiki/Porsche_911_GT3_RS_(2016)</x:v>
      </x:c>
      <x:c r="X240" s="82" t="str">
        <x:v>https://hotwheels.fandom.com/wiki/Porsche_911_GT3_RS_(2016)</x:v>
      </x:c>
    </x:row>
    <x:row r="241">
      <x:c r="A241" s="80" t="str">
        <x:v>Não</x:v>
      </x:c>
      <x:c r="B241" s="80" t="str">
        <x:v>2 — Completar aos poucos</x:v>
      </x:c>
      <x:c r="C241" s="81" t="n">
        <x:v>2021</x:v>
      </x:c>
      <x:c r="D241" s="80" t="str">
        <x:v>Porsche 914 Safari</x:v>
      </x:c>
      <x:c r="E241" s="80" t="str">
        <x:v>Porsche 914 Safari</x:v>
      </x:c>
      <x:c r="F241" s="82" t="str">
        <x:v>HW Exotics / 5/10</x:v>
      </x:c>
      <x:c r="G241" s="80" t="str"/>
      <x:c r="H241" s="80" t="str">
        <x:v>223/250</x:v>
      </x:c>
      <x:c r="I241" s="83" t="str">
        <x:v>GRY88</x:v>
      </x:c>
      <x:c r="J241" s="80" t="str">
        <x:v>White</x:v>
      </x:c>
      <x:c r="K241" s="82" t="str">
        <x:v>"DIMA", "HWGRFX", "PORSCHE", "21" on sides</x:v>
      </x:c>
      <x:c r="L241" s="82" t="str">
        <x:v>Black BAJA5 Rim-Chrome</x:v>
      </x:c>
      <x:c r="M241" s="82" t="str"/>
      <x:c r="N241" s="82" t="str">
        <x:v>Clear</x:v>
      </x:c>
      <x:c r="O241" s="82" t="str">
        <x:v>Black</x:v>
      </x:c>
      <x:c r="P241" s="82" t="str">
        <x:v>Malaysia</x:v>
      </x:c>
      <x:c r="Q241" s="82" t="str"/>
      <x:c r="R241" s="82" t="str">
        <x:v>Mainline</x:v>
      </x:c>
      <x:c r="S241" s="82" t="str">
        <x:v>Comum / atual</x:v>
      </x:c>
      <x:c r="T241" s="82" t="str">
        <x:v>Lançado</x:v>
      </x:c>
      <x:c r="U241" s="82" t="str">
        <x:v>Base code(s): P18, P20, P21, P28, P29</x:v>
      </x:c>
      <x:c r="V241" s="80" t="str">
        <x:v>Coleção principal (~1:64)</x:v>
      </x:c>
      <x:c r="W241" s="82" t="str">
        <x:v>https://hotwheels.fandom.com/wiki/Porsche_914_Safari</x:v>
      </x:c>
      <x:c r="X241" s="82" t="str">
        <x:v>https://hotwheels.fandom.com/wiki/Porsche_914_Safari</x:v>
      </x:c>
    </x:row>
    <x:row r="242">
      <x:c r="A242" s="80" t="str">
        <x:v>Não</x:v>
      </x:c>
      <x:c r="B242" s="80" t="str">
        <x:v>2 — Completar aos poucos</x:v>
      </x:c>
      <x:c r="C242" s="81" t="n">
        <x:v>2021</x:v>
      </x:c>
      <x:c r="D242" s="80" t="str">
        <x:v>Porsche 918 Spyder</x:v>
      </x:c>
      <x:c r="E242" s="80" t="str">
        <x:v>Porsche 918 Spyder</x:v>
      </x:c>
      <x:c r="F242" s="82" t="str">
        <x:v>1/4 Mile Finals / 3/5</x:v>
      </x:c>
      <x:c r="G242" s="80" t="str"/>
      <x:c r="H242" s="80" t="str"/>
      <x:c r="I242" s="83" t="str">
        <x:v>GRP30</x:v>
      </x:c>
      <x:c r="J242" s="80" t="str">
        <x:v>Viper Green</x:v>
      </x:c>
      <x:c r="K242" s="82" t="str">
        <x:v>Detailed headlights, black stripes down hood</x:v>
      </x:c>
      <x:c r="L242" s="82" t="str">
        <x:v>PR5 Black Gloss</x:v>
      </x:c>
      <x:c r="M242" s="82" t="str">
        <x:v>Black / / / Plastic</x:v>
      </x:c>
      <x:c r="N242" s="82" t="str">
        <x:v>Smoke tint</x:v>
      </x:c>
      <x:c r="O242" s="82" t="str">
        <x:v>Black</x:v>
      </x:c>
      <x:c r="P242" s="82" t="str">
        <x:v>Malaysia</x:v>
      </x:c>
      <x:c r="Q242" s="82" t="str"/>
      <x:c r="R242" s="82" t="str">
        <x:v>Outra linha</x:v>
      </x:c>
      <x:c r="S242" s="82" t="str">
        <x:v>Comum / atual</x:v>
      </x:c>
      <x:c r="T242" s="82" t="str">
        <x:v>Lançado</x:v>
      </x:c>
      <x:c r="U242" s="82" t="str"/>
      <x:c r="V242" s="80" t="str">
        <x:v>Coleção principal (~1:64)</x:v>
      </x:c>
      <x:c r="W242" s="82" t="str">
        <x:v>https://hotwheels.fandom.com/wiki/Porsche_918_Spyder</x:v>
      </x:c>
      <x:c r="X242" s="82" t="str">
        <x:v>https://hotwheels.fandom.com/wiki/Porsche_918_Spyder</x:v>
      </x:c>
    </x:row>
    <x:row r="243">
      <x:c r="A243" s="80" t="str">
        <x:v>Não</x:v>
      </x:c>
      <x:c r="B243" s="80" t="str">
        <x:v>2 — Completar aos poucos</x:v>
      </x:c>
      <x:c r="C243" s="81" t="n">
        <x:v>2021</x:v>
      </x:c>
      <x:c r="D243" s="80" t="str">
        <x:v>Porsche 934 Turbo RSR</x:v>
      </x:c>
      <x:c r="E243" s="80" t="str">
        <x:v>Porsche 934 Turbo RSR</x:v>
      </x:c>
      <x:c r="F243" s="82" t="str">
        <x:v>Nightburnerz 5-Pack</x:v>
      </x:c>
      <x:c r="G243" s="80" t="str"/>
      <x:c r="H243" s="80" t="str"/>
      <x:c r="I243" s="83" t="str">
        <x:v>GTN47</x:v>
      </x:c>
      <x:c r="J243" s="80" t="str">
        <x:v>Metalflake Dark Orange</x:v>
      </x:c>
      <x:c r="K243" s="82" t="str">
        <x:v>Stripes &amp; 934 on hood &amp; sides</x:v>
      </x:c>
      <x:c r="L243" s="82" t="str">
        <x:v>Chrome orange AeroDisc</x:v>
      </x:c>
      <x:c r="M243" s="82" t="str">
        <x:v>Gray / / / Plastic</x:v>
      </x:c>
      <x:c r="N243" s="82" t="str">
        <x:v>Smoke tint</x:v>
      </x:c>
      <x:c r="O243" s="82" t="str">
        <x:v>Grey</x:v>
      </x:c>
      <x:c r="P243" s="82" t="str">
        <x:v>Indonesia</x:v>
      </x:c>
      <x:c r="Q243" s="82" t="str"/>
      <x:c r="R243" s="82" t="str">
        <x:v>Temática / multipack</x:v>
      </x:c>
      <x:c r="S243" s="82" t="str">
        <x:v>Comum / atual</x:v>
      </x:c>
      <x:c r="T243" s="82" t="str">
        <x:v>Lançado</x:v>
      </x:c>
      <x:c r="U243" s="82" t="str">
        <x:v>Base code(s): P16, P17, P18, P25, P26, P27, P33, P43, P48</x:v>
      </x:c>
      <x:c r="V243" s="80" t="str">
        <x:v>Coleção principal (~1:64)</x:v>
      </x:c>
      <x:c r="W243" s="82" t="str">
        <x:v>https://hotwheels.fandom.com/wiki/Porsche_934_Turbo_RSR</x:v>
      </x:c>
      <x:c r="X243" s="82" t="str">
        <x:v>https://hotwheels.fandom.com/wiki/Porsche_934_Turbo_RSR</x:v>
      </x:c>
    </x:row>
    <x:row r="244">
      <x:c r="A244" s="80" t="str">
        <x:v>Não</x:v>
      </x:c>
      <x:c r="B244" s="80" t="str">
        <x:v>2 — Completar aos poucos</x:v>
      </x:c>
      <x:c r="C244" s="81" t="n">
        <x:v>2021</x:v>
      </x:c>
      <x:c r="D244" s="80" t="str">
        <x:v>Porsche 935 (2021)</x:v>
      </x:c>
      <x:c r="E244" s="80" t="str">
        <x:v>Porsche 935</x:v>
      </x:c>
      <x:c r="F244" s="82" t="str">
        <x:v>HW Race Day / 5/10</x:v>
      </x:c>
      <x:c r="G244" s="80" t="str"/>
      <x:c r="H244" s="80" t="str">
        <x:v>058/250</x:v>
      </x:c>
      <x:c r="I244" s="83" t="str">
        <x:v>GRX60</x:v>
      </x:c>
      <x:c r="J244" s="80" t="str">
        <x:v>White</x:v>
      </x:c>
      <x:c r="K244" s="82" t="str">
        <x:v>Magnus Walker Urban Outlaw- tampo on roof; Red hood with "MW", Porsche logo and "277"; "Porsche", "277", Porsche logo and "40 GB" on sides; "Porsche" on red stripe on spoiler</x:v>
      </x:c>
      <x:c r="L244" s="82" t="str">
        <x:v>Gold 5SP</x:v>
      </x:c>
      <x:c r="M244" s="82" t="str">
        <x:v>Metalflake Blue / / / Plastic</x:v>
      </x:c>
      <x:c r="N244" s="82" t="str">
        <x:v>Smoke tint</x:v>
      </x:c>
      <x:c r="O244" s="82" t="str">
        <x:v>Black</x:v>
      </x:c>
      <x:c r="P244" s="82" t="str">
        <x:v>Malaysia</x:v>
      </x:c>
      <x:c r="Q244" s="82" t="str"/>
      <x:c r="R244" s="82" t="str">
        <x:v>Mainline</x:v>
      </x:c>
      <x:c r="S244" s="82" t="str">
        <x:v>Comum / atual</x:v>
      </x:c>
      <x:c r="T244" s="82" t="str">
        <x:v>Lançado</x:v>
      </x:c>
      <x:c r="U244" s="82" t="str">
        <x:v>Urban Outlaw / New Model / Base code(s): N39, N41, N42, N43, N44</x:v>
      </x:c>
      <x:c r="V244" s="80" t="str">
        <x:v>Coleção principal (~1:64)</x:v>
      </x:c>
      <x:c r="W244" s="82" t="str">
        <x:v>https://hotwheels.fandom.com/wiki/Porsche_935_(2021)</x:v>
      </x:c>
      <x:c r="X244" s="82" t="str">
        <x:v>https://hotwheels.fandom.com/wiki/Porsche_935_(2021)</x:v>
      </x:c>
    </x:row>
    <x:row r="245">
      <x:c r="A245" s="80" t="str">
        <x:v>Não</x:v>
      </x:c>
      <x:c r="B245" s="80" t="str">
        <x:v>2 — Completar aos poucos</x:v>
      </x:c>
      <x:c r="C245" s="81" t="n">
        <x:v>2021</x:v>
      </x:c>
      <x:c r="D245" s="80" t="str">
        <x:v>Porsche 935 (2021)</x:v>
      </x:c>
      <x:c r="E245" s="80" t="str">
        <x:v>Porsche 935</x:v>
      </x:c>
      <x:c r="F245" s="82" t="str">
        <x:v>HW Race Day / 5/10</x:v>
      </x:c>
      <x:c r="G245" s="80" t="str"/>
      <x:c r="H245" s="80" t="str">
        <x:v>058/250</x:v>
      </x:c>
      <x:c r="I245" s="83" t="str">
        <x:v>GTB65</x:v>
      </x:c>
      <x:c r="J245" s="80" t="str">
        <x:v>White</x:v>
      </x:c>
      <x:c r="K245" s="82" t="str">
        <x:v>Magnus Walker Urban Outlaw-themed tampos, blue hood</x:v>
      </x:c>
      <x:c r="L245" s="82" t="str">
        <x:v>Gray 5SP</x:v>
      </x:c>
      <x:c r="M245" s="82" t="str">
        <x:v>Red / / / Plastic</x:v>
      </x:c>
      <x:c r="N245" s="82" t="str">
        <x:v>Smoke tint</x:v>
      </x:c>
      <x:c r="O245" s="82" t="str">
        <x:v>Black</x:v>
      </x:c>
      <x:c r="P245" s="82" t="str">
        <x:v>Malaysia</x:v>
      </x:c>
      <x:c r="Q245" s="82" t="str"/>
      <x:c r="R245" s="82" t="str">
        <x:v>Mainline</x:v>
      </x:c>
      <x:c r="S245" s="82" t="str">
        <x:v>Comum / atual</x:v>
      </x:c>
      <x:c r="T245" s="82" t="str">
        <x:v>Lançado</x:v>
      </x:c>
      <x:c r="U245" s="82" t="str">
        <x:v>Urban Outlaw / New Model / Base code(s): P02, P03, P05, P06, P07</x:v>
      </x:c>
      <x:c r="V245" s="80" t="str">
        <x:v>Coleção principal (~1:64)</x:v>
      </x:c>
      <x:c r="W245" s="82" t="str">
        <x:v>https://hotwheels.fandom.com/wiki/Porsche_935_(2021)</x:v>
      </x:c>
      <x:c r="X245" s="82" t="str">
        <x:v>https://hotwheels.fandom.com/wiki/Porsche_935_(2021)</x:v>
      </x:c>
    </x:row>
    <x:row r="246">
      <x:c r="A246" s="80" t="str">
        <x:v>Não</x:v>
      </x:c>
      <x:c r="B246" s="80" t="str">
        <x:v>2 — Completar aos poucos</x:v>
      </x:c>
      <x:c r="C246" s="81" t="n">
        <x:v>2021</x:v>
      </x:c>
      <x:c r="D246" s="80" t="str">
        <x:v>Porsche 935 (2021)</x:v>
      </x:c>
      <x:c r="E246" s="80" t="str">
        <x:v>Porsche 935</x:v>
      </x:c>
      <x:c r="F246" s="82" t="str">
        <x:v>HW Race Day / 5/10</x:v>
      </x:c>
      <x:c r="G246" s="80" t="str"/>
      <x:c r="H246" s="80" t="str">
        <x:v>058/250</x:v>
      </x:c>
      <x:c r="I246" s="83" t="str">
        <x:v>GTD31</x:v>
      </x:c>
      <x:c r="J246" s="80" t="str">
        <x:v>ZAMAC</x:v>
      </x:c>
      <x:c r="K246" s="82" t="str">
        <x:v>Magnus Walker Urban Outlaw-themed tampos</x:v>
      </x:c>
      <x:c r="L246" s="82" t="str">
        <x:v>Red Chrome 5SP</x:v>
      </x:c>
      <x:c r="M246" s="82" t="str">
        <x:v>Blue / / / Plastic</x:v>
      </x:c>
      <x:c r="N246" s="82" t="str">
        <x:v>Smoke tint</x:v>
      </x:c>
      <x:c r="O246" s="82" t="str">
        <x:v>Black</x:v>
      </x:c>
      <x:c r="P246" s="82" t="str">
        <x:v>Malaysia</x:v>
      </x:c>
      <x:c r="Q246" s="82" t="str">
        <x:v>ZAMAC, Walmart</x:v>
      </x:c>
      <x:c r="R246" s="82" t="str">
        <x:v>Mainline</x:v>
      </x:c>
      <x:c r="S246" s="82" t="str">
        <x:v>Rara</x:v>
      </x:c>
      <x:c r="T246" s="82" t="str">
        <x:v>Lançado</x:v>
      </x:c>
      <x:c r="U246" s="82" t="str">
        <x:v>New Model / Walmart Exclusive Base code(s): P30</x:v>
      </x:c>
      <x:c r="V246" s="80" t="str">
        <x:v>Coleção principal (~1:64)</x:v>
      </x:c>
      <x:c r="W246" s="82" t="str">
        <x:v>https://hotwheels.fandom.com/wiki/Porsche_935_(2021)</x:v>
      </x:c>
      <x:c r="X246" s="82" t="str">
        <x:v>https://hotwheels.fandom.com/wiki/Porsche_935_(2021)</x:v>
      </x:c>
    </x:row>
    <x:row r="247">
      <x:c r="A247" s="80" t="str">
        <x:v>Não</x:v>
      </x:c>
      <x:c r="B247" s="80" t="str">
        <x:v>2 — Completar aos poucos</x:v>
      </x:c>
      <x:c r="C247" s="81" t="n">
        <x:v>2021</x:v>
      </x:c>
      <x:c r="D247" s="80" t="str">
        <x:v>Porsche 959 (1986)</x:v>
      </x:c>
      <x:c r="E247" s="80" t="str">
        <x:v>Porsche 959 (1986)</x:v>
      </x:c>
      <x:c r="F247" s="82" t="str">
        <x:v>Car Culture: Deutschland Design / 3/5</x:v>
      </x:c>
      <x:c r="G247" s="80" t="str"/>
      <x:c r="H247" s="80" t="str"/>
      <x:c r="I247" s="83" t="str">
        <x:v>GRJ70</x:v>
      </x:c>
      <x:c r="J247" s="80" t="str">
        <x:v>White</x:v>
      </x:c>
      <x:c r="K247" s="82" t="str">
        <x:v>Detailed trim</x:v>
      </x:c>
      <x:c r="L247" s="82" t="str">
        <x:v>Black RR6SPM</x:v>
      </x:c>
      <x:c r="M247" s="82" t="str">
        <x:v>Black / / / Metal</x:v>
      </x:c>
      <x:c r="N247" s="82" t="str">
        <x:v>Tinted (Black)</x:v>
      </x:c>
      <x:c r="O247" s="82" t="str">
        <x:v>Black</x:v>
      </x:c>
      <x:c r="P247" s="82" t="str">
        <x:v>Thailand</x:v>
      </x:c>
      <x:c r="Q247" s="82" t="str"/>
      <x:c r="R247" s="82" t="str">
        <x:v>Premium</x:v>
      </x:c>
      <x:c r="S247" s="82" t="str">
        <x:v>Incomum</x:v>
      </x:c>
      <x:c r="T247" s="82" t="str">
        <x:v>Lançado</x:v>
      </x:c>
      <x:c r="U247" s="82" t="str"/>
      <x:c r="V247" s="80" t="str">
        <x:v>Coleção principal (~1:64)</x:v>
      </x:c>
      <x:c r="W247" s="82" t="str">
        <x:v>https://hotwheels.fandom.com/wiki/Porsche_959_(1986)</x:v>
      </x:c>
      <x:c r="X247" s="82" t="str">
        <x:v>https://hotwheels.fandom.com/wiki/Porsche_959_(1986)</x:v>
      </x:c>
    </x:row>
    <x:row r="248">
      <x:c r="A248" s="80" t="str">
        <x:v>Não</x:v>
      </x:c>
      <x:c r="B248" s="80" t="str">
        <x:v>2 — Completar aos poucos</x:v>
      </x:c>
      <x:c r="C248" s="81" t="n">
        <x:v>2021</x:v>
      </x:c>
      <x:c r="D248" s="80" t="str">
        <x:v>Porsche 962</x:v>
      </x:c>
      <x:c r="E248" s="80" t="str">
        <x:v>Porsche 962</x:v>
      </x:c>
      <x:c r="F248" s="82" t="str">
        <x:v>Porsche 962 Car Culture 2-Pack</x:v>
      </x:c>
      <x:c r="G248" s="80" t="str"/>
      <x:c r="H248" s="80" t="str"/>
      <x:c r="I248" s="83" t="str">
        <x:v>HBM02</x:v>
      </x:c>
      <x:c r="J248" s="80" t="str">
        <x:v>Black</x:v>
      </x:c>
      <x:c r="K248" s="82" t="str">
        <x:v>Advan livery, "25"</x:v>
      </x:c>
      <x:c r="L248" s="82" t="str">
        <x:v>White &amp; Black RRA</x:v>
      </x:c>
      <x:c r="M248" s="82" t="str">
        <x:v>Black / / / Metal</x:v>
      </x:c>
      <x:c r="N248" s="82" t="str">
        <x:v>Clear</x:v>
      </x:c>
      <x:c r="O248" s="82" t="str">
        <x:v>Black</x:v>
      </x:c>
      <x:c r="P248" s="82" t="str">
        <x:v>Thailand</x:v>
      </x:c>
      <x:c r="Q248" s="82" t="str"/>
      <x:c r="R248" s="82" t="str">
        <x:v>Premium</x:v>
      </x:c>
      <x:c r="S248" s="82" t="str">
        <x:v>Incomum</x:v>
      </x:c>
      <x:c r="T248" s="82" t="str">
        <x:v>Lançado</x:v>
      </x:c>
      <x:c r="U248" s="82" t="str">
        <x:v>Identical to FLC29 / Base Code(s): P32, P39</x:v>
      </x:c>
      <x:c r="V248" s="80" t="str">
        <x:v>Coleção principal (~1:64)</x:v>
      </x:c>
      <x:c r="W248" s="82" t="str">
        <x:v>https://hotwheels.fandom.com/wiki/Porsche_962</x:v>
      </x:c>
      <x:c r="X248" s="82" t="str">
        <x:v>https://hotwheels.fandom.com/wiki/Porsche_962</x:v>
      </x:c>
    </x:row>
    <x:row r="249">
      <x:c r="A249" s="80" t="str">
        <x:v>Não</x:v>
      </x:c>
      <x:c r="B249" s="80" t="str">
        <x:v>2 — Completar aos poucos</x:v>
      </x:c>
      <x:c r="C249" s="81" t="n">
        <x:v>2021</x:v>
      </x:c>
      <x:c r="D249" s="80" t="str">
        <x:v>Porsche 962</x:v>
      </x:c>
      <x:c r="E249" s="80" t="str">
        <x:v>Porsche 962</x:v>
      </x:c>
      <x:c r="F249" s="82" t="str">
        <x:v>Porsche 962 Car Culture 2-Pack</x:v>
      </x:c>
      <x:c r="G249" s="80" t="str"/>
      <x:c r="H249" s="80" t="str">
        <x:v>White</x:v>
      </x:c>
      <x:c r="I249" s="83" t="str">
        <x:v>HBM02</x:v>
      </x:c>
      <x:c r="J249" s="80" t="str">
        <x:v>Valvoline Racing Deco; Number "8"</x:v>
      </x:c>
      <x:c r="K249" s="82" t="str">
        <x:v>White &amp; Chrome rim, Gold RR6SPM</x:v>
      </x:c>
      <x:c r="L249" s="82" t="str">
        <x:v>Base Code(s): P32, P39</x:v>
      </x:c>
      <x:c r="M249" s="82" t="str">
        <x:v>Black / / / Metal</x:v>
      </x:c>
      <x:c r="N249" s="82" t="str">
        <x:v>Clear</x:v>
      </x:c>
      <x:c r="O249" s="82" t="str">
        <x:v>Black</x:v>
      </x:c>
      <x:c r="P249" s="82" t="str">
        <x:v>Thailand</x:v>
      </x:c>
      <x:c r="Q249" s="82" t="str"/>
      <x:c r="R249" s="82" t="str">
        <x:v>Premium</x:v>
      </x:c>
      <x:c r="S249" s="82" t="str">
        <x:v>Incomum</x:v>
      </x:c>
      <x:c r="T249" s="82" t="str">
        <x:v>Lançado</x:v>
      </x:c>
      <x:c r="U249" s="82" t="str"/>
      <x:c r="V249" s="80" t="str">
        <x:v>Coleção principal (~1:64)</x:v>
      </x:c>
      <x:c r="W249" s="82" t="str">
        <x:v>https://hotwheels.fandom.com/wiki/Porsche_962</x:v>
      </x:c>
      <x:c r="X249" s="82" t="str">
        <x:v>https://hotwheels.fandom.com/wiki/Porsche_962</x:v>
      </x:c>
    </x:row>
    <x:row r="250">
      <x:c r="A250" s="80" t="str">
        <x:v>Não</x:v>
      </x:c>
      <x:c r="B250" s="80" t="str">
        <x:v>2 — Completar aos poucos</x:v>
      </x:c>
      <x:c r="C250" s="81" t="n">
        <x:v>2021</x:v>
      </x:c>
      <x:c r="D250" s="80" t="str">
        <x:v>Porsche 964</x:v>
      </x:c>
      <x:c r="E250" s="80" t="str">
        <x:v>Porsche 964</x:v>
      </x:c>
      <x:c r="F250" s="82" t="str">
        <x:v>Hot Wheels Boulevard / #28</x:v>
      </x:c>
      <x:c r="G250" s="80" t="str"/>
      <x:c r="H250" s="80" t="str"/>
      <x:c r="I250" s="83" t="str">
        <x:v>GRM10</x:v>
      </x:c>
      <x:c r="J250" s="80" t="str">
        <x:v>Metalflake Olive Green</x:v>
      </x:c>
      <x:c r="K250" s="82" t="str">
        <x:v>Tan stripes &amp; roundels, Porsche logo, headlights</x:v>
      </x:c>
      <x:c r="L250" s="82" t="str">
        <x:v>RRLW5</x:v>
      </x:c>
      <x:c r="M250" s="82" t="str">
        <x:v>Black / / / Metal</x:v>
      </x:c>
      <x:c r="N250" s="82" t="str">
        <x:v>Clear</x:v>
      </x:c>
      <x:c r="O250" s="82" t="str">
        <x:v>Tan</x:v>
      </x:c>
      <x:c r="P250" s="82" t="str">
        <x:v>Thailand</x:v>
      </x:c>
      <x:c r="Q250" s="82" t="str"/>
      <x:c r="R250" s="82" t="str">
        <x:v>Premium</x:v>
      </x:c>
      <x:c r="S250" s="82" t="str">
        <x:v>Incomum</x:v>
      </x:c>
      <x:c r="T250" s="82" t="str">
        <x:v>Lançado</x:v>
      </x:c>
      <x:c r="U250" s="82" t="str"/>
      <x:c r="V250" s="80" t="str">
        <x:v>Coleção principal (~1:64)</x:v>
      </x:c>
      <x:c r="W250" s="82" t="str">
        <x:v>https://hotwheels.fandom.com/wiki/Porsche_964</x:v>
      </x:c>
      <x:c r="X250" s="82" t="str">
        <x:v>https://hotwheels.fandom.com/wiki/Porsche_964</x:v>
      </x:c>
    </x:row>
    <x:row r="251">
      <x:c r="A251" s="80" t="str">
        <x:v>Não</x:v>
      </x:c>
      <x:c r="B251" s="80" t="str">
        <x:v>2 — Completar aos poucos</x:v>
      </x:c>
      <x:c r="C251" s="81" t="n">
        <x:v>2021</x:v>
      </x:c>
      <x:c r="D251" s="80" t="str">
        <x:v>Porsche 993 GT2</x:v>
      </x:c>
      <x:c r="E251" s="80" t="str">
        <x:v>Porsche 993 GT2</x:v>
      </x:c>
      <x:c r="F251" s="82" t="str">
        <x:v>HW Exotics / 1/10</x:v>
      </x:c>
      <x:c r="G251" s="80" t="str"/>
      <x:c r="H251" s="80" t="str">
        <x:v>174/250</x:v>
      </x:c>
      <x:c r="I251" s="83" t="str">
        <x:v>GRY84</x:v>
      </x:c>
      <x:c r="J251" s="80" t="str">
        <x:v>Glossy Red</x:v>
      </x:c>
      <x:c r="K251" s="82" t="str">
        <x:v>Black &amp; Gold stripes on side &amp; hood, Porsche logo</x:v>
      </x:c>
      <x:c r="L251" s="82" t="str">
        <x:v>Gold rim, Black5SP</x:v>
      </x:c>
      <x:c r="M251" s="82" t="str">
        <x:v>Black / / / Plastic</x:v>
      </x:c>
      <x:c r="N251" s="82" t="str">
        <x:v>Clear</x:v>
      </x:c>
      <x:c r="O251" s="82" t="str">
        <x:v>Black</x:v>
      </x:c>
      <x:c r="P251" s="82" t="str">
        <x:v>Malaysia</x:v>
      </x:c>
      <x:c r="Q251" s="82" t="str"/>
      <x:c r="R251" s="82" t="str">
        <x:v>Mainline</x:v>
      </x:c>
      <x:c r="S251" s="82" t="str">
        <x:v>Comum / atual</x:v>
      </x:c>
      <x:c r="T251" s="82" t="str">
        <x:v>Lançado</x:v>
      </x:c>
      <x:c r="U251" s="82" t="str">
        <x:v>Base code(s): P05, P06, P09, P10</x:v>
      </x:c>
      <x:c r="V251" s="80" t="str">
        <x:v>Coleção principal (~1:64)</x:v>
      </x:c>
      <x:c r="W251" s="82" t="str">
        <x:v>https://hotwheels.fandom.com/wiki/Porsche_993_GT2</x:v>
      </x:c>
      <x:c r="X251" s="82" t="str">
        <x:v>https://hotwheels.fandom.com/wiki/Porsche_993_GT2</x:v>
      </x:c>
    </x:row>
    <x:row r="252">
      <x:c r="A252" s="80" t="str">
        <x:v>Não</x:v>
      </x:c>
      <x:c r="B252" s="80" t="str">
        <x:v>2 — Completar aos poucos</x:v>
      </x:c>
      <x:c r="C252" s="81" t="n">
        <x:v>2021</x:v>
      </x:c>
      <x:c r="D252" s="80" t="str">
        <x:v>Porsche 993 GT2</x:v>
      </x:c>
      <x:c r="E252" s="80" t="str">
        <x:v>Porsche 993 GT2</x:v>
      </x:c>
      <x:c r="F252" s="82" t="str">
        <x:v>HW Exotics / 1/10</x:v>
      </x:c>
      <x:c r="G252" s="80" t="str"/>
      <x:c r="H252" s="80" t="str">
        <x:v>174/250</x:v>
      </x:c>
      <x:c r="I252" s="83" t="str">
        <x:v>GTC03</x:v>
      </x:c>
      <x:c r="J252" s="80" t="str">
        <x:v>White</x:v>
      </x:c>
      <x:c r="K252" s="82" t="str">
        <x:v>Black &amp; Red stripes on side &amp; hood, Porsche logo</x:v>
      </x:c>
      <x:c r="L252" s="82" t="str">
        <x:v>Chrome rim, Black 5SP</x:v>
      </x:c>
      <x:c r="M252" s="82" t="str">
        <x:v>Black / / / Plastic</x:v>
      </x:c>
      <x:c r="N252" s="82" t="str">
        <x:v>Smoke tint</x:v>
      </x:c>
      <x:c r="O252" s="82" t="str">
        <x:v>Black</x:v>
      </x:c>
      <x:c r="P252" s="82" t="str">
        <x:v>Malaysia</x:v>
      </x:c>
      <x:c r="Q252" s="82" t="str"/>
      <x:c r="R252" s="82" t="str">
        <x:v>Mainline</x:v>
      </x:c>
      <x:c r="S252" s="82" t="str">
        <x:v>Comum / atual</x:v>
      </x:c>
      <x:c r="T252" s="82" t="str">
        <x:v>Lançado</x:v>
      </x:c>
      <x:c r="U252" s="82" t="str">
        <x:v>Base code(s): P27, P28, P30, P31, P32</x:v>
      </x:c>
      <x:c r="V252" s="80" t="str">
        <x:v>Coleção principal (~1:64)</x:v>
      </x:c>
      <x:c r="W252" s="82" t="str">
        <x:v>https://hotwheels.fandom.com/wiki/Porsche_993_GT2</x:v>
      </x:c>
      <x:c r="X252" s="82" t="str">
        <x:v>https://hotwheels.fandom.com/wiki/Porsche_993_GT2</x:v>
      </x:c>
    </x:row>
    <x:row r="253">
      <x:c r="A253" s="80" t="str">
        <x:v>Não</x:v>
      </x:c>
      <x:c r="B253" s="80" t="str">
        <x:v>2 — Completar aos poucos</x:v>
      </x:c>
      <x:c r="C253" s="81" t="n">
        <x:v>2021</x:v>
      </x:c>
      <x:c r="D253" s="80" t="str">
        <x:v>Porsche Boxster Spyder</x:v>
      </x:c>
      <x:c r="E253" s="80" t="str">
        <x:v>Porsche Boxster Spyder</x:v>
      </x:c>
      <x:c r="F253" s="82" t="str">
        <x:v>Convertibles Series / 8/10</x:v>
      </x:c>
      <x:c r="G253" s="80" t="str"/>
      <x:c r="H253" s="80" t="str"/>
      <x:c r="I253" s="83" t="str">
        <x:v>GRT18</x:v>
      </x:c>
      <x:c r="J253" s="80" t="str">
        <x:v>White</x:v>
      </x:c>
      <x:c r="K253" s="82" t="str">
        <x:v>Black striping with 'Porsche' on sides, detailed headlights</x:v>
      </x:c>
      <x:c r="L253" s="82" t="str">
        <x:v>Black 10SP</x:v>
      </x:c>
      <x:c r="M253" s="82" t="str">
        <x:v>Black / / / Plastic</x:v>
      </x:c>
      <x:c r="N253" s="82" t="str">
        <x:v>Tinted (Smoke)</x:v>
      </x:c>
      <x:c r="O253" s="82" t="str">
        <x:v>Black</x:v>
      </x:c>
      <x:c r="P253" s="82" t="str">
        <x:v>Malaysia</x:v>
      </x:c>
      <x:c r="Q253" s="82" t="str"/>
      <x:c r="R253" s="82" t="str">
        <x:v>Outra linha</x:v>
      </x:c>
      <x:c r="S253" s="82" t="str">
        <x:v>Comum / atual</x:v>
      </x:c>
      <x:c r="T253" s="82" t="str">
        <x:v>Lançado</x:v>
      </x:c>
      <x:c r="U253" s="82" t="str">
        <x:v>Base Code(s): P08, P28</x:v>
      </x:c>
      <x:c r="V253" s="80" t="str">
        <x:v>Coleção principal (~1:64)</x:v>
      </x:c>
      <x:c r="W253" s="82" t="str">
        <x:v>https://hotwheels.fandom.com/wiki/Porsche_Boxster_Spyder</x:v>
      </x:c>
      <x:c r="X253" s="82" t="str">
        <x:v>https://hotwheels.fandom.com/wiki/Porsche_Boxster_Spyder</x:v>
      </x:c>
    </x:row>
    <x:row r="254">
      <x:c r="A254" s="80" t="str">
        <x:v>Não</x:v>
      </x:c>
      <x:c r="B254" s="80" t="str">
        <x:v>2 — Completar aos poucos</x:v>
      </x:c>
      <x:c r="C254" s="81" t="n">
        <x:v>2021</x:v>
      </x:c>
      <x:c r="D254" s="80" t="str">
        <x:v>Porsche Cayman S</x:v>
      </x:c>
      <x:c r="E254" s="80" t="str">
        <x:v>Porsche Cayman S</x:v>
      </x:c>
      <x:c r="F254" s="82" t="str">
        <x:v>Multipack Exclusive</x:v>
      </x:c>
      <x:c r="G254" s="80" t="str"/>
      <x:c r="H254" s="80" t="str"/>
      <x:c r="I254" s="83" t="str">
        <x:v>X6999</x:v>
      </x:c>
      <x:c r="J254" s="80" t="str">
        <x:v>Orange</x:v>
      </x:c>
      <x:c r="K254" s="82" t="str">
        <x:v>Teal stripes on sides, headlight decos</x:v>
      </x:c>
      <x:c r="L254" s="82" t="str">
        <x:v>Grey 10SP</x:v>
      </x:c>
      <x:c r="M254" s="82" t="str">
        <x:v>Black / Plastic</x:v>
      </x:c>
      <x:c r="N254" s="82" t="str">
        <x:v>Smoke tint</x:v>
      </x:c>
      <x:c r="O254" s="82" t="str">
        <x:v>Light Gray</x:v>
      </x:c>
      <x:c r="P254" s="82" t="str">
        <x:v>Malaysia</x:v>
      </x:c>
      <x:c r="Q254" s="82" t="str"/>
      <x:c r="R254" s="82" t="str">
        <x:v>Temática / multipack</x:v>
      </x:c>
      <x:c r="S254" s="82" t="str">
        <x:v>Comum / atual</x:v>
      </x:c>
      <x:c r="T254" s="82" t="str">
        <x:v>Lançado</x:v>
      </x:c>
      <x:c r="U254" s="82" t="str">
        <x:v>Base code(s):</x:v>
      </x:c>
      <x:c r="V254" s="80" t="str">
        <x:v>Coleção principal (~1:64)</x:v>
      </x:c>
      <x:c r="W254" s="82" t="str">
        <x:v>https://hotwheels.fandom.com/wiki/Porsche_Cayman_S</x:v>
      </x:c>
      <x:c r="X254" s="82" t="str">
        <x:v>https://hotwheels.fandom.com/wiki/Porsche_Cayman_S</x:v>
      </x:c>
    </x:row>
    <x:row r="255">
      <x:c r="A255" s="80" t="str">
        <x:v>Não</x:v>
      </x:c>
      <x:c r="B255" s="80" t="str">
        <x:v>2 — Completar aos poucos</x:v>
      </x:c>
      <x:c r="C255" s="81" t="n">
        <x:v>2021</x:v>
      </x:c>
      <x:c r="D255" s="80" t="str">
        <x:v>Porsche Cayman S</x:v>
      </x:c>
      <x:c r="E255" s="80" t="str">
        <x:v>Porsche Cayman S</x:v>
      </x:c>
      <x:c r="F255" s="82" t="str">
        <x:v>Mystery Models (Series 2) 3/12</x:v>
      </x:c>
      <x:c r="G255" s="80" t="str"/>
      <x:c r="H255" s="80" t="str"/>
      <x:c r="I255" s="83" t="str">
        <x:v>GTF16</x:v>
      </x:c>
      <x:c r="J255" s="80" t="str">
        <x:v>White</x:v>
      </x:c>
      <x:c r="K255" s="82" t="str">
        <x:v>Red stripes &amp; Black roundel with 3 on sides &amp; top</x:v>
      </x:c>
      <x:c r="L255" s="82" t="str">
        <x:v>Gold rim, Black J5</x:v>
      </x:c>
      <x:c r="M255" s="82" t="str">
        <x:v>Black / Plastic</x:v>
      </x:c>
      <x:c r="N255" s="82" t="str">
        <x:v>Clear</x:v>
      </x:c>
      <x:c r="O255" s="82" t="str">
        <x:v>Black</x:v>
      </x:c>
      <x:c r="P255" s="82" t="str">
        <x:v>Malaysia</x:v>
      </x:c>
      <x:c r="Q255" s="82" t="str"/>
      <x:c r="R255" s="82" t="str">
        <x:v>Outra linha</x:v>
      </x:c>
      <x:c r="S255" s="82" t="str">
        <x:v>Comum / atual</x:v>
      </x:c>
      <x:c r="T255" s="82" t="str">
        <x:v>Lançado</x:v>
      </x:c>
      <x:c r="U255" s="82" t="str">
        <x:v>Base code(s): P07, P09, P10</x:v>
      </x:c>
      <x:c r="V255" s="80" t="str">
        <x:v>Coleção principal (~1:64)</x:v>
      </x:c>
      <x:c r="W255" s="82" t="str">
        <x:v>https://hotwheels.fandom.com/wiki/Porsche_Cayman_S</x:v>
      </x:c>
      <x:c r="X255" s="82" t="str">
        <x:v>https://hotwheels.fandom.com/wiki/Porsche_Cayman_S</x:v>
      </x:c>
    </x:row>
    <x:row r="256">
      <x:c r="A256" s="80" t="str">
        <x:v>Não</x:v>
      </x:c>
      <x:c r="B256" s="80" t="str">
        <x:v>2 — Completar aos poucos</x:v>
      </x:c>
      <x:c r="C256" s="81" t="n">
        <x:v>2021</x:v>
      </x:c>
      <x:c r="D256" s="80" t="str">
        <x:v>Porsche Taycan Turbo S</x:v>
      </x:c>
      <x:c r="E256" s="80" t="str">
        <x:v>Porsche Taycan Turbo S</x:v>
      </x:c>
      <x:c r="F256" s="82" t="str">
        <x:v>HW Green Speed "HW Green Speed Mini Collection (2021)")</x:v>
      </x:c>
      <x:c r="G256" s="80" t="str"/>
      <x:c r="H256" s="80" t="str"/>
      <x:c r="I256" s="83" t="str">
        <x:v>GML43</x:v>
      </x:c>
      <x:c r="J256" s="80" t="str"/>
      <x:c r="K256" s="82" t="str"/>
      <x:c r="L256" s="82" t="str"/>
      <x:c r="M256" s="82" t="str"/>
      <x:c r="N256" s="82" t="str"/>
      <x:c r="O256" s="82" t="str"/>
      <x:c r="P256" s="82" t="str"/>
      <x:c r="Q256" s="82" t="str"/>
      <x:c r="R256" s="82" t="str">
        <x:v>Mainline</x:v>
      </x:c>
      <x:c r="S256" s="82" t="str">
        <x:v>Comum / atual</x:v>
      </x:c>
      <x:c r="T256" s="82" t="str">
        <x:v>Lançado</x:v>
      </x:c>
      <x:c r="U256" s="82" t="str"/>
      <x:c r="V256" s="80" t="str">
        <x:v>Coleção principal (~1:64)</x:v>
      </x:c>
      <x:c r="W256" s="82" t="str">
        <x:v>https://hotwheels.fandom.com/wiki/Porsche</x:v>
      </x:c>
      <x:c r="X256" s="82" t="str">
        <x:v>https://hotwheels.fandom.com/wiki/Porsche_Taycan_Turbo_S</x:v>
      </x:c>
    </x:row>
    <x:row r="257">
      <x:c r="A257" s="80" t="str">
        <x:v>Não</x:v>
      </x:c>
      <x:c r="B257" s="80" t="str">
        <x:v>2 — Completar aos poucos</x:v>
      </x:c>
      <x:c r="C257" s="81" t="n">
        <x:v>2021</x:v>
      </x:c>
      <x:c r="D257" s="80" t="str">
        <x:v>Porsche Taycan Turbo S</x:v>
      </x:c>
      <x:c r="E257" s="80" t="str">
        <x:v>Porsche Taycan Turbo S</x:v>
      </x:c>
      <x:c r="F257" s="82" t="str">
        <x:v>HW Green Speed / 4/5</x:v>
      </x:c>
      <x:c r="G257" s="80" t="str"/>
      <x:c r="H257" s="80" t="str">
        <x:v>208/250</x:v>
      </x:c>
      <x:c r="I257" s="83" t="str">
        <x:v>GTB23</x:v>
      </x:c>
      <x:c r="J257" s="80" t="str">
        <x:v>Metalflake Carmine Red</x:v>
      </x:c>
      <x:c r="K257" s="82" t="str">
        <x:v>Detailed headlights &amp; taillights, "Turbo S" license plate, "PORSCHE Taycan Turbo S" on rear</x:v>
      </x:c>
      <x:c r="L257" s="82" t="str">
        <x:v>Chrome rim, Black OH5</x:v>
      </x:c>
      <x:c r="M257" s="82" t="str">
        <x:v>Black / / / Plastic</x:v>
      </x:c>
      <x:c r="N257" s="82" t="str">
        <x:v>Smoke tint</x:v>
      </x:c>
      <x:c r="O257" s="82" t="str">
        <x:v>Black</x:v>
      </x:c>
      <x:c r="P257" s="82" t="str">
        <x:v>Malaysia</x:v>
      </x:c>
      <x:c r="Q257" s="82" t="str"/>
      <x:c r="R257" s="82" t="str">
        <x:v>Mainline</x:v>
      </x:c>
      <x:c r="S257" s="82" t="str">
        <x:v>Comum / atual</x:v>
      </x:c>
      <x:c r="T257" s="82" t="str">
        <x:v>Lançado</x:v>
      </x:c>
      <x:c r="U257" s="82" t="str">
        <x:v>Base code(s): P09, P11, P12, P13, P14, P16, P17</x:v>
      </x:c>
      <x:c r="V257" s="80" t="str">
        <x:v>Coleção principal (~1:64)</x:v>
      </x:c>
      <x:c r="W257" s="82" t="str">
        <x:v>https://hotwheels.fandom.com/wiki/Porsche_Taycan_Turbo_S</x:v>
      </x:c>
      <x:c r="X257" s="82" t="str">
        <x:v>https://hotwheels.fandom.com/wiki/Porsche_Taycan_Turbo_S</x:v>
      </x:c>
    </x:row>
    <x:row r="258">
      <x:c r="A258" s="80" t="str">
        <x:v>Não</x:v>
      </x:c>
      <x:c r="B258" s="80" t="str">
        <x:v>2 — Completar aos poucos</x:v>
      </x:c>
      <x:c r="C258" s="81" t="n">
        <x:v>2020</x:v>
      </x:c>
      <x:c r="D258" s="80" t="str">
        <x:v>'71 Porsche 911</x:v>
      </x:c>
      <x:c r="E258" s="80" t="str">
        <x:v>'71 Porsche 911</x:v>
      </x:c>
      <x:c r="F258" s="82" t="str">
        <x:v>Car Culture: Door Slammers / 1/5</x:v>
      </x:c>
      <x:c r="G258" s="80" t="str"/>
      <x:c r="H258" s="80" t="str"/>
      <x:c r="I258" s="83" t="str">
        <x:v>GJP76</x:v>
      </x:c>
      <x:c r="J258" s="80" t="str">
        <x:v>White &amp; Blue</x:v>
      </x:c>
      <x:c r="K258" s="82" t="str">
        <x:v>'Momo', POC, MW, #277 on hood, Porsche striping, #277 on sides, Urban Outlaw on sides and roof</x:v>
      </x:c>
      <x:c r="L258" s="82" t="str">
        <x:v>Gray RRLW5</x:v>
      </x:c>
      <x:c r="M258" s="82" t="str">
        <x:v>Blue / / / Metal</x:v>
      </x:c>
      <x:c r="N258" s="82" t="str">
        <x:v>Smoke tint</x:v>
      </x:c>
      <x:c r="O258" s="82" t="str">
        <x:v>Black</x:v>
      </x:c>
      <x:c r="P258" s="82" t="str">
        <x:v>Thailand</x:v>
      </x:c>
      <x:c r="Q258" s="82" t="str"/>
      <x:c r="R258" s="82" t="str">
        <x:v>Premium</x:v>
      </x:c>
      <x:c r="S258" s="82" t="str">
        <x:v>Incomum</x:v>
      </x:c>
      <x:c r="T258" s="82" t="str">
        <x:v>Lançado</x:v>
      </x:c>
      <x:c r="U258" s="82" t="str">
        <x:v>Base code(s): M40, M43</x:v>
      </x:c>
      <x:c r="V258" s="80" t="str">
        <x:v>Coleção principal (~1:64)</x:v>
      </x:c>
      <x:c r="W258" s="82" t="str">
        <x:v>https://hotwheels.fandom.com/wiki/%2771_Porsche_911</x:v>
      </x:c>
      <x:c r="X258" s="82" t="str">
        <x:v>https://hotwheels.fandom.com/wiki/%2771_Porsche_911</x:v>
      </x:c>
    </x:row>
    <x:row r="259">
      <x:c r="A259" s="80" t="str">
        <x:v>Não</x:v>
      </x:c>
      <x:c r="B259" s="80" t="str">
        <x:v>2 — Completar aos poucos</x:v>
      </x:c>
      <x:c r="C259" s="81" t="n">
        <x:v>2020</x:v>
      </x:c>
      <x:c r="D259" s="80" t="str">
        <x:v>'71 Porsche 911</x:v>
      </x:c>
      <x:c r="E259" s="80" t="str">
        <x:v>'71 Porsche 911</x:v>
      </x:c>
      <x:c r="F259" s="82" t="str">
        <x:v>Car Culture: Door Slammers / 1/5</x:v>
      </x:c>
      <x:c r="G259" s="80" t="str"/>
      <x:c r="H259" s="80" t="str"/>
      <x:c r="I259" s="83" t="str">
        <x:v>GJP76</x:v>
      </x:c>
      <x:c r="J259" s="80" t="str">
        <x:v>White &amp; Blue</x:v>
      </x:c>
      <x:c r="K259" s="82" t="str">
        <x:v>'Momo', POC, MW, #277 on hood, Porsche striping, #277 on sides, Urban Outlaw on sides and roof</x:v>
      </x:c>
      <x:c r="L259" s="82" t="str">
        <x:v>DGRR8SP</x:v>
      </x:c>
      <x:c r="M259" s="82" t="str">
        <x:v>Blue / / / Metal</x:v>
      </x:c>
      <x:c r="N259" s="82" t="str">
        <x:v>Smoke tint</x:v>
      </x:c>
      <x:c r="O259" s="82" t="str">
        <x:v>Black</x:v>
      </x:c>
      <x:c r="P259" s="82" t="str">
        <x:v>Thailand</x:v>
      </x:c>
      <x:c r="Q259" s="82" t="str"/>
      <x:c r="R259" s="82" t="str">
        <x:v>Premium</x:v>
      </x:c>
      <x:c r="S259" s="82" t="str">
        <x:v>Incomum</x:v>
      </x:c>
      <x:c r="T259" s="82" t="str">
        <x:v>Lançado</x:v>
      </x:c>
      <x:c r="U259" s="82" t="str">
        <x:v>Base code(s):</x:v>
      </x:c>
      <x:c r="V259" s="80" t="str">
        <x:v>Coleção principal (~1:64)</x:v>
      </x:c>
      <x:c r="W259" s="82" t="str">
        <x:v>https://hotwheels.fandom.com/wiki/%2771_Porsche_911</x:v>
      </x:c>
      <x:c r="X259" s="82" t="str">
        <x:v>https://hotwheels.fandom.com/wiki/%2771_Porsche_911</x:v>
      </x:c>
    </x:row>
    <x:row r="260">
      <x:c r="A260" s="80" t="str">
        <x:v>Não</x:v>
      </x:c>
      <x:c r="B260" s="80" t="str">
        <x:v>2 — Completar aos poucos</x:v>
      </x:c>
      <x:c r="C260" s="81" t="n">
        <x:v>2020</x:v>
      </x:c>
      <x:c r="D260" s="80" t="str">
        <x:v>'89 Porsche 944 Turbo</x:v>
      </x:c>
      <x:c r="E260" s="80" t="str">
        <x:v>'89 Porsche 944 Turbo</x:v>
      </x:c>
      <x:c r="F260" s="82" t="str">
        <x:v>Porsche / 1/5</x:v>
      </x:c>
      <x:c r="G260" s="80" t="str"/>
      <x:c r="H260" s="80" t="str">
        <x:v>047/250</x:v>
      </x:c>
      <x:c r="I260" s="83" t="str">
        <x:v>GHF07</x:v>
      </x:c>
      <x:c r="J260" s="80" t="str">
        <x:v>Gold</x:v>
      </x:c>
      <x:c r="K260" s="82" t="str">
        <x:v>Porsche logo, headlights &amp; taillights</x:v>
      </x:c>
      <x:c r="L260" s="82" t="str">
        <x:v>Chrome Lip PR5</x:v>
      </x:c>
      <x:c r="M260" s="82" t="str">
        <x:v>Black / / / Plastic</x:v>
      </x:c>
      <x:c r="N260" s="82" t="str">
        <x:v>Tinted (Black)</x:v>
      </x:c>
      <x:c r="O260" s="82" t="str">
        <x:v>Black</x:v>
      </x:c>
      <x:c r="P260" s="82" t="str">
        <x:v>Malaysia</x:v>
      </x:c>
      <x:c r="Q260" s="82" t="str"/>
      <x:c r="R260" s="82" t="str">
        <x:v>Mainline</x:v>
      </x:c>
      <x:c r="S260" s="82" t="str">
        <x:v>Comum / atual</x:v>
      </x:c>
      <x:c r="T260" s="82" t="str">
        <x:v>Lançado</x:v>
      </x:c>
      <x:c r="U260" s="82" t="str">
        <x:v>New Model / Base code(s): M47, M50, N01, N02, N03, N04</x:v>
      </x:c>
      <x:c r="V260" s="80" t="str">
        <x:v>Coleção principal (~1:64)</x:v>
      </x:c>
      <x:c r="W260" s="82" t="str">
        <x:v>https://hotwheels.fandom.com/wiki/%2789_Porsche_944_Turbo</x:v>
      </x:c>
      <x:c r="X260" s="82" t="str">
        <x:v>https://hotwheels.fandom.com/wiki/%2789_Porsche_944_Turbo</x:v>
      </x:c>
    </x:row>
    <x:row r="261">
      <x:c r="A261" s="80" t="str">
        <x:v>Não</x:v>
      </x:c>
      <x:c r="B261" s="80" t="str">
        <x:v>2 — Completar aos poucos</x:v>
      </x:c>
      <x:c r="C261" s="81" t="n">
        <x:v>2020</x:v>
      </x:c>
      <x:c r="D261" s="80" t="str">
        <x:v>'89 Porsche 944 Turbo</x:v>
      </x:c>
      <x:c r="E261" s="80" t="str">
        <x:v>'89 Porsche 944 Turbo</x:v>
      </x:c>
      <x:c r="F261" s="82" t="str">
        <x:v>Porsche / 1/5</x:v>
      </x:c>
      <x:c r="G261" s="80" t="str"/>
      <x:c r="H261" s="80" t="str">
        <x:v>047/250</x:v>
      </x:c>
      <x:c r="I261" s="83" t="str">
        <x:v>GHB54</x:v>
      </x:c>
      <x:c r="J261" s="80" t="str">
        <x:v>Red</x:v>
      </x:c>
      <x:c r="K261" s="82" t="str">
        <x:v>Porsche logo, headlights &amp; taillights</x:v>
      </x:c>
      <x:c r="L261" s="82" t="str">
        <x:v>PR5</x:v>
      </x:c>
      <x:c r="M261" s="82" t="str">
        <x:v>Black / / / Plastic</x:v>
      </x:c>
      <x:c r="N261" s="82" t="str">
        <x:v>Clear</x:v>
      </x:c>
      <x:c r="O261" s="82" t="str">
        <x:v>Black</x:v>
      </x:c>
      <x:c r="P261" s="82" t="str">
        <x:v>Malaysia</x:v>
      </x:c>
      <x:c r="Q261" s="82" t="str"/>
      <x:c r="R261" s="82" t="str">
        <x:v>Mainline</x:v>
      </x:c>
      <x:c r="S261" s="82" t="str">
        <x:v>Comum / atual</x:v>
      </x:c>
      <x:c r="T261" s="82" t="str">
        <x:v>Lançado</x:v>
      </x:c>
      <x:c r="U261" s="82" t="str">
        <x:v>New Model / Base code(s): M34, M36, M37, M38, M39</x:v>
      </x:c>
      <x:c r="V261" s="80" t="str">
        <x:v>Coleção principal (~1:64)</x:v>
      </x:c>
      <x:c r="W261" s="82" t="str">
        <x:v>https://hotwheels.fandom.com/wiki/%2789_Porsche_944_Turbo</x:v>
      </x:c>
      <x:c r="X261" s="82" t="str">
        <x:v>https://hotwheels.fandom.com/wiki/%2789_Porsche_944_Turbo</x:v>
      </x:c>
    </x:row>
    <x:row r="262">
      <x:c r="A262" s="80" t="str">
        <x:v>Não</x:v>
      </x:c>
      <x:c r="B262" s="80" t="str">
        <x:v>2 — Completar aos poucos</x:v>
      </x:c>
      <x:c r="C262" s="81" t="n">
        <x:v>2020</x:v>
      </x:c>
      <x:c r="D262" s="80" t="str">
        <x:v>'96 Porsche Carrera</x:v>
      </x:c>
      <x:c r="E262" s="80" t="str">
        <x:v>'96 Porsche Carrera</x:v>
      </x:c>
      <x:c r="F262" s="82" t="str">
        <x:v>Porsche / 2/5</x:v>
      </x:c>
      <x:c r="G262" s="80" t="str"/>
      <x:c r="H262" s="80" t="str">
        <x:v>072/250</x:v>
      </x:c>
      <x:c r="I262" s="83" t="str">
        <x:v>GHD19</x:v>
      </x:c>
      <x:c r="J262" s="80" t="str">
        <x:v>Black</x:v>
      </x:c>
      <x:c r="K262" s="82" t="str">
        <x:v>Detailed headlights &amp; taillights, detailed rear grille</x:v>
      </x:c>
      <x:c r="L262" s="82" t="str">
        <x:v>5SP</x:v>
      </x:c>
      <x:c r="M262" s="82" t="str"/>
      <x:c r="N262" s="82" t="str">
        <x:v>Clear</x:v>
      </x:c>
      <x:c r="O262" s="82" t="str">
        <x:v>Black</x:v>
      </x:c>
      <x:c r="P262" s="82" t="str">
        <x:v>Malaysia</x:v>
      </x:c>
      <x:c r="Q262" s="82" t="str"/>
      <x:c r="R262" s="82" t="str">
        <x:v>Mainline</x:v>
      </x:c>
      <x:c r="S262" s="82" t="str">
        <x:v>Comum / atual</x:v>
      </x:c>
      <x:c r="T262" s="82" t="str">
        <x:v>Lançado</x:v>
      </x:c>
      <x:c r="U262" s="82" t="str">
        <x:v>Base code(s): M36, M37, M38, M39, M40, M41</x:v>
      </x:c>
      <x:c r="V262" s="80" t="str">
        <x:v>Coleção principal (~1:64)</x:v>
      </x:c>
      <x:c r="W262" s="82" t="str">
        <x:v>https://hotwheels.fandom.com/wiki/%2796_Porsche_Carrera</x:v>
      </x:c>
      <x:c r="X262" s="82" t="str">
        <x:v>https://hotwheels.fandom.com/wiki/%2796_Porsche_Carrera</x:v>
      </x:c>
    </x:row>
    <x:row r="263">
      <x:c r="A263" s="80" t="str">
        <x:v>Não</x:v>
      </x:c>
      <x:c r="B263" s="80" t="str">
        <x:v>2 — Completar aos poucos</x:v>
      </x:c>
      <x:c r="C263" s="81" t="n">
        <x:v>2020</x:v>
      </x:c>
      <x:c r="D263" s="80" t="str">
        <x:v>'96 Porsche Carrera</x:v>
      </x:c>
      <x:c r="E263" s="80" t="str">
        <x:v>'96 Porsche Carrera</x:v>
      </x:c>
      <x:c r="F263" s="82" t="str">
        <x:v>Porsche / 2/5</x:v>
      </x:c>
      <x:c r="G263" s="80" t="str"/>
      <x:c r="H263" s="80" t="str">
        <x:v>072/250</x:v>
      </x:c>
      <x:c r="I263" s="83" t="str">
        <x:v>GHF18</x:v>
      </x:c>
      <x:c r="J263" s="80" t="str">
        <x:v>Metalflake Yellow</x:v>
      </x:c>
      <x:c r="K263" s="82" t="str">
        <x:v>Detailed headlights &amp; taillights, detailed rear grille</x:v>
      </x:c>
      <x:c r="L263" s="82" t="str">
        <x:v>Black LW</x:v>
      </x:c>
      <x:c r="M263" s="82" t="str"/>
      <x:c r="N263" s="82" t="str">
        <x:v>Clear</x:v>
      </x:c>
      <x:c r="O263" s="82" t="str">
        <x:v>Black</x:v>
      </x:c>
      <x:c r="P263" s="82" t="str">
        <x:v>Malaysia</x:v>
      </x:c>
      <x:c r="Q263" s="82" t="str"/>
      <x:c r="R263" s="82" t="str">
        <x:v>Mainline</x:v>
      </x:c>
      <x:c r="S263" s="82" t="str">
        <x:v>Comum / atual</x:v>
      </x:c>
      <x:c r="T263" s="82" t="str">
        <x:v>Lançado</x:v>
      </x:c>
      <x:c r="U263" s="82" t="str">
        <x:v>Base code(s): M46, M48, M50, M51, N01, N02, N03, N04, N08</x:v>
      </x:c>
      <x:c r="V263" s="80" t="str">
        <x:v>Coleção principal (~1:64)</x:v>
      </x:c>
      <x:c r="W263" s="82" t="str">
        <x:v>https://hotwheels.fandom.com/wiki/%2796_Porsche_Carrera</x:v>
      </x:c>
      <x:c r="X263" s="82" t="str">
        <x:v>https://hotwheels.fandom.com/wiki/%2796_Porsche_Carrera</x:v>
      </x:c>
    </x:row>
    <x:row r="264">
      <x:c r="A264" s="80" t="str">
        <x:v>Não</x:v>
      </x:c>
      <x:c r="B264" s="80" t="str">
        <x:v>2 — Completar aos poucos</x:v>
      </x:c>
      <x:c r="C264" s="81" t="n">
        <x:v>2020</x:v>
      </x:c>
      <x:c r="D264" s="80" t="str">
        <x:v>'96 Porsche Carrera</x:v>
      </x:c>
      <x:c r="E264" s="80" t="str">
        <x:v>'96 Porsche Carrera</x:v>
      </x:c>
      <x:c r="F264" s="82" t="str">
        <x:v>Porsche / 2/5</x:v>
      </x:c>
      <x:c r="G264" s="80" t="str"/>
      <x:c r="H264" s="80" t="str">
        <x:v>072/250</x:v>
      </x:c>
      <x:c r="I264" s="83" t="str">
        <x:v>GHG59</x:v>
      </x:c>
      <x:c r="J264" s="80" t="str">
        <x:v>Silver</x:v>
      </x:c>
      <x:c r="K264" s="82" t="str">
        <x:v>Detailed headlights &amp; taillights, detailed rear grille</x:v>
      </x:c>
      <x:c r="L264" s="82" t="str">
        <x:v>CBMC5</x:v>
      </x:c>
      <x:c r="M264" s="82" t="str"/>
      <x:c r="N264" s="82" t="str">
        <x:v>Blue tint</x:v>
      </x:c>
      <x:c r="O264" s="82" t="str">
        <x:v>Dark Grey</x:v>
      </x:c>
      <x:c r="P264" s="82" t="str">
        <x:v>Malaysia</x:v>
      </x:c>
      <x:c r="Q264" s="82" t="str">
        <x:v>Kroger</x:v>
      </x:c>
      <x:c r="R264" s="82" t="str">
        <x:v>Mainline</x:v>
      </x:c>
      <x:c r="S264" s="82" t="str">
        <x:v>Rara</x:v>
      </x:c>
      <x:c r="T264" s="82" t="str">
        <x:v>Lançado</x:v>
      </x:c>
      <x:c r="U264" s="82" t="str">
        <x:v>Kroger Exclusive / Base code(s): N05</x:v>
      </x:c>
      <x:c r="V264" s="80" t="str">
        <x:v>Coleção principal (~1:64)</x:v>
      </x:c>
      <x:c r="W264" s="82" t="str">
        <x:v>https://hotwheels.fandom.com/wiki/%2796_Porsche_Carrera</x:v>
      </x:c>
      <x:c r="X264" s="82" t="str">
        <x:v>https://hotwheels.fandom.com/wiki/%2796_Porsche_Carrera</x:v>
      </x:c>
    </x:row>
    <x:row r="265">
      <x:c r="A265" s="80" t="str">
        <x:v>Não</x:v>
      </x:c>
      <x:c r="B265" s="80" t="str">
        <x:v>2 — Completar aos poucos</x:v>
      </x:c>
      <x:c r="C265" s="81" t="n">
        <x:v>2020</x:v>
      </x:c>
      <x:c r="D265" s="80" t="str">
        <x:v>Porsche 356 Outlaw</x:v>
      </x:c>
      <x:c r="E265" s="80" t="str">
        <x:v>Porsche 356 Outlaw</x:v>
      </x:c>
      <x:c r="F265" s="82" t="str">
        <x:v>Hot Wheels Boulevard / #6</x:v>
      </x:c>
      <x:c r="G265" s="80" t="str"/>
      <x:c r="H265" s="80" t="str"/>
      <x:c r="I265" s="83" t="str">
        <x:v>GJT74</x:v>
      </x:c>
      <x:c r="J265" s="80" t="str">
        <x:v>Metallic Yellow</x:v>
      </x:c>
      <x:c r="K265" s="82" t="str">
        <x:v>"81", "Emory Motorsports" on front fender</x:v>
      </x:c>
      <x:c r="L265" s="82" t="str">
        <x:v>RR8SP</x:v>
      </x:c>
      <x:c r="M265" s="82" t="str">
        <x:v>ZAMAC</x:v>
      </x:c>
      <x:c r="N265" s="82" t="str">
        <x:v>Smoke tint</x:v>
      </x:c>
      <x:c r="O265" s="82" t="str">
        <x:v>Black</x:v>
      </x:c>
      <x:c r="P265" s="82" t="str">
        <x:v>Thailand</x:v>
      </x:c>
      <x:c r="Q265" s="82" t="str"/>
      <x:c r="R265" s="82" t="str">
        <x:v>Premium</x:v>
      </x:c>
      <x:c r="S265" s="82" t="str">
        <x:v>Incomum</x:v>
      </x:c>
      <x:c r="T265" s="82" t="str">
        <x:v>Lançado</x:v>
      </x:c>
      <x:c r="U265" s="82" t="str">
        <x:v>Base code(s): N03, N04, N06, N07</x:v>
      </x:c>
      <x:c r="V265" s="80" t="str">
        <x:v>Coleção principal (~1:64)</x:v>
      </x:c>
      <x:c r="W265" s="82" t="str">
        <x:v>https://hotwheels.fandom.com/wiki/Porsche_356_Outlaw</x:v>
      </x:c>
      <x:c r="X265" s="82" t="str">
        <x:v>https://hotwheels.fandom.com/wiki/Porsche_356_Outlaw</x:v>
      </x:c>
    </x:row>
    <x:row r="266">
      <x:c r="A266" s="80" t="str">
        <x:v>Não</x:v>
      </x:c>
      <x:c r="B266" s="80" t="str">
        <x:v>2 — Completar aos poucos</x:v>
      </x:c>
      <x:c r="C266" s="81" t="n">
        <x:v>2020</x:v>
      </x:c>
      <x:c r="D266" s="80" t="str">
        <x:v>Porsche 356 Outlaw</x:v>
      </x:c>
      <x:c r="E266" s="80" t="str">
        <x:v>Porsche 356 Outlaw</x:v>
      </x:c>
      <x:c r="F266" s="82" t="str">
        <x:v>Multipack Exclusive</x:v>
      </x:c>
      <x:c r="G266" s="80" t="str"/>
      <x:c r="H266" s="80" t="str"/>
      <x:c r="I266" s="83" t="str">
        <x:v>X6999</x:v>
      </x:c>
      <x:c r="J266" s="80" t="str">
        <x:v>Silver</x:v>
      </x:c>
      <x:c r="K266" s="82" t="str">
        <x:v>Dark blue stripes on hood, “50” on hood &amp; sides</x:v>
      </x:c>
      <x:c r="L266" s="82" t="str">
        <x:v>Chrome rim, Black DD8</x:v>
      </x:c>
      <x:c r="M266" s="82" t="str">
        <x:v>Gray / / / Plastic</x:v>
      </x:c>
      <x:c r="N266" s="82" t="str">
        <x:v>Smoke tint</x:v>
      </x:c>
      <x:c r="O266" s="82" t="str">
        <x:v>Black</x:v>
      </x:c>
      <x:c r="P266" s="82" t="str">
        <x:v>Malaysia</x:v>
      </x:c>
      <x:c r="Q266" s="82" t="str"/>
      <x:c r="R266" s="82" t="str">
        <x:v>Temática / multipack</x:v>
      </x:c>
      <x:c r="S266" s="82" t="str">
        <x:v>Comum / atual</x:v>
      </x:c>
      <x:c r="T266" s="82" t="str">
        <x:v>Lançado</x:v>
      </x:c>
      <x:c r="U266" s="82" t="str">
        <x:v>Base code(s): M46, M48, M49, N32</x:v>
      </x:c>
      <x:c r="V266" s="80" t="str">
        <x:v>Coleção principal (~1:64)</x:v>
      </x:c>
      <x:c r="W266" s="82" t="str">
        <x:v>https://hotwheels.fandom.com/wiki/Porsche_356_Outlaw</x:v>
      </x:c>
      <x:c r="X266" s="82" t="str">
        <x:v>https://hotwheels.fandom.com/wiki/Porsche_356_Outlaw</x:v>
      </x:c>
    </x:row>
    <x:row r="267">
      <x:c r="A267" s="80" t="str">
        <x:v>Não</x:v>
      </x:c>
      <x:c r="B267" s="80" t="str">
        <x:v>2 — Completar aos poucos</x:v>
      </x:c>
      <x:c r="C267" s="81" t="n">
        <x:v>2020</x:v>
      </x:c>
      <x:c r="D267" s="80" t="str">
        <x:v>Porsche 911 GT2</x:v>
      </x:c>
      <x:c r="E267" s="80" t="str">
        <x:v>Porsche 911 GT2</x:v>
      </x:c>
      <x:c r="F267" s="82" t="str">
        <x:v>Multipack Exclusive</x:v>
      </x:c>
      <x:c r="G267" s="80" t="str"/>
      <x:c r="H267" s="80" t="str"/>
      <x:c r="I267" s="83" t="str">
        <x:v>X6999</x:v>
      </x:c>
      <x:c r="J267" s="80" t="str">
        <x:v>Blue</x:v>
      </x:c>
      <x:c r="K267" s="82" t="str">
        <x:v>Black stripes on hood &amp; roof</x:v>
      </x:c>
      <x:c r="L267" s="82" t="str">
        <x:v>Chrome lip, black J5</x:v>
      </x:c>
      <x:c r="M267" s="82" t="str">
        <x:v>Black / / / Plastic</x:v>
      </x:c>
      <x:c r="N267" s="82" t="str">
        <x:v>Tinted (Black)</x:v>
      </x:c>
      <x:c r="O267" s="82" t="str">
        <x:v>Black</x:v>
      </x:c>
      <x:c r="P267" s="82" t="str">
        <x:v>Malaysia</x:v>
      </x:c>
      <x:c r="Q267" s="82" t="str"/>
      <x:c r="R267" s="82" t="str">
        <x:v>Temática / multipack</x:v>
      </x:c>
      <x:c r="S267" s="82" t="str">
        <x:v>Comum / atual</x:v>
      </x:c>
      <x:c r="T267" s="82" t="str">
        <x:v>Lançado</x:v>
      </x:c>
      <x:c r="U267" s="82" t="str">
        <x:v>Base code(s): M40, M48, M49, N33</x:v>
      </x:c>
      <x:c r="V267" s="80" t="str">
        <x:v>Coleção principal (~1:64)</x:v>
      </x:c>
      <x:c r="W267" s="82" t="str">
        <x:v>https://hotwheels.fandom.com/wiki/Porsche_911_GT2</x:v>
      </x:c>
      <x:c r="X267" s="82" t="str">
        <x:v>https://hotwheels.fandom.com/wiki/Porsche_911_GT2</x:v>
      </x:c>
    </x:row>
    <x:row r="268">
      <x:c r="A268" s="80" t="str">
        <x:v>Não</x:v>
      </x:c>
      <x:c r="B268" s="80" t="str">
        <x:v>2 — Completar aos poucos</x:v>
      </x:c>
      <x:c r="C268" s="81" t="n">
        <x:v>2020</x:v>
      </x:c>
      <x:c r="D268" s="80" t="str">
        <x:v>Porsche 911 GT3 Cup</x:v>
      </x:c>
      <x:c r="E268" s="80" t="str">
        <x:v>Porsche 911 GT3 Cup</x:v>
      </x:c>
      <x:c r="F268" s="82" t="str">
        <x:v>Fast &amp; Furious 5-Pack</x:v>
      </x:c>
      <x:c r="G268" s="80" t="str"/>
      <x:c r="H268" s="80" t="str"/>
      <x:c r="I268" s="83" t="str">
        <x:v>GHP55</x:v>
      </x:c>
      <x:c r="J268" s="80" t="str">
        <x:v>Bright Blue</x:v>
      </x:c>
      <x:c r="K268" s="82" t="str">
        <x:v>Black stripe and “GT3 RS“ on sides</x:v>
      </x:c>
      <x:c r="L268" s="82" t="str">
        <x:v>LW</x:v>
      </x:c>
      <x:c r="M268" s="82" t="str">
        <x:v>Black / Plastic</x:v>
      </x:c>
      <x:c r="N268" s="82" t="str">
        <x:v>Heavy smoke tint</x:v>
      </x:c>
      <x:c r="O268" s="82" t="str">
        <x:v>Black</x:v>
      </x:c>
      <x:c r="P268" s="82" t="str">
        <x:v>Indonesia</x:v>
      </x:c>
      <x:c r="Q268" s="82" t="str"/>
      <x:c r="R268" s="82" t="str">
        <x:v>Temática / multipack</x:v>
      </x:c>
      <x:c r="S268" s="82" t="str">
        <x:v>Comum / atual</x:v>
      </x:c>
      <x:c r="T268" s="82" t="str">
        <x:v>Lançado</x:v>
      </x:c>
      <x:c r="U268" s="82" t="str">
        <x:v>Named Porsche 911 GT3 RS Base code(s): M49, M52, N01, N04, N23, N24</x:v>
      </x:c>
      <x:c r="V268" s="80" t="str">
        <x:v>Coleção principal (~1:64)</x:v>
      </x:c>
      <x:c r="W268" s="82" t="str">
        <x:v>https://hotwheels.fandom.com/wiki/Porsche_911_GT3_Cup</x:v>
      </x:c>
      <x:c r="X268" s="82" t="str">
        <x:v>https://hotwheels.fandom.com/wiki/Porsche_911_GT3_Cup</x:v>
      </x:c>
    </x:row>
    <x:row r="269">
      <x:c r="A269" s="80" t="str">
        <x:v>Não</x:v>
      </x:c>
      <x:c r="B269" s="80" t="str">
        <x:v>2 — Completar aos poucos</x:v>
      </x:c>
      <x:c r="C269" s="81" t="n">
        <x:v>2020</x:v>
      </x:c>
      <x:c r="D269" s="80" t="str">
        <x:v>Porsche 911 GT3 RS (2011)</x:v>
      </x:c>
      <x:c r="E269" s="80" t="str">
        <x:v>Porsche 911 GT3 RS</x:v>
      </x:c>
      <x:c r="F269" s="82" t="str">
        <x:v>HW Exotics 5-Pack</x:v>
      </x:c>
      <x:c r="G269" s="80" t="str"/>
      <x:c r="H269" s="80" t="str"/>
      <x:c r="I269" s="83" t="str">
        <x:v>GHP50</x:v>
      </x:c>
      <x:c r="J269" s="80" t="str">
        <x:v>Blue</x:v>
      </x:c>
      <x:c r="K269" s="82" t="str">
        <x:v>White stripe, "GT3 RS" lettering, Detailed headlights</x:v>
      </x:c>
      <x:c r="L269" s="82" t="str">
        <x:v>White 10SP</x:v>
      </x:c>
      <x:c r="M269" s="82" t="str">
        <x:v>Black / / / Plastic</x:v>
      </x:c>
      <x:c r="N269" s="82" t="str">
        <x:v>Smoke tint</x:v>
      </x:c>
      <x:c r="O269" s="82" t="str">
        <x:v>Grey</x:v>
      </x:c>
      <x:c r="P269" s="82" t="str">
        <x:v>Indonesia</x:v>
      </x:c>
      <x:c r="Q269" s="82" t="str"/>
      <x:c r="R269" s="82" t="str">
        <x:v>Temática / multipack</x:v>
      </x:c>
      <x:c r="S269" s="82" t="str">
        <x:v>Comum / atual</x:v>
      </x:c>
      <x:c r="T269" s="82" t="str">
        <x:v>Lançado</x:v>
      </x:c>
      <x:c r="U269" s="82" t="str">
        <x:v>Base code(s): M35, M36, M37, M39, N09</x:v>
      </x:c>
      <x:c r="V269" s="80" t="str">
        <x:v>Coleção principal (~1:64)</x:v>
      </x:c>
      <x:c r="W269" s="82" t="str">
        <x:v>https://hotwheels.fandom.com/wiki/Porsche_911_GT3_RS_(2011)</x:v>
      </x:c>
      <x:c r="X269" s="82" t="str">
        <x:v>https://hotwheels.fandom.com/wiki/Porsche_911_GT3_RS_(2011)</x:v>
      </x:c>
    </x:row>
    <x:row r="270">
      <x:c r="A270" s="80" t="str">
        <x:v>Não</x:v>
      </x:c>
      <x:c r="B270" s="80" t="str">
        <x:v>2 — Completar aos poucos</x:v>
      </x:c>
      <x:c r="C270" s="81" t="n">
        <x:v>2020</x:v>
      </x:c>
      <x:c r="D270" s="80" t="str">
        <x:v>Porsche 911 GT3 RS (2016)</x:v>
      </x:c>
      <x:c r="E270" s="80" t="str">
        <x:v>Porsche 911 GT3 RS</x:v>
      </x:c>
      <x:c r="F270" s="82" t="str">
        <x:v>HW Exotics / 4/10</x:v>
      </x:c>
      <x:c r="G270" s="80" t="str"/>
      <x:c r="H270" s="80" t="str">
        <x:v>162/250</x:v>
      </x:c>
      <x:c r="I270" s="83" t="str">
        <x:v>GHC30</x:v>
      </x:c>
      <x:c r="J270" s="80" t="str">
        <x:v>Matte Black</x:v>
      </x:c>
      <x:c r="K270" s="82" t="str">
        <x:v>Gold tribal designs. 'tfox' logo.</x:v>
      </x:c>
      <x:c r="L270" s="82" t="str">
        <x:v>Gold Chrome Rim, Black J5</x:v>
      </x:c>
      <x:c r="M270" s="82" t="str">
        <x:v>Black / / / Plastic</x:v>
      </x:c>
      <x:c r="N270" s="82" t="str">
        <x:v>Smoke tint</x:v>
      </x:c>
      <x:c r="O270" s="82" t="str">
        <x:v>Black</x:v>
      </x:c>
      <x:c r="P270" s="82" t="str">
        <x:v>Malaysia</x:v>
      </x:c>
      <x:c r="Q270" s="82" t="str"/>
      <x:c r="R270" s="82" t="str">
        <x:v>Mainline</x:v>
      </x:c>
      <x:c r="S270" s="82" t="str">
        <x:v>Comum / atual</x:v>
      </x:c>
      <x:c r="T270" s="82" t="str">
        <x:v>Lançado</x:v>
      </x:c>
      <x:c r="U270" s="82" t="str">
        <x:v>Base code(s): N05, N06, N07, N08, N10</x:v>
      </x:c>
      <x:c r="V270" s="80" t="str">
        <x:v>Coleção principal (~1:64)</x:v>
      </x:c>
      <x:c r="W270" s="82" t="str">
        <x:v>https://hotwheels.fandom.com/wiki/Porsche_911_GT3_RS_(2016)</x:v>
      </x:c>
      <x:c r="X270" s="82" t="str">
        <x:v>https://hotwheels.fandom.com/wiki/Porsche_911_GT3_RS_(2016)</x:v>
      </x:c>
    </x:row>
    <x:row r="271">
      <x:c r="A271" s="80" t="str">
        <x:v>Não</x:v>
      </x:c>
      <x:c r="B271" s="80" t="str">
        <x:v>2 — Completar aos poucos</x:v>
      </x:c>
      <x:c r="C271" s="81" t="n">
        <x:v>2020</x:v>
      </x:c>
      <x:c r="D271" s="80" t="str">
        <x:v>Porsche 914 Safari</x:v>
      </x:c>
      <x:c r="E271" s="80" t="str">
        <x:v>Porsche 914 Safari</x:v>
      </x:c>
      <x:c r="F271" s="82" t="str">
        <x:v>Nightburnerz / 4/10</x:v>
      </x:c>
      <x:c r="G271" s="80" t="str"/>
      <x:c r="H271" s="80" t="str">
        <x:v>242/250</x:v>
      </x:c>
      <x:c r="I271" s="83" t="str">
        <x:v>GTD36</x:v>
      </x:c>
      <x:c r="J271" s="80" t="str">
        <x:v>Blue</x:v>
      </x:c>
      <x:c r="K271" s="82" t="str">
        <x:v>"5", "PORSCHE", Red stripe on sides, red &amp; White fuel tanks, Luftgekühlt &amp; 5 on White roundel on hood</x:v>
      </x:c>
      <x:c r="L271" s="82" t="str">
        <x:v>White BAJA5</x:v>
      </x:c>
      <x:c r="M271" s="82" t="str"/>
      <x:c r="N271" s="82" t="str">
        <x:v>Smoke tint</x:v>
      </x:c>
      <x:c r="O271" s="82" t="str">
        <x:v>Gray</x:v>
      </x:c>
      <x:c r="P271" s="82" t="str">
        <x:v>Malaysia</x:v>
      </x:c>
      <x:c r="Q271" s="82" t="str"/>
      <x:c r="R271" s="82" t="str">
        <x:v>Mainline</x:v>
      </x:c>
      <x:c r="S271" s="82" t="str">
        <x:v>Comum / atual</x:v>
      </x:c>
      <x:c r="T271" s="82" t="str">
        <x:v>Lançado</x:v>
      </x:c>
      <x:c r="U271" s="82" t="str">
        <x:v>New Model / GameStop exclusive / Base code(s): N29, N36</x:v>
      </x:c>
      <x:c r="V271" s="80" t="str">
        <x:v>Coleção principal (~1:64)</x:v>
      </x:c>
      <x:c r="W271" s="82" t="str">
        <x:v>https://hotwheels.fandom.com/wiki/Porsche_914_Safari</x:v>
      </x:c>
      <x:c r="X271" s="82" t="str">
        <x:v>https://hotwheels.fandom.com/wiki/Porsche_914_Safari</x:v>
      </x:c>
    </x:row>
    <x:row r="272">
      <x:c r="A272" s="80" t="str">
        <x:v>Não</x:v>
      </x:c>
      <x:c r="B272" s="80" t="str">
        <x:v>2 — Completar aos poucos</x:v>
      </x:c>
      <x:c r="C272" s="81" t="n">
        <x:v>2020</x:v>
      </x:c>
      <x:c r="D272" s="80" t="str">
        <x:v>Porsche 914 Safari</x:v>
      </x:c>
      <x:c r="E272" s="80" t="str">
        <x:v>Porsche 914 Safari</x:v>
      </x:c>
      <x:c r="F272" s="82" t="str">
        <x:v>Nightburnerz / 4/10</x:v>
      </x:c>
      <x:c r="G272" s="80" t="str"/>
      <x:c r="H272" s="80" t="str">
        <x:v>242/250</x:v>
      </x:c>
      <x:c r="I272" s="83" t="str">
        <x:v>GHB50</x:v>
      </x:c>
      <x:c r="J272" s="80" t="str">
        <x:v>Yellow</x:v>
      </x:c>
      <x:c r="K272" s="82" t="str">
        <x:v>"5", "PORSCHE" Red stripe on sides, Red &amp; White fuel tanks, Luftgekühlt &amp; 5 on White roundel on hood</x:v>
      </x:c>
      <x:c r="L272" s="82" t="str">
        <x:v>BAJA5</x:v>
      </x:c>
      <x:c r="M272" s="82" t="str"/>
      <x:c r="N272" s="82" t="str">
        <x:v>Smoke tint</x:v>
      </x:c>
      <x:c r="O272" s="82" t="str">
        <x:v>Gray</x:v>
      </x:c>
      <x:c r="P272" s="82" t="str">
        <x:v>Malaysia</x:v>
      </x:c>
      <x:c r="Q272" s="82" t="str"/>
      <x:c r="R272" s="82" t="str">
        <x:v>Mainline</x:v>
      </x:c>
      <x:c r="S272" s="82" t="str">
        <x:v>Comum / atual</x:v>
      </x:c>
      <x:c r="T272" s="82" t="str">
        <x:v>Lançado</x:v>
      </x:c>
      <x:c r="U272" s="82" t="str">
        <x:v>New Model / Base code(s): N27, N28, N29, N30, N31, N32, N33</x:v>
      </x:c>
      <x:c r="V272" s="80" t="str">
        <x:v>Coleção principal (~1:64)</x:v>
      </x:c>
      <x:c r="W272" s="82" t="str">
        <x:v>https://hotwheels.fandom.com/wiki/Porsche_914_Safari</x:v>
      </x:c>
      <x:c r="X272" s="82" t="str">
        <x:v>https://hotwheels.fandom.com/wiki/Porsche_914_Safari</x:v>
      </x:c>
    </x:row>
    <x:row r="273">
      <x:c r="A273" s="80" t="str">
        <x:v>Não</x:v>
      </x:c>
      <x:c r="B273" s="80" t="str">
        <x:v>2 — Completar aos poucos</x:v>
      </x:c>
      <x:c r="C273" s="81" t="n">
        <x:v>2020</x:v>
      </x:c>
      <x:c r="D273" s="80" t="str">
        <x:v>Porsche 917 LH</x:v>
      </x:c>
      <x:c r="E273" s="80" t="str">
        <x:v>Porsche 917 LH</x:v>
      </x:c>
      <x:c r="F273" s="82" t="str">
        <x:v>Porsche / 4/5</x:v>
      </x:c>
      <x:c r="G273" s="80" t="str"/>
      <x:c r="H273" s="80" t="str">
        <x:v>045/250</x:v>
      </x:c>
      <x:c r="I273" s="83" t="str">
        <x:v>GHD21</x:v>
      </x:c>
      <x:c r="J273" s="80" t="str">
        <x:v>Blue</x:v>
      </x:c>
      <x:c r="K273" s="82" t="str">
        <x:v>Green 'tribal' striping on top and sides. Black '3' in white circle on sides &amp; hood.</x:v>
      </x:c>
      <x:c r="L273" s="82" t="str">
        <x:v>Black 5SP</x:v>
      </x:c>
      <x:c r="M273" s="82" t="str">
        <x:v>Blue / / / Plastic</x:v>
      </x:c>
      <x:c r="N273" s="82" t="str">
        <x:v>Clear</x:v>
      </x:c>
      <x:c r="O273" s="82" t="str">
        <x:v>Black</x:v>
      </x:c>
      <x:c r="P273" s="82" t="str">
        <x:v>Malaysia</x:v>
      </x:c>
      <x:c r="Q273" s="82" t="str"/>
      <x:c r="R273" s="82" t="str">
        <x:v>Mainline</x:v>
      </x:c>
      <x:c r="S273" s="82" t="str">
        <x:v>Comum / atual</x:v>
      </x:c>
      <x:c r="T273" s="82" t="str">
        <x:v>Lançado</x:v>
      </x:c>
      <x:c r="U273" s="82" t="str">
        <x:v>Base code(s): M33, M36, M37</x:v>
      </x:c>
      <x:c r="V273" s="80" t="str">
        <x:v>Coleção principal (~1:64)</x:v>
      </x:c>
      <x:c r="W273" s="82" t="str">
        <x:v>https://hotwheels.fandom.com/wiki/Porsche_917_LH</x:v>
      </x:c>
      <x:c r="X273" s="82" t="str">
        <x:v>https://hotwheels.fandom.com/wiki/Porsche_917_LH</x:v>
      </x:c>
    </x:row>
    <x:row r="274">
      <x:c r="A274" s="80" t="str">
        <x:v>Não</x:v>
      </x:c>
      <x:c r="B274" s="80" t="str">
        <x:v>2 — Completar aos poucos</x:v>
      </x:c>
      <x:c r="C274" s="81" t="n">
        <x:v>2020</x:v>
      </x:c>
      <x:c r="D274" s="80" t="str">
        <x:v>Porsche 917 LH</x:v>
      </x:c>
      <x:c r="E274" s="80" t="str">
        <x:v>Porsche 917 LH</x:v>
      </x:c>
      <x:c r="F274" s="82" t="str">
        <x:v>Porsche / 4/5</x:v>
      </x:c>
      <x:c r="G274" s="80" t="str"/>
      <x:c r="H274" s="80" t="str">
        <x:v>045/250</x:v>
      </x:c>
      <x:c r="I274" s="83" t="str">
        <x:v>GHG39</x:v>
      </x:c>
      <x:c r="J274" s="80" t="str">
        <x:v>ZAMAC</x:v>
      </x:c>
      <x:c r="K274" s="82" t="str">
        <x:v>Blue 'tribal' striping on top and sides. Black '3' in white circle on sides &amp; hood.</x:v>
      </x:c>
      <x:c r="L274" s="82" t="str">
        <x:v>Black 5SP</x:v>
      </x:c>
      <x:c r="M274" s="82" t="str">
        <x:v>Chrome / / / Plastic</x:v>
      </x:c>
      <x:c r="N274" s="82" t="str">
        <x:v>Blue tint</x:v>
      </x:c>
      <x:c r="O274" s="82" t="str">
        <x:v>Black</x:v>
      </x:c>
      <x:c r="P274" s="82" t="str">
        <x:v>Malaysia</x:v>
      </x:c>
      <x:c r="Q274" s="82" t="str">
        <x:v>ZAMAC, Walmart</x:v>
      </x:c>
      <x:c r="R274" s="82" t="str">
        <x:v>Mainline</x:v>
      </x:c>
      <x:c r="S274" s="82" t="str">
        <x:v>Rara</x:v>
      </x:c>
      <x:c r="T274" s="82" t="str">
        <x:v>Lançado</x:v>
      </x:c>
      <x:c r="U274" s="82" t="str">
        <x:v>Walmart Exclusive / Base code(s): M47</x:v>
      </x:c>
      <x:c r="V274" s="80" t="str">
        <x:v>Coleção principal (~1:64)</x:v>
      </x:c>
      <x:c r="W274" s="82" t="str">
        <x:v>https://hotwheels.fandom.com/wiki/Porsche_917_LH</x:v>
      </x:c>
      <x:c r="X274" s="82" t="str">
        <x:v>https://hotwheels.fandom.com/wiki/Porsche_917_LH</x:v>
      </x:c>
    </x:row>
    <x:row r="275">
      <x:c r="A275" s="80" t="str">
        <x:v>Não</x:v>
      </x:c>
      <x:c r="B275" s="80" t="str">
        <x:v>2 — Completar aos poucos</x:v>
      </x:c>
      <x:c r="C275" s="81" t="n">
        <x:v>2020</x:v>
      </x:c>
      <x:c r="D275" s="80" t="str">
        <x:v>Porsche 917KH</x:v>
      </x:c>
      <x:c r="E275" s="80" t="str">
        <x:v>Porsche 917KH</x:v>
      </x:c>
      <x:c r="F275" s="82" t="str">
        <x:v>Iconic Racers Collector Set</x:v>
      </x:c>
      <x:c r="G275" s="80" t="str"/>
      <x:c r="H275" s="80" t="str"/>
      <x:c r="I275" s="83" t="str">
        <x:v>GMH43</x:v>
      </x:c>
      <x:c r="J275" s="80" t="str">
        <x:v>Light Blue</x:v>
      </x:c>
      <x:c r="K275" s="82" t="str">
        <x:v>Orange stripe on front, side, and roof, white roundels with black "20", Gulf logos, on hood, doors, and rear panel, "Gulf-Porsche" on rear and near engine, tail lights</x:v>
      </x:c>
      <x:c r="L275" s="82" t="str">
        <x:v>Black RR5SPM</x:v>
      </x:c>
      <x:c r="M275" s="82" t="str">
        <x:v>Black / Metal</x:v>
      </x:c>
      <x:c r="N275" s="82" t="str">
        <x:v>Clear</x:v>
      </x:c>
      <x:c r="O275" s="82" t="str">
        <x:v>Chrome</x:v>
      </x:c>
      <x:c r="P275" s="82" t="str">
        <x:v>Thailand</x:v>
      </x:c>
      <x:c r="Q275" s="82" t="str"/>
      <x:c r="R275" s="82" t="str">
        <x:v>Temática / multipack</x:v>
      </x:c>
      <x:c r="S275" s="82" t="str">
        <x:v>Comum / atual</x:v>
      </x:c>
      <x:c r="T275" s="82" t="str">
        <x:v>Lançado</x:v>
      </x:c>
      <x:c r="U275" s="82" t="str">
        <x:v>Updated tooling Base code(s): N34, N35, N36, N38</x:v>
      </x:c>
      <x:c r="V275" s="80" t="str">
        <x:v>Coleção principal (~1:64)</x:v>
      </x:c>
      <x:c r="W275" s="82" t="str">
        <x:v>https://hotwheels.fandom.com/wiki/Porsche_917KH</x:v>
      </x:c>
      <x:c r="X275" s="82" t="str">
        <x:v>https://hotwheels.fandom.com/wiki/Porsche_917KH</x:v>
      </x:c>
    </x:row>
    <x:row r="276">
      <x:c r="A276" s="80" t="str">
        <x:v>Não</x:v>
      </x:c>
      <x:c r="B276" s="80" t="str">
        <x:v>2 — Completar aos poucos</x:v>
      </x:c>
      <x:c r="C276" s="81" t="n">
        <x:v>2020</x:v>
      </x:c>
      <x:c r="D276" s="80" t="str">
        <x:v>Porsche 918 Spyder</x:v>
      </x:c>
      <x:c r="E276" s="80" t="str">
        <x:v>Porsche 918 Spyder</x:v>
      </x:c>
      <x:c r="F276" s="82" t="str">
        <x:v>Hot Wheels id: Supercars / 04/04</x:v>
      </x:c>
      <x:c r="G276" s="80" t="str"/>
      <x:c r="H276" s="80" t="str"/>
      <x:c r="I276" s="83" t="str">
        <x:v>HBG09</x:v>
      </x:c>
      <x:c r="J276" s="80" t="str">
        <x:v>Spectraflame Blue</x:v>
      </x:c>
      <x:c r="K276" s="82" t="str">
        <x:v>Detailed headlights &amp; taillights, engine pipes on back top</x:v>
      </x:c>
      <x:c r="L276" s="82" t="str">
        <x:v>Chrome Rim, Black ID</x:v>
      </x:c>
      <x:c r="M276" s="82" t="str">
        <x:v>Transparent Black / / / Plastic</x:v>
      </x:c>
      <x:c r="N276" s="82" t="str">
        <x:v>Tinted (Black)</x:v>
      </x:c>
      <x:c r="O276" s="82" t="str">
        <x:v>Black</x:v>
      </x:c>
      <x:c r="P276" s="82" t="str">
        <x:v>Malaysia</x:v>
      </x:c>
      <x:c r="Q276" s="82" t="str"/>
      <x:c r="R276" s="82" t="str">
        <x:v>Outra linha</x:v>
      </x:c>
      <x:c r="S276" s="82" t="str">
        <x:v>Comum / atual</x:v>
      </x:c>
      <x:c r="T276" s="82" t="str">
        <x:v>Lançado</x:v>
      </x:c>
      <x:c r="U276" s="82" t="str"/>
      <x:c r="V276" s="80" t="str">
        <x:v>Coleção principal (~1:64)</x:v>
      </x:c>
      <x:c r="W276" s="82" t="str">
        <x:v>https://hotwheels.fandom.com/wiki/Porsche_918_Spyder</x:v>
      </x:c>
      <x:c r="X276" s="82" t="str">
        <x:v>https://hotwheels.fandom.com/wiki/Porsche_918_Spyder</x:v>
      </x:c>
    </x:row>
    <x:row r="277">
      <x:c r="A277" s="80" t="str">
        <x:v>Não</x:v>
      </x:c>
      <x:c r="B277" s="80" t="str">
        <x:v>2 — Completar aos poucos</x:v>
      </x:c>
      <x:c r="C277" s="81" t="n">
        <x:v>2020</x:v>
      </x:c>
      <x:c r="D277" s="80" t="str">
        <x:v>Porsche 918 Spyder</x:v>
      </x:c>
      <x:c r="E277" s="80" t="str">
        <x:v>Porsche 918 Spyder</x:v>
      </x:c>
      <x:c r="F277" s="82" t="str">
        <x:v>Porsche / 5/5</x:v>
      </x:c>
      <x:c r="G277" s="80" t="str"/>
      <x:c r="H277" s="80" t="str">
        <x:v>094/250</x:v>
      </x:c>
      <x:c r="I277" s="83" t="str">
        <x:v>GHD22</x:v>
      </x:c>
      <x:c r="J277" s="80" t="str">
        <x:v>Blue</x:v>
      </x:c>
      <x:c r="K277" s="82" t="str">
        <x:v>Detailed headlights, Porsche emblem &amp; White stripes on hood</x:v>
      </x:c>
      <x:c r="L277" s="82" t="str">
        <x:v>White LW</x:v>
      </x:c>
      <x:c r="M277" s="82" t="str">
        <x:v>Black / / / Plastic</x:v>
      </x:c>
      <x:c r="N277" s="82" t="str">
        <x:v>Tinted (Black)</x:v>
      </x:c>
      <x:c r="O277" s="82" t="str">
        <x:v>Black</x:v>
      </x:c>
      <x:c r="P277" s="82" t="str">
        <x:v>Malaysia</x:v>
      </x:c>
      <x:c r="Q277" s="82" t="str"/>
      <x:c r="R277" s="82" t="str">
        <x:v>Mainline</x:v>
      </x:c>
      <x:c r="S277" s="82" t="str">
        <x:v>Comum / atual</x:v>
      </x:c>
      <x:c r="T277" s="82" t="str">
        <x:v>Lançado</x:v>
      </x:c>
      <x:c r="U277" s="82" t="str"/>
      <x:c r="V277" s="80" t="str">
        <x:v>Coleção principal (~1:64)</x:v>
      </x:c>
      <x:c r="W277" s="82" t="str">
        <x:v>https://hotwheels.fandom.com/wiki/Porsche_918_Spyder</x:v>
      </x:c>
      <x:c r="X277" s="82" t="str">
        <x:v>https://hotwheels.fandom.com/wiki/Porsche_918_Spyder</x:v>
      </x:c>
    </x:row>
    <x:row r="278">
      <x:c r="A278" s="80" t="str">
        <x:v>Não</x:v>
      </x:c>
      <x:c r="B278" s="80" t="str">
        <x:v>2 — Completar aos poucos</x:v>
      </x:c>
      <x:c r="C278" s="81" t="n">
        <x:v>2020</x:v>
      </x:c>
      <x:c r="D278" s="80" t="str">
        <x:v>Porsche 918 Spyder</x:v>
      </x:c>
      <x:c r="E278" s="80" t="str">
        <x:v>Porsche 918 Spyder</x:v>
      </x:c>
      <x:c r="F278" s="82" t="str">
        <x:v>Porsche / 5/5</x:v>
      </x:c>
      <x:c r="G278" s="80" t="str"/>
      <x:c r="H278" s="80" t="str">
        <x:v>094/250</x:v>
      </x:c>
      <x:c r="I278" s="83" t="str">
        <x:v>GHG26</x:v>
      </x:c>
      <x:c r="J278" s="80" t="str">
        <x:v>Spectraflame Blue</x:v>
      </x:c>
      <x:c r="K278" s="82" t="str">
        <x:v>Detailed headlights, Porsche emblem &amp; White stripes on hood, White stripes on sides</x:v>
      </x:c>
      <x:c r="L278" s="82" t="str">
        <x:v>White MCRR</x:v>
      </x:c>
      <x:c r="M278" s="82" t="str">
        <x:v>Black / / / Plastic</x:v>
      </x:c>
      <x:c r="N278" s="82" t="str">
        <x:v>Tinted (Black)</x:v>
      </x:c>
      <x:c r="O278" s="82" t="str">
        <x:v>Grey</x:v>
      </x:c>
      <x:c r="P278" s="82" t="str">
        <x:v>Malaysia</x:v>
      </x:c>
      <x:c r="Q278" s="82" t="str"/>
      <x:c r="R278" s="82" t="str">
        <x:v>Mainline</x:v>
      </x:c>
      <x:c r="S278" s="82" t="str">
        <x:v>Comum / atual</x:v>
      </x:c>
      <x:c r="T278" s="82" t="str">
        <x:v>Lançado</x:v>
      </x:c>
      <x:c r="U278" s="82" t="str"/>
      <x:c r="V278" s="80" t="str">
        <x:v>Coleção principal (~1:64)</x:v>
      </x:c>
      <x:c r="W278" s="82" t="str">
        <x:v>https://hotwheels.fandom.com/wiki/Porsche_918_Spyder</x:v>
      </x:c>
      <x:c r="X278" s="82" t="str">
        <x:v>https://hotwheels.fandom.com/wiki/Porsche_918_Spyder</x:v>
      </x:c>
    </x:row>
    <x:row r="279">
      <x:c r="A279" s="80" t="str">
        <x:v>Não</x:v>
      </x:c>
      <x:c r="B279" s="80" t="str">
        <x:v>2 — Completar aos poucos</x:v>
      </x:c>
      <x:c r="C279" s="81" t="n">
        <x:v>2020</x:v>
      </x:c>
      <x:c r="D279" s="80" t="str">
        <x:v>Porsche 934 Turbo RSR</x:v>
      </x:c>
      <x:c r="E279" s="80" t="str">
        <x:v>Porsche 934 Turbo RSR</x:v>
      </x:c>
      <x:c r="F279" s="82" t="str">
        <x:v>Forza Motorsport / 5/5</x:v>
      </x:c>
      <x:c r="G279" s="80" t="str"/>
      <x:c r="H279" s="80" t="str"/>
      <x:c r="I279" s="83" t="str">
        <x:v>GJV71</x:v>
      </x:c>
      <x:c r="J279" s="80" t="str">
        <x:v>White</x:v>
      </x:c>
      <x:c r="K279" s="82" t="str">
        <x:v>Black &amp; Green stripes, XBOX &amp; Forza Motorsport logos</x:v>
      </x:c>
      <x:c r="L279" s="82" t="str">
        <x:v>Dark Grey 5SP</x:v>
      </x:c>
      <x:c r="M279" s="82" t="str">
        <x:v>Black / / / Plastic</x:v>
      </x:c>
      <x:c r="N279" s="82" t="str">
        <x:v>Smoke tint</x:v>
      </x:c>
      <x:c r="O279" s="82" t="str">
        <x:v>Black</x:v>
      </x:c>
      <x:c r="P279" s="82" t="str">
        <x:v>Malaysia</x:v>
      </x:c>
      <x:c r="Q279" s="82" t="str"/>
      <x:c r="R279" s="82" t="str">
        <x:v>Outra linha</x:v>
      </x:c>
      <x:c r="S279" s="82" t="str">
        <x:v>Comum / atual</x:v>
      </x:c>
      <x:c r="T279" s="82" t="str">
        <x:v>Lançado</x:v>
      </x:c>
      <x:c r="U279" s="82" t="str">
        <x:v>Base code(s): N27, N31</x:v>
      </x:c>
      <x:c r="V279" s="80" t="str">
        <x:v>Coleção principal (~1:64)</x:v>
      </x:c>
      <x:c r="W279" s="82" t="str">
        <x:v>https://hotwheels.fandom.com/wiki/Porsche_934_Turbo_RSR</x:v>
      </x:c>
      <x:c r="X279" s="82" t="str">
        <x:v>https://hotwheels.fandom.com/wiki/Porsche_934_Turbo_RSR</x:v>
      </x:c>
    </x:row>
    <x:row r="280">
      <x:c r="A280" s="80" t="str">
        <x:v>Não</x:v>
      </x:c>
      <x:c r="B280" s="80" t="str">
        <x:v>2 — Completar aos poucos</x:v>
      </x:c>
      <x:c r="C280" s="81" t="n">
        <x:v>2020</x:v>
      </x:c>
      <x:c r="D280" s="80" t="str">
        <x:v>Porsche 934.5</x:v>
      </x:c>
      <x:c r="E280" s="80" t="str">
        <x:v>Porsche 934.5</x:v>
      </x:c>
      <x:c r="F280" s="82" t="str">
        <x:v>Car Culture: Thrill Climbers / 2/5</x:v>
      </x:c>
      <x:c r="G280" s="80" t="str"/>
      <x:c r="H280" s="80" t="str"/>
      <x:c r="I280" s="83" t="str">
        <x:v>GJP95</x:v>
      </x:c>
      <x:c r="J280" s="80" t="str">
        <x:v>White</x:v>
      </x:c>
      <x:c r="K280" s="82" t="str">
        <x:v>"Lüftgekuhlt" on sides, 77 on sides</x:v>
      </x:c>
      <x:c r="L280" s="82" t="str">
        <x:v>White RRA</x:v>
      </x:c>
      <x:c r="M280" s="82" t="str">
        <x:v>White / / / Metal</x:v>
      </x:c>
      <x:c r="N280" s="82" t="str">
        <x:v>Smoke tint</x:v>
      </x:c>
      <x:c r="O280" s="82" t="str">
        <x:v>Black</x:v>
      </x:c>
      <x:c r="P280" s="82" t="str">
        <x:v>Thailand</x:v>
      </x:c>
      <x:c r="Q280" s="82" t="str"/>
      <x:c r="R280" s="82" t="str">
        <x:v>Premium</x:v>
      </x:c>
      <x:c r="S280" s="82" t="str">
        <x:v>Incomum</x:v>
      </x:c>
      <x:c r="T280" s="82" t="str">
        <x:v>Lançado</x:v>
      </x:c>
      <x:c r="U280" s="82" t="str">
        <x:v>Base code(s): N22, N23, N24, N25</x:v>
      </x:c>
      <x:c r="V280" s="80" t="str">
        <x:v>Coleção principal (~1:64)</x:v>
      </x:c>
      <x:c r="W280" s="82" t="str">
        <x:v>https://hotwheels.fandom.com/wiki/Porsche_934.5</x:v>
      </x:c>
      <x:c r="X280" s="82" t="str">
        <x:v>https://hotwheels.fandom.com/wiki/Porsche_934.5</x:v>
      </x:c>
    </x:row>
    <x:row r="281">
      <x:c r="A281" s="80" t="str">
        <x:v>Não</x:v>
      </x:c>
      <x:c r="B281" s="80" t="str">
        <x:v>2 — Completar aos poucos</x:v>
      </x:c>
      <x:c r="C281" s="81" t="n">
        <x:v>2020</x:v>
      </x:c>
      <x:c r="D281" s="80" t="str">
        <x:v>Porsche 959 (1986)</x:v>
      </x:c>
      <x:c r="E281" s="80" t="str">
        <x:v>Porsche 959 (1986)</x:v>
      </x:c>
      <x:c r="F281" s="82" t="str">
        <x:v>Car Culture: Wild Terrain / 5/5</x:v>
      </x:c>
      <x:c r="G281" s="80" t="str"/>
      <x:c r="H281" s="80" t="str"/>
      <x:c r="I281" s="83" t="str">
        <x:v>GJP87</x:v>
      </x:c>
      <x:c r="J281" s="80" t="str">
        <x:v>Blue &amp; White</x:v>
      </x:c>
      <x:c r="K281" s="82" t="str">
        <x:v>Red &amp; Yellow Rothmans-inspired stripes, Bilstein, Porsche, 186</x:v>
      </x:c>
      <x:c r="L281" s="82" t="str">
        <x:v>White RR8SP</x:v>
      </x:c>
      <x:c r="M281" s="82" t="str">
        <x:v>Black / / / Metal</x:v>
      </x:c>
      <x:c r="N281" s="82" t="str">
        <x:v>Tinted (Black)</x:v>
      </x:c>
      <x:c r="O281" s="82" t="str">
        <x:v>Black</x:v>
      </x:c>
      <x:c r="P281" s="82" t="str">
        <x:v>Thailand</x:v>
      </x:c>
      <x:c r="Q281" s="82" t="str"/>
      <x:c r="R281" s="82" t="str">
        <x:v>Premium</x:v>
      </x:c>
      <x:c r="S281" s="82" t="str">
        <x:v>Incomum</x:v>
      </x:c>
      <x:c r="T281" s="82" t="str">
        <x:v>Lançado</x:v>
      </x:c>
      <x:c r="U281" s="82" t="str"/>
      <x:c r="V281" s="80" t="str">
        <x:v>Coleção principal (~1:64)</x:v>
      </x:c>
      <x:c r="W281" s="82" t="str">
        <x:v>https://hotwheels.fandom.com/wiki/Porsche_959_(1986)</x:v>
      </x:c>
      <x:c r="X281" s="82" t="str">
        <x:v>https://hotwheels.fandom.com/wiki/Porsche_959_(1986)</x:v>
      </x:c>
    </x:row>
    <x:row r="282">
      <x:c r="A282" s="80" t="str">
        <x:v>Não</x:v>
      </x:c>
      <x:c r="B282" s="80" t="str">
        <x:v>2 — Completar aos poucos</x:v>
      </x:c>
      <x:c r="C282" s="81" t="n">
        <x:v>2020</x:v>
      </x:c>
      <x:c r="D282" s="80" t="str">
        <x:v>Porsche 962</x:v>
      </x:c>
      <x:c r="E282" s="80" t="str">
        <x:v>Porsche 962</x:v>
      </x:c>
      <x:c r="F282" s="82" t="str">
        <x:v>Replica Entertainment: Gran Turismo</x:v>
      </x:c>
      <x:c r="G282" s="80" t="str"/>
      <x:c r="H282" s="80" t="str"/>
      <x:c r="I282" s="83" t="str">
        <x:v>GJR40</x:v>
      </x:c>
      <x:c r="J282" s="80" t="str">
        <x:v>White</x:v>
      </x:c>
      <x:c r="K282" s="82" t="str">
        <x:v>Rothmans-inspired livery, dark Blue sides with Red, Yellow &amp; Black stripes; "Racing Porsche," "1" &amp; sponsor logos, detailed lights</x:v>
      </x:c>
      <x:c r="L282" s="82" t="str">
        <x:v>White RRA</x:v>
      </x:c>
      <x:c r="M282" s="82" t="str">
        <x:v>Satin Black / / / Metal</x:v>
      </x:c>
      <x:c r="N282" s="82" t="str">
        <x:v>Smoke tint</x:v>
      </x:c>
      <x:c r="O282" s="82" t="str">
        <x:v>Dark Gray</x:v>
      </x:c>
      <x:c r="P282" s="82" t="str">
        <x:v>Thailand</x:v>
      </x:c>
      <x:c r="Q282" s="82" t="str"/>
      <x:c r="R282" s="82" t="str">
        <x:v>Premium</x:v>
      </x:c>
      <x:c r="S282" s="82" t="str">
        <x:v>Incomum</x:v>
      </x:c>
      <x:c r="T282" s="82" t="str">
        <x:v>Lançado</x:v>
      </x:c>
      <x:c r="U282" s="82" t="str">
        <x:v>Base Code(s): N34, N35</x:v>
      </x:c>
      <x:c r="V282" s="80" t="str">
        <x:v>Coleção principal (~1:64)</x:v>
      </x:c>
      <x:c r="W282" s="82" t="str">
        <x:v>https://hotwheels.fandom.com/wiki/Porsche_962</x:v>
      </x:c>
      <x:c r="X282" s="82" t="str">
        <x:v>https://hotwheels.fandom.com/wiki/Porsche_962</x:v>
      </x:c>
    </x:row>
    <x:row r="283">
      <x:c r="A283" s="80" t="str">
        <x:v>Não</x:v>
      </x:c>
      <x:c r="B283" s="80" t="str">
        <x:v>2 — Completar aos poucos</x:v>
      </x:c>
      <x:c r="C283" s="81" t="n">
        <x:v>2020</x:v>
      </x:c>
      <x:c r="D283" s="80" t="str">
        <x:v>Porsche Panamera Turbo S E-Hybrid Sport Turismo</x:v>
      </x:c>
      <x:c r="E283" s="80" t="str">
        <x:v>Porsche Panamera Turbo S E-Hybrid Sport Turismo</x:v>
      </x:c>
      <x:c r="F283" s="82" t="str">
        <x:v>Porsche / 3/5</x:v>
      </x:c>
      <x:c r="G283" s="80" t="str"/>
      <x:c r="H283" s="80" t="str">
        <x:v>044/250</x:v>
      </x:c>
      <x:c r="I283" s="83" t="str">
        <x:v>GHF19</x:v>
      </x:c>
      <x:c r="J283" s="80" t="str">
        <x:v>Metalflake Blue</x:v>
      </x:c>
      <x:c r="K283" s="82" t="str">
        <x:v>Detailed taillights, Porsche emblem on hood</x:v>
      </x:c>
      <x:c r="L283" s="82" t="str">
        <x:v>Chrome Blue PR5</x:v>
      </x:c>
      <x:c r="M283" s="82" t="str">
        <x:v>Black / / / Plastic</x:v>
      </x:c>
      <x:c r="N283" s="82" t="str">
        <x:v>Smoke tint</x:v>
      </x:c>
      <x:c r="O283" s="82" t="str">
        <x:v>Black</x:v>
      </x:c>
      <x:c r="P283" s="82" t="str">
        <x:v>Malaysia</x:v>
      </x:c>
      <x:c r="Q283" s="82" t="str"/>
      <x:c r="R283" s="82" t="str">
        <x:v>Mainline</x:v>
      </x:c>
      <x:c r="S283" s="82" t="str">
        <x:v>Comum / atual</x:v>
      </x:c>
      <x:c r="T283" s="82" t="str">
        <x:v>Lançado</x:v>
      </x:c>
      <x:c r="U283" s="82" t="str">
        <x:v>Base code(s): M51, N02, N03, N04, N07</x:v>
      </x:c>
      <x:c r="V283" s="80" t="str">
        <x:v>Coleção principal (~1:64)</x:v>
      </x:c>
      <x:c r="W283" s="82" t="str">
        <x:v>https://hotwheels.fandom.com/wiki/Porsche_Panamera_Turbo_S_E-Hybrid_Sport_Turismo</x:v>
      </x:c>
      <x:c r="X283" s="82" t="str">
        <x:v>https://hotwheels.fandom.com/wiki/Porsche_Panamera_Turbo_S_E-Hybrid_Sport_Turismo</x:v>
      </x:c>
    </x:row>
    <x:row r="284">
      <x:c r="A284" s="80" t="str">
        <x:v>Não</x:v>
      </x:c>
      <x:c r="B284" s="80" t="str">
        <x:v>2 — Completar aos poucos</x:v>
      </x:c>
      <x:c r="C284" s="81" t="n">
        <x:v>2020</x:v>
      </x:c>
      <x:c r="D284" s="80" t="str">
        <x:v>Porsche Panamera Turbo S E-Hybrid Sport Turismo</x:v>
      </x:c>
      <x:c r="E284" s="80" t="str">
        <x:v>Porsche Panamera Turbo S E-Hybrid Sport Turismo</x:v>
      </x:c>
      <x:c r="F284" s="82" t="str">
        <x:v>Porsche / 3/5</x:v>
      </x:c>
      <x:c r="G284" s="80" t="str"/>
      <x:c r="H284" s="80" t="str">
        <x:v>044/250</x:v>
      </x:c>
      <x:c r="I284" s="83" t="str">
        <x:v>GHD20</x:v>
      </x:c>
      <x:c r="J284" s="80" t="str">
        <x:v>White</x:v>
      </x:c>
      <x:c r="K284" s="82" t="str">
        <x:v>Detailed taillights, Porsche emblem on hood</x:v>
      </x:c>
      <x:c r="L284" s="82" t="str">
        <x:v>Chrome rim, Black J5</x:v>
      </x:c>
      <x:c r="M284" s="82" t="str">
        <x:v>Black / / / Plastic</x:v>
      </x:c>
      <x:c r="N284" s="82" t="str">
        <x:v>Heavy smoke tint</x:v>
      </x:c>
      <x:c r="O284" s="82" t="str">
        <x:v>Black</x:v>
      </x:c>
      <x:c r="P284" s="82" t="str">
        <x:v>Malaysia</x:v>
      </x:c>
      <x:c r="Q284" s="82" t="str"/>
      <x:c r="R284" s="82" t="str">
        <x:v>Mainline</x:v>
      </x:c>
      <x:c r="S284" s="82" t="str">
        <x:v>Comum / atual</x:v>
      </x:c>
      <x:c r="T284" s="82" t="str">
        <x:v>Lançado</x:v>
      </x:c>
      <x:c r="U284" s="82" t="str">
        <x:v>Base Code(s): M33, M35, M36, M37, M38, M39</x:v>
      </x:c>
      <x:c r="V284" s="80" t="str">
        <x:v>Coleção principal (~1:64)</x:v>
      </x:c>
      <x:c r="W284" s="82" t="str">
        <x:v>https://hotwheels.fandom.com/wiki/Porsche_Panamera_Turbo_S_E-Hybrid_Sport_Turismo</x:v>
      </x:c>
      <x:c r="X284" s="82" t="str">
        <x:v>https://hotwheels.fandom.com/wiki/Porsche_Panamera_Turbo_S_E-Hybrid_Sport_Turismo</x:v>
      </x:c>
    </x:row>
    <x:row r="285">
      <x:c r="A285" s="80" t="str">
        <x:v>Não</x:v>
      </x:c>
      <x:c r="B285" s="80" t="str">
        <x:v>2 — Completar aos poucos</x:v>
      </x:c>
      <x:c r="C285" s="81" t="n">
        <x:v>2020</x:v>
      </x:c>
      <x:c r="D285" s="80" t="str">
        <x:v>RWB Porsche 930</x:v>
      </x:c>
      <x:c r="E285" s="80" t="str">
        <x:v>RWB Porsche 930</x:v>
      </x:c>
      <x:c r="F285" s="82" t="str">
        <x:v>Car Culture: Team Transport / #17</x:v>
      </x:c>
      <x:c r="G285" s="80" t="str"/>
      <x:c r="H285" s="80" t="str"/>
      <x:c r="I285" s="83" t="str">
        <x:v>GJT37</x:v>
      </x:c>
      <x:c r="J285" s="80" t="str">
        <x:v>Purple</x:v>
      </x:c>
      <x:c r="K285" s="82" t="str">
        <x:v>Detailed headlights and taillights, Gold "RWB" on both sides, "RAUH-Welt" on windscreen</x:v>
      </x:c>
      <x:c r="L285" s="82" t="str">
        <x:v>Chrome &amp; Gold RR6SPM</x:v>
      </x:c>
      <x:c r="M285" s="82" t="str">
        <x:v>Black / / / Metal</x:v>
      </x:c>
      <x:c r="N285" s="82" t="str">
        <x:v>Clear</x:v>
      </x:c>
      <x:c r="O285" s="82" t="str">
        <x:v>Black</x:v>
      </x:c>
      <x:c r="P285" s="82" t="str">
        <x:v>Thailand</x:v>
      </x:c>
      <x:c r="Q285" s="82" t="str"/>
      <x:c r="R285" s="82" t="str">
        <x:v>Premium</x:v>
      </x:c>
      <x:c r="S285" s="82" t="str">
        <x:v>Incomum</x:v>
      </x:c>
      <x:c r="T285" s="82" t="str">
        <x:v>Lançado</x:v>
      </x:c>
      <x:c r="U285" s="82" t="str">
        <x:v>Base code(s): M44, M46, M48, M50, M52</x:v>
      </x:c>
      <x:c r="V285" s="80" t="str">
        <x:v>Coleção principal (~1:64)</x:v>
      </x:c>
      <x:c r="W285" s="82" t="str">
        <x:v>https://hotwheels.fandom.com/wiki/RWB_Porsche_930</x:v>
      </x:c>
      <x:c r="X285" s="82" t="str">
        <x:v>https://hotwheels.fandom.com/wiki/RWB_Porsche_930</x:v>
      </x:c>
    </x:row>
    <x:row r="286">
      <x:c r="A286" s="80" t="str">
        <x:v>Não</x:v>
      </x:c>
      <x:c r="B286" s="80" t="str">
        <x:v>2 — Completar aos poucos</x:v>
      </x:c>
      <x:c r="C286" s="81" t="n">
        <x:v>2019</x:v>
      </x:c>
      <x:c r="D286" s="80" t="str">
        <x:v>'71 Porsche 911</x:v>
      </x:c>
      <x:c r="E286" s="80" t="str">
        <x:v>'71 Porsche 911</x:v>
      </x:c>
      <x:c r="F286" s="82" t="str">
        <x:v>HW Rescue / 3/10</x:v>
      </x:c>
      <x:c r="G286" s="80" t="str"/>
      <x:c r="H286" s="80" t="str">
        <x:v>122/250</x:v>
      </x:c>
      <x:c r="I286" s="83" t="str">
        <x:v>FYC80</x:v>
      </x:c>
      <x:c r="J286" s="80" t="str">
        <x:v>White &amp; Green</x:v>
      </x:c>
      <x:c r="K286" s="82" t="str">
        <x:v>HW Logo 'Polizei' on side doors</x:v>
      </x:c>
      <x:c r="L286" s="82" t="str">
        <x:v>5SP</x:v>
      </x:c>
      <x:c r="M286" s="82" t="str">
        <x:v>Green / / / Plastic</x:v>
      </x:c>
      <x:c r="N286" s="82" t="str">
        <x:v>Blue tint</x:v>
      </x:c>
      <x:c r="O286" s="82" t="str">
        <x:v>Black</x:v>
      </x:c>
      <x:c r="P286" s="82" t="str">
        <x:v>Malaysia</x:v>
      </x:c>
      <x:c r="Q286" s="82" t="str"/>
      <x:c r="R286" s="82" t="str">
        <x:v>Mainline</x:v>
      </x:c>
      <x:c r="S286" s="82" t="str">
        <x:v>Comum / atual</x:v>
      </x:c>
      <x:c r="T286" s="82" t="str">
        <x:v>Lançado</x:v>
      </x:c>
      <x:c r="U286" s="82" t="str">
        <x:v>Base code(s): L42, L44, L45, L46, L47, L48, L50</x:v>
      </x:c>
      <x:c r="V286" s="80" t="str">
        <x:v>Coleção principal (~1:64)</x:v>
      </x:c>
      <x:c r="W286" s="82" t="str">
        <x:v>https://hotwheels.fandom.com/wiki/%2771_Porsche_911</x:v>
      </x:c>
      <x:c r="X286" s="82" t="str">
        <x:v>https://hotwheels.fandom.com/wiki/%2771_Porsche_911</x:v>
      </x:c>
    </x:row>
    <x:row r="287">
      <x:c r="A287" s="80" t="str">
        <x:v>Não</x:v>
      </x:c>
      <x:c r="B287" s="80" t="str">
        <x:v>2 — Completar aos poucos</x:v>
      </x:c>
      <x:c r="C287" s="81" t="n">
        <x:v>2019</x:v>
      </x:c>
      <x:c r="D287" s="80" t="str">
        <x:v>'71 Porsche 911</x:v>
      </x:c>
      <x:c r="E287" s="80" t="str">
        <x:v>'71 Porsche 911</x:v>
      </x:c>
      <x:c r="F287" s="82" t="str">
        <x:v>HW Rescue / 3/10</x:v>
      </x:c>
      <x:c r="G287" s="80" t="str"/>
      <x:c r="H287" s="80" t="str">
        <x:v>122/250</x:v>
      </x:c>
      <x:c r="I287" s="83" t="str">
        <x:v>FYC80</x:v>
      </x:c>
      <x:c r="J287" s="80" t="str">
        <x:v>White &amp; Green</x:v>
      </x:c>
      <x:c r="K287" s="82" t="str">
        <x:v>HW Logo 'Polizei' on side doors</x:v>
      </x:c>
      <x:c r="L287" s="82" t="str">
        <x:v>BW</x:v>
      </x:c>
      <x:c r="M287" s="82" t="str">
        <x:v>Green / / / Plastic</x:v>
      </x:c>
      <x:c r="N287" s="82" t="str">
        <x:v>Blue tint</x:v>
      </x:c>
      <x:c r="O287" s="82" t="str">
        <x:v>Black</x:v>
      </x:c>
      <x:c r="P287" s="82" t="str">
        <x:v>Malaysia</x:v>
      </x:c>
      <x:c r="Q287" s="82" t="str"/>
      <x:c r="R287" s="82" t="str">
        <x:v>Mainline</x:v>
      </x:c>
      <x:c r="S287" s="82" t="str">
        <x:v>Comum / atual</x:v>
      </x:c>
      <x:c r="T287" s="82" t="str">
        <x:v>Lançado</x:v>
      </x:c>
      <x:c r="U287" s="82" t="str">
        <x:v>Rare variation / Base code(s): L48</x:v>
      </x:c>
      <x:c r="V287" s="80" t="str">
        <x:v>Coleção principal (~1:64)</x:v>
      </x:c>
      <x:c r="W287" s="82" t="str">
        <x:v>https://hotwheels.fandom.com/wiki/%2771_Porsche_911</x:v>
      </x:c>
      <x:c r="X287" s="82" t="str">
        <x:v>https://hotwheels.fandom.com/wiki/%2771_Porsche_911</x:v>
      </x:c>
    </x:row>
    <x:row r="288">
      <x:c r="A288" s="80" t="str">
        <x:v>Não</x:v>
      </x:c>
      <x:c r="B288" s="80" t="str">
        <x:v>2 — Completar aos poucos</x:v>
      </x:c>
      <x:c r="C288" s="81" t="n">
        <x:v>2019</x:v>
      </x:c>
      <x:c r="D288" s="80" t="str">
        <x:v>'78 Porsche 935-78</x:v>
      </x:c>
      <x:c r="E288" s="80" t="str">
        <x:v>'78 Porsche 935-78</x:v>
      </x:c>
      <x:c r="F288" s="82" t="str">
        <x:v>Car Culture: Silhouettes / 3/5</x:v>
      </x:c>
      <x:c r="G288" s="80" t="str"/>
      <x:c r="H288" s="80" t="str"/>
      <x:c r="I288" s="83" t="str">
        <x:v>FYN67</x:v>
      </x:c>
      <x:c r="J288" s="80" t="str">
        <x:v>White</x:v>
      </x:c>
      <x:c r="K288" s="82" t="str">
        <x:v>Blue stripes, Sponsor logos &amp; '09' on top and sides.</x:v>
      </x:c>
      <x:c r="L288" s="82" t="str">
        <x:v>Blue RRA</x:v>
      </x:c>
      <x:c r="M288" s="82" t="str">
        <x:v>Black / / / Metal</x:v>
      </x:c>
      <x:c r="N288" s="82" t="str">
        <x:v>Smoke tint</x:v>
      </x:c>
      <x:c r="O288" s="82" t="str">
        <x:v>Black</x:v>
      </x:c>
      <x:c r="P288" s="82" t="str">
        <x:v>Thailand</x:v>
      </x:c>
      <x:c r="Q288" s="82" t="str"/>
      <x:c r="R288" s="82" t="str">
        <x:v>Premium</x:v>
      </x:c>
      <x:c r="S288" s="82" t="str">
        <x:v>Incomum</x:v>
      </x:c>
      <x:c r="T288" s="82" t="str">
        <x:v>Lançado</x:v>
      </x:c>
      <x:c r="U288" s="82" t="str"/>
      <x:c r="V288" s="80" t="str">
        <x:v>Coleção principal (~1:64)</x:v>
      </x:c>
      <x:c r="W288" s="82" t="str">
        <x:v>https://hotwheels.fandom.com/wiki/%2778_Porsche_935-78</x:v>
      </x:c>
      <x:c r="X288" s="82" t="str">
        <x:v>https://hotwheels.fandom.com/wiki/%2778_Porsche_935-78</x:v>
      </x:c>
    </x:row>
    <x:row r="289">
      <x:c r="A289" s="80" t="str">
        <x:v>Não</x:v>
      </x:c>
      <x:c r="B289" s="80" t="str">
        <x:v>2 — Completar aos poucos</x:v>
      </x:c>
      <x:c r="C289" s="81" t="n">
        <x:v>2019</x:v>
      </x:c>
      <x:c r="D289" s="80" t="str">
        <x:v>'96 Porsche Carrera</x:v>
      </x:c>
      <x:c r="E289" s="80" t="str">
        <x:v>'96 Porsche Carrera</x:v>
      </x:c>
      <x:c r="F289" s="82" t="str">
        <x:v>Nightburnerz / 4/10</x:v>
      </x:c>
      <x:c r="G289" s="80" t="str"/>
      <x:c r="H289" s="80" t="str">
        <x:v>155/250</x:v>
      </x:c>
      <x:c r="I289" s="83" t="str">
        <x:v>FYF81</x:v>
      </x:c>
      <x:c r="J289" s="80" t="str">
        <x:v>Light Blue</x:v>
      </x:c>
      <x:c r="K289" s="82" t="str">
        <x:v>Detailed headlights &amp; taillights, detailed rear grille</x:v>
      </x:c>
      <x:c r="L289" s="82" t="str">
        <x:v>White PR5</x:v>
      </x:c>
      <x:c r="M289" s="82" t="str"/>
      <x:c r="N289" s="82" t="str">
        <x:v>Smoke tint</x:v>
      </x:c>
      <x:c r="O289" s="82" t="str">
        <x:v>Black</x:v>
      </x:c>
      <x:c r="P289" s="82" t="str">
        <x:v>Malaysia</x:v>
      </x:c>
      <x:c r="Q289" s="82" t="str"/>
      <x:c r="R289" s="82" t="str">
        <x:v>Mainline</x:v>
      </x:c>
      <x:c r="S289" s="82" t="str">
        <x:v>Comum / atual</x:v>
      </x:c>
      <x:c r="T289" s="82" t="str">
        <x:v>Lançado</x:v>
      </x:c>
      <x:c r="U289" s="82" t="str">
        <x:v>New Model / Base code(s): M11, M17, M18, M19, M20</x:v>
      </x:c>
      <x:c r="V289" s="80" t="str">
        <x:v>Coleção principal (~1:64)</x:v>
      </x:c>
      <x:c r="W289" s="82" t="str">
        <x:v>https://hotwheels.fandom.com/wiki/%2796_Porsche_Carrera</x:v>
      </x:c>
      <x:c r="X289" s="82" t="str">
        <x:v>https://hotwheels.fandom.com/wiki/%2796_Porsche_Carrera</x:v>
      </x:c>
    </x:row>
    <x:row r="290">
      <x:c r="A290" s="80" t="str">
        <x:v>Não</x:v>
      </x:c>
      <x:c r="B290" s="80" t="str">
        <x:v>2 — Completar aos poucos</x:v>
      </x:c>
      <x:c r="C290" s="81" t="n">
        <x:v>2019</x:v>
      </x:c>
      <x:c r="D290" s="80" t="str">
        <x:v>'96 Porsche Carrera</x:v>
      </x:c>
      <x:c r="E290" s="80" t="str">
        <x:v>'96 Porsche Carrera</x:v>
      </x:c>
      <x:c r="F290" s="82" t="str">
        <x:v>Nightburnerz / 4/10</x:v>
      </x:c>
      <x:c r="G290" s="80" t="str"/>
      <x:c r="H290" s="80" t="str">
        <x:v>155/250</x:v>
      </x:c>
      <x:c r="I290" s="83" t="str">
        <x:v>FYB71</x:v>
      </x:c>
      <x:c r="J290" s="80" t="str">
        <x:v>White</x:v>
      </x:c>
      <x:c r="K290" s="82" t="str">
        <x:v>Detailed headlights &amp; taillights, detailed rear grille</x:v>
      </x:c>
      <x:c r="L290" s="82" t="str">
        <x:v>GPR5</x:v>
      </x:c>
      <x:c r="M290" s="82" t="str"/>
      <x:c r="N290" s="82" t="str">
        <x:v>Smoke tint</x:v>
      </x:c>
      <x:c r="O290" s="82" t="str">
        <x:v>Tan Satin</x:v>
      </x:c>
      <x:c r="P290" s="82" t="str">
        <x:v>Malaysia</x:v>
      </x:c>
      <x:c r="Q290" s="82" t="str"/>
      <x:c r="R290" s="82" t="str">
        <x:v>Mainline</x:v>
      </x:c>
      <x:c r="S290" s="82" t="str">
        <x:v>Comum / atual</x:v>
      </x:c>
      <x:c r="T290" s="82" t="str">
        <x:v>Lançado</x:v>
      </x:c>
      <x:c r="U290" s="82" t="str">
        <x:v>New Model / Base code(s): L51, M01, M02, M07</x:v>
      </x:c>
      <x:c r="V290" s="80" t="str">
        <x:v>Coleção principal (~1:64)</x:v>
      </x:c>
      <x:c r="W290" s="82" t="str">
        <x:v>https://hotwheels.fandom.com/wiki/%2796_Porsche_Carrera</x:v>
      </x:c>
      <x:c r="X290" s="82" t="str">
        <x:v>https://hotwheels.fandom.com/wiki/%2796_Porsche_Carrera</x:v>
      </x:c>
    </x:row>
    <x:row r="291">
      <x:c r="A291" s="80" t="str">
        <x:v>Não</x:v>
      </x:c>
      <x:c r="B291" s="80" t="str">
        <x:v>2 — Completar aos poucos</x:v>
      </x:c>
      <x:c r="C291" s="81" t="n">
        <x:v>2019</x:v>
      </x:c>
      <x:c r="D291" s="80" t="str">
        <x:v>'96 Porsche Carrera</x:v>
      </x:c>
      <x:c r="E291" s="80" t="str">
        <x:v>'96 Porsche Carrera</x:v>
      </x:c>
      <x:c r="F291" s="82" t="str">
        <x:v>Nightburnerz / 4/10</x:v>
      </x:c>
      <x:c r="G291" s="80" t="str"/>
      <x:c r="H291" s="80" t="str">
        <x:v>155/250</x:v>
      </x:c>
      <x:c r="I291" s="83" t="str">
        <x:v>FYB71</x:v>
      </x:c>
      <x:c r="J291" s="80" t="str">
        <x:v>White</x:v>
      </x:c>
      <x:c r="K291" s="82" t="str">
        <x:v>Detailed headlights &amp; taillights, detailed rear grille</x:v>
      </x:c>
      <x:c r="L291" s="82" t="str">
        <x:v>Gunmetal TRAP5</x:v>
      </x:c>
      <x:c r="M291" s="82" t="str"/>
      <x:c r="N291" s="82" t="str">
        <x:v>Smoke tint</x:v>
      </x:c>
      <x:c r="O291" s="82" t="str">
        <x:v>Tan Satin</x:v>
      </x:c>
      <x:c r="P291" s="82" t="str">
        <x:v>Malaysia</x:v>
      </x:c>
      <x:c r="Q291" s="82" t="str"/>
      <x:c r="R291" s="82" t="str">
        <x:v>Mainline</x:v>
      </x:c>
      <x:c r="S291" s="82" t="str">
        <x:v>Comum / atual</x:v>
      </x:c>
      <x:c r="T291" s="82" t="str">
        <x:v>Lançado</x:v>
      </x:c>
      <x:c r="U291" s="82" t="str">
        <x:v>New Model / Base code(s):</x:v>
      </x:c>
      <x:c r="V291" s="80" t="str">
        <x:v>Coleção principal (~1:64)</x:v>
      </x:c>
      <x:c r="W291" s="82" t="str">
        <x:v>https://hotwheels.fandom.com/wiki/%2796_Porsche_Carrera</x:v>
      </x:c>
      <x:c r="X291" s="82" t="str">
        <x:v>https://hotwheels.fandom.com/wiki/%2796_Porsche_Carrera</x:v>
      </x:c>
    </x:row>
    <x:row r="292">
      <x:c r="A292" s="80" t="str">
        <x:v>Não</x:v>
      </x:c>
      <x:c r="B292" s="80" t="str">
        <x:v>2 — Completar aos poucos</x:v>
      </x:c>
      <x:c r="C292" s="81" t="n">
        <x:v>2019</x:v>
      </x:c>
      <x:c r="D292" s="80" t="str">
        <x:v>Porsche 356 Outlaw</x:v>
      </x:c>
      <x:c r="E292" s="80" t="str">
        <x:v>Porsche 356 Outlaw</x:v>
      </x:c>
      <x:c r="F292" s="82" t="str">
        <x:v>Car Culture: Team Transport / #13</x:v>
      </x:c>
      <x:c r="G292" s="80" t="str"/>
      <x:c r="H292" s="80" t="str"/>
      <x:c r="I292" s="83" t="str">
        <x:v>FYT06</x:v>
      </x:c>
      <x:c r="J292" s="80" t="str">
        <x:v>Silver</x:v>
      </x:c>
      <x:c r="K292" s="82" t="str">
        <x:v>Black circle with MOMO on sides MOMO logo hood and trunk, red and white Firestone on sides, “A” in white only on the passenger side of the car, front and back lights detailed and Porsche logo on hood.</x:v>
      </x:c>
      <x:c r="L292" s="82" t="str">
        <x:v>Chrome rim, Black RRSteelie White Firestone on tyres</x:v>
      </x:c>
      <x:c r="M292" s="82" t="str">
        <x:v>Black / / / Metal</x:v>
      </x:c>
      <x:c r="N292" s="82" t="str">
        <x:v>Clear</x:v>
      </x:c>
      <x:c r="O292" s="82" t="str">
        <x:v>Black</x:v>
      </x:c>
      <x:c r="P292" s="82" t="str">
        <x:v>Thailand</x:v>
      </x:c>
      <x:c r="Q292" s="82" t="str"/>
      <x:c r="R292" s="82" t="str">
        <x:v>Premium</x:v>
      </x:c>
      <x:c r="S292" s="82" t="str">
        <x:v>Incomum</x:v>
      </x:c>
      <x:c r="T292" s="82" t="str">
        <x:v>Lançado</x:v>
      </x:c>
      <x:c r="U292" s="82" t="str">
        <x:v>Named Porsche 356A Outlaw / Base code(s): M31</x:v>
      </x:c>
      <x:c r="V292" s="80" t="str">
        <x:v>Coleção principal (~1:64)</x:v>
      </x:c>
      <x:c r="W292" s="82" t="str">
        <x:v>https://hotwheels.fandom.com/wiki/Porsche_356_Outlaw</x:v>
      </x:c>
      <x:c r="X292" s="82" t="str">
        <x:v>https://hotwheels.fandom.com/wiki/Porsche_356_Outlaw</x:v>
      </x:c>
    </x:row>
    <x:row r="293">
      <x:c r="A293" s="80" t="str">
        <x:v>Não</x:v>
      </x:c>
      <x:c r="B293" s="80" t="str">
        <x:v>2 — Completar aos poucos</x:v>
      </x:c>
      <x:c r="C293" s="81" t="n">
        <x:v>2019</x:v>
      </x:c>
      <x:c r="D293" s="80" t="str">
        <x:v>Porsche 356 Outlaw</x:v>
      </x:c>
      <x:c r="E293" s="80" t="str">
        <x:v>Porsche 356 Outlaw</x:v>
      </x:c>
      <x:c r="F293" s="82" t="str">
        <x:v>Multipack Exclusive</x:v>
      </x:c>
      <x:c r="G293" s="80" t="str"/>
      <x:c r="H293" s="80" t="str"/>
      <x:c r="I293" s="83" t="str">
        <x:v>X6999</x:v>
      </x:c>
      <x:c r="J293" s="80" t="str">
        <x:v>Red</x:v>
      </x:c>
      <x:c r="K293" s="82" t="str">
        <x:v>White circle w/ '50' on sides &amp; top, sponsor logos on sides, Yellow stripes on top</x:v>
      </x:c>
      <x:c r="L293" s="82" t="str">
        <x:v>DD8</x:v>
      </x:c>
      <x:c r="M293" s="82" t="str">
        <x:v>Black / / / Plastic</x:v>
      </x:c>
      <x:c r="N293" s="82" t="str">
        <x:v>Smoke tint</x:v>
      </x:c>
      <x:c r="O293" s="82" t="str">
        <x:v>Black</x:v>
      </x:c>
      <x:c r="P293" s="82" t="str">
        <x:v>Malaysia</x:v>
      </x:c>
      <x:c r="Q293" s="82" t="str"/>
      <x:c r="R293" s="82" t="str">
        <x:v>Temática / multipack</x:v>
      </x:c>
      <x:c r="S293" s="82" t="str">
        <x:v>Comum / atual</x:v>
      </x:c>
      <x:c r="T293" s="82" t="str">
        <x:v>Lançado</x:v>
      </x:c>
      <x:c r="U293" s="82" t="str">
        <x:v>Named Porsche 356A Outlaw / Base code(s): L44, L46, M08, M01, M09, M19, M35, M36</x:v>
      </x:c>
      <x:c r="V293" s="80" t="str">
        <x:v>Coleção principal (~1:64)</x:v>
      </x:c>
      <x:c r="W293" s="82" t="str">
        <x:v>https://hotwheels.fandom.com/wiki/Porsche_356_Outlaw</x:v>
      </x:c>
      <x:c r="X293" s="82" t="str">
        <x:v>https://hotwheels.fandom.com/wiki/Porsche_356_Outlaw</x:v>
      </x:c>
    </x:row>
    <x:row r="294">
      <x:c r="A294" s="80" t="str">
        <x:v>Não</x:v>
      </x:c>
      <x:c r="B294" s="80" t="str">
        <x:v>2 — Completar aos poucos</x:v>
      </x:c>
      <x:c r="C294" s="81" t="n">
        <x:v>2019</x:v>
      </x:c>
      <x:c r="D294" s="80" t="str">
        <x:v>Porsche 911 GT2</x:v>
      </x:c>
      <x:c r="E294" s="80" t="str">
        <x:v>Porsche 911 GT2</x:v>
      </x:c>
      <x:c r="F294" s="82" t="str">
        <x:v>Multipack Exclusive</x:v>
      </x:c>
      <x:c r="G294" s="80" t="str"/>
      <x:c r="H294" s="80" t="str"/>
      <x:c r="I294" s="83" t="str">
        <x:v>X6999</x:v>
      </x:c>
      <x:c r="J294" s="80" t="str">
        <x:v>Red</x:v>
      </x:c>
      <x:c r="K294" s="82" t="str">
        <x:v>Black Stripes on Top</x:v>
      </x:c>
      <x:c r="L294" s="82" t="str">
        <x:v>Gold lip, black J5</x:v>
      </x:c>
      <x:c r="M294" s="82" t="str">
        <x:v>Black / / / Plastic</x:v>
      </x:c>
      <x:c r="N294" s="82" t="str">
        <x:v>Tinted (Blue)</x:v>
      </x:c>
      <x:c r="O294" s="82" t="str">
        <x:v>Black</x:v>
      </x:c>
      <x:c r="P294" s="82" t="str">
        <x:v>Malaysia</x:v>
      </x:c>
      <x:c r="Q294" s="82" t="str"/>
      <x:c r="R294" s="82" t="str">
        <x:v>Temática / multipack</x:v>
      </x:c>
      <x:c r="S294" s="82" t="str">
        <x:v>Comum / atual</x:v>
      </x:c>
      <x:c r="T294" s="82" t="str">
        <x:v>Lançado</x:v>
      </x:c>
      <x:c r="U294" s="82" t="str">
        <x:v>Base code(s): L37</x:v>
      </x:c>
      <x:c r="V294" s="80" t="str">
        <x:v>Coleção principal (~1:64)</x:v>
      </x:c>
      <x:c r="W294" s="82" t="str">
        <x:v>https://hotwheels.fandom.com/wiki/Porsche_911_GT2</x:v>
      </x:c>
      <x:c r="X294" s="82" t="str">
        <x:v>https://hotwheels.fandom.com/wiki/Porsche_911_GT2</x:v>
      </x:c>
    </x:row>
    <x:row r="295">
      <x:c r="A295" s="80" t="str">
        <x:v>Não</x:v>
      </x:c>
      <x:c r="B295" s="80" t="str">
        <x:v>2 — Completar aos poucos</x:v>
      </x:c>
      <x:c r="C295" s="81" t="n">
        <x:v>2019</x:v>
      </x:c>
      <x:c r="D295" s="80" t="str">
        <x:v>Porsche 911 GT3 RS (2016)</x:v>
      </x:c>
      <x:c r="E295" s="80" t="str">
        <x:v>Porsche 911 GT3 RS</x:v>
      </x:c>
      <x:c r="F295" s="82" t="str">
        <x:v>Factory Fresh / 10/10</x:v>
      </x:c>
      <x:c r="G295" s="80" t="str"/>
      <x:c r="H295" s="80" t="str">
        <x:v>246/250</x:v>
      </x:c>
      <x:c r="I295" s="83" t="str">
        <x:v>FYC47</x:v>
      </x:c>
      <x:c r="J295" s="80" t="str">
        <x:v>Metalflake Purple</x:v>
      </x:c>
      <x:c r="K295" s="82" t="str">
        <x:v>'GT3 RS' on rear &amp; HW Logo on rear plate</x:v>
      </x:c>
      <x:c r="L295" s="82" t="str">
        <x:v>TRAP5</x:v>
      </x:c>
      <x:c r="M295" s="82" t="str">
        <x:v>Black / / / Plastic</x:v>
      </x:c>
      <x:c r="N295" s="82" t="str">
        <x:v>Smoke tint</x:v>
      </x:c>
      <x:c r="O295" s="82" t="str">
        <x:v>Black</x:v>
      </x:c>
      <x:c r="P295" s="82" t="str">
        <x:v>Malaysia</x:v>
      </x:c>
      <x:c r="Q295" s="82" t="str"/>
      <x:c r="R295" s="82" t="str">
        <x:v>Mainline</x:v>
      </x:c>
      <x:c r="S295" s="82" t="str">
        <x:v>Comum / atual</x:v>
      </x:c>
      <x:c r="T295" s="82" t="str">
        <x:v>Lançado</x:v>
      </x:c>
      <x:c r="U295" s="82" t="str">
        <x:v>Base code(s): M26, M27, M29, M30, M31</x:v>
      </x:c>
      <x:c r="V295" s="80" t="str">
        <x:v>Coleção principal (~1:64)</x:v>
      </x:c>
      <x:c r="W295" s="82" t="str">
        <x:v>https://hotwheels.fandom.com/wiki/Porsche_911_GT3_RS_(2016)</x:v>
      </x:c>
      <x:c r="X295" s="82" t="str">
        <x:v>https://hotwheels.fandom.com/wiki/Porsche_911_GT3_RS_(2016)</x:v>
      </x:c>
    </x:row>
    <x:row r="296">
      <x:c r="A296" s="80" t="str">
        <x:v>Não</x:v>
      </x:c>
      <x:c r="B296" s="80" t="str">
        <x:v>2 — Completar aos poucos</x:v>
      </x:c>
      <x:c r="C296" s="81" t="n">
        <x:v>2019</x:v>
      </x:c>
      <x:c r="D296" s="80" t="str">
        <x:v>Porsche 911 GT3 RS (2016)</x:v>
      </x:c>
      <x:c r="E296" s="80" t="str">
        <x:v>Porsche 911 GT3 RS</x:v>
      </x:c>
      <x:c r="F296" s="82" t="str">
        <x:v>SSG - TFox Collaboration Exclusive</x:v>
      </x:c>
      <x:c r="G296" s="80" t="str"/>
      <x:c r="H296" s="80" t="str"/>
      <x:c r="I296" s="83" t="str">
        <x:v>AA031</x:v>
      </x:c>
      <x:c r="J296" s="80" t="str">
        <x:v>Matte Black</x:v>
      </x:c>
      <x:c r="K296" s="82" t="str">
        <x:v>Gold Tribal designs, 'Tfox' logo, Yellow tipped wings and side mirrors, Hot Wheels Tanner Fox log on rear</x:v>
      </x:c>
      <x:c r="L296" s="82" t="str">
        <x:v>Gold Chrome Rim, Black J5</x:v>
      </x:c>
      <x:c r="M296" s="82" t="str">
        <x:v>Black / / / Plastic</x:v>
      </x:c>
      <x:c r="N296" s="82" t="str">
        <x:v>Smoke tint</x:v>
      </x:c>
      <x:c r="O296" s="82" t="str">
        <x:v>Black</x:v>
      </x:c>
      <x:c r="P296" s="82" t="str">
        <x:v>Malaysia</x:v>
      </x:c>
      <x:c r="Q296" s="82" t="str"/>
      <x:c r="R296" s="82" t="str">
        <x:v>Outra linha</x:v>
      </x:c>
      <x:c r="S296" s="82" t="str">
        <x:v>Comum / atual</x:v>
      </x:c>
      <x:c r="T296" s="82" t="str">
        <x:v>Lançado</x:v>
      </x:c>
      <x:c r="U296" s="82" t="str">
        <x:v>Collaboration Exclusive Box Set / Base code(s):</x:v>
      </x:c>
      <x:c r="V296" s="80" t="str">
        <x:v>Coleção principal (~1:64)</x:v>
      </x:c>
      <x:c r="W296" s="82" t="str">
        <x:v>https://hotwheels.fandom.com/wiki/Porsche_911_GT3_RS_(2016)</x:v>
      </x:c>
      <x:c r="X296" s="82" t="str">
        <x:v>https://hotwheels.fandom.com/wiki/Porsche_911_GT3_RS_(2016)</x:v>
      </x:c>
    </x:row>
    <x:row r="297">
      <x:c r="A297" s="80" t="str">
        <x:v>Não</x:v>
      </x:c>
      <x:c r="B297" s="80" t="str">
        <x:v>2 — Completar aos poucos</x:v>
      </x:c>
      <x:c r="C297" s="81" t="n">
        <x:v>2019</x:v>
      </x:c>
      <x:c r="D297" s="80" t="str">
        <x:v>Porsche 917 LH</x:v>
      </x:c>
      <x:c r="E297" s="80" t="str">
        <x:v>Porsche 917 LH</x:v>
      </x:c>
      <x:c r="F297" s="82" t="str">
        <x:v>HW Race Day / 3/10</x:v>
      </x:c>
      <x:c r="G297" s="80" t="str"/>
      <x:c r="H297" s="80" t="str">
        <x:v>101/250</x:v>
      </x:c>
      <x:c r="I297" s="83" t="str">
        <x:v>FYD21</x:v>
      </x:c>
      <x:c r="J297" s="80" t="str">
        <x:v>Blue</x:v>
      </x:c>
      <x:c r="K297" s="82" t="str">
        <x:v>White stripe &amp; 'Porsche' on sides, White stripes on hood, Porsche on Wing, '11' on sides and top</x:v>
      </x:c>
      <x:c r="L297" s="82" t="str">
        <x:v>Gray / 5SP</x:v>
      </x:c>
      <x:c r="M297" s="82" t="str">
        <x:v>Blue / / / Plastic</x:v>
      </x:c>
      <x:c r="N297" s="82" t="str">
        <x:v>Clear</x:v>
      </x:c>
      <x:c r="O297" s="82" t="str">
        <x:v>Black</x:v>
      </x:c>
      <x:c r="P297" s="82" t="str">
        <x:v>Malaysia</x:v>
      </x:c>
      <x:c r="Q297" s="82" t="str"/>
      <x:c r="R297" s="82" t="str">
        <x:v>Mainline</x:v>
      </x:c>
      <x:c r="S297" s="82" t="str">
        <x:v>Comum / atual</x:v>
      </x:c>
      <x:c r="T297" s="82" t="str">
        <x:v>Lançado</x:v>
      </x:c>
      <x:c r="U297" s="82" t="str">
        <x:v>Base code(s): L41, L44, L46, L48</x:v>
      </x:c>
      <x:c r="V297" s="80" t="str">
        <x:v>Coleção principal (~1:64)</x:v>
      </x:c>
      <x:c r="W297" s="82" t="str">
        <x:v>https://hotwheels.fandom.com/wiki/Porsche_917_LH</x:v>
      </x:c>
      <x:c r="X297" s="82" t="str">
        <x:v>https://hotwheels.fandom.com/wiki/Porsche_917_LH</x:v>
      </x:c>
    </x:row>
    <x:row r="298">
      <x:c r="A298" s="80" t="str">
        <x:v>Não</x:v>
      </x:c>
      <x:c r="B298" s="80" t="str">
        <x:v>2 — Completar aos poucos</x:v>
      </x:c>
      <x:c r="C298" s="81" t="n">
        <x:v>2019</x:v>
      </x:c>
      <x:c r="D298" s="80" t="str">
        <x:v>Porsche 917 LH</x:v>
      </x:c>
      <x:c r="E298" s="80" t="str">
        <x:v>Porsche 917 LH</x:v>
      </x:c>
      <x:c r="F298" s="82" t="str">
        <x:v>HW Race Day / 3/10</x:v>
      </x:c>
      <x:c r="G298" s="80" t="str"/>
      <x:c r="H298" s="80" t="str">
        <x:v>101/250</x:v>
      </x:c>
      <x:c r="I298" s="83" t="str">
        <x:v>FYG32</x:v>
      </x:c>
      <x:c r="J298" s="80" t="str">
        <x:v>Red</x:v>
      </x:c>
      <x:c r="K298" s="82" t="str">
        <x:v>White stripe &amp; 'Porsche' on sides, White stripes on hood, Porsche on Wing, '11' on sides and top</x:v>
      </x:c>
      <x:c r="L298" s="82" t="str">
        <x:v>Gray / 5SP</x:v>
      </x:c>
      <x:c r="M298" s="82" t="str">
        <x:v>Red / / / Plastic</x:v>
      </x:c>
      <x:c r="N298" s="82" t="str">
        <x:v>Clear</x:v>
      </x:c>
      <x:c r="O298" s="82" t="str">
        <x:v>Black</x:v>
      </x:c>
      <x:c r="P298" s="82" t="str">
        <x:v>Malaysia</x:v>
      </x:c>
      <x:c r="Q298" s="82" t="str"/>
      <x:c r="R298" s="82" t="str">
        <x:v>Mainline</x:v>
      </x:c>
      <x:c r="S298" s="82" t="str">
        <x:v>Comum / atual</x:v>
      </x:c>
      <x:c r="T298" s="82" t="str">
        <x:v>Lançado</x:v>
      </x:c>
      <x:c r="U298" s="82" t="str">
        <x:v>Base code(s): M05, M08, M09, M11</x:v>
      </x:c>
      <x:c r="V298" s="80" t="str">
        <x:v>Coleção principal (~1:64)</x:v>
      </x:c>
      <x:c r="W298" s="82" t="str">
        <x:v>https://hotwheels.fandom.com/wiki/Porsche_917_LH</x:v>
      </x:c>
      <x:c r="X298" s="82" t="str">
        <x:v>https://hotwheels.fandom.com/wiki/Porsche_917_LH</x:v>
      </x:c>
    </x:row>
    <x:row r="299">
      <x:c r="A299" s="80" t="str">
        <x:v>Não</x:v>
      </x:c>
      <x:c r="B299" s="80" t="str">
        <x:v>2 — Completar aos poucos</x:v>
      </x:c>
      <x:c r="C299" s="81" t="n">
        <x:v>2019</x:v>
      </x:c>
      <x:c r="D299" s="80" t="str">
        <x:v>Porsche 918 Spyder</x:v>
      </x:c>
      <x:c r="E299" s="80" t="str">
        <x:v>Porsche 918 Spyder</x:v>
      </x:c>
      <x:c r="F299" s="82" t="str">
        <x:v>HW Roadsters / 1/5</x:v>
      </x:c>
      <x:c r="G299" s="80" t="str"/>
      <x:c r="H299" s="80" t="str">
        <x:v>094/250</x:v>
      </x:c>
      <x:c r="I299" s="83" t="str">
        <x:v>FYD27</x:v>
      </x:c>
      <x:c r="J299" s="80" t="str">
        <x:v>Black</x:v>
      </x:c>
      <x:c r="K299" s="82" t="str">
        <x:v>#4 on doors &amp; hood, headlights &amp; Porsche emblem in front, Red "Weissach Package" stripes</x:v>
      </x:c>
      <x:c r="L299" s="82" t="str">
        <x:v>10SP</x:v>
      </x:c>
      <x:c r="M299" s="82" t="str">
        <x:v>Black / / / Plastic</x:v>
      </x:c>
      <x:c r="N299" s="82" t="str">
        <x:v>Clear</x:v>
      </x:c>
      <x:c r="O299" s="82" t="str">
        <x:v>Black</x:v>
      </x:c>
      <x:c r="P299" s="82" t="str">
        <x:v>Malaysia</x:v>
      </x:c>
      <x:c r="Q299" s="82" t="str"/>
      <x:c r="R299" s="82" t="str">
        <x:v>Mainline</x:v>
      </x:c>
      <x:c r="S299" s="82" t="str">
        <x:v>Comum / atual</x:v>
      </x:c>
      <x:c r="T299" s="82" t="str">
        <x:v>Lançado</x:v>
      </x:c>
      <x:c r="U299" s="82" t="str"/>
      <x:c r="V299" s="80" t="str">
        <x:v>Coleção principal (~1:64)</x:v>
      </x:c>
      <x:c r="W299" s="82" t="str">
        <x:v>https://hotwheels.fandom.com/wiki/Porsche_918_Spyder</x:v>
      </x:c>
      <x:c r="X299" s="82" t="str">
        <x:v>https://hotwheels.fandom.com/wiki/Porsche_918_Spyder</x:v>
      </x:c>
    </x:row>
    <x:row r="300">
      <x:c r="A300" s="80" t="str">
        <x:v>Não</x:v>
      </x:c>
      <x:c r="B300" s="80" t="str">
        <x:v>2 — Completar aos poucos</x:v>
      </x:c>
      <x:c r="C300" s="81" t="n">
        <x:v>2019</x:v>
      </x:c>
      <x:c r="D300" s="80" t="str">
        <x:v>Porsche 918 Spyder</x:v>
      </x:c>
      <x:c r="E300" s="80" t="str">
        <x:v>Porsche 918 Spyder</x:v>
      </x:c>
      <x:c r="F300" s="82" t="str">
        <x:v>Red Edition / 8/12</x:v>
      </x:c>
      <x:c r="G300" s="80" t="str"/>
      <x:c r="H300" s="80" t="str">
        <x:v>094/250</x:v>
      </x:c>
      <x:c r="I300" s="83" t="str">
        <x:v>FYG69</x:v>
      </x:c>
      <x:c r="J300" s="80" t="str">
        <x:v>White</x:v>
      </x:c>
      <x:c r="K300" s="82" t="str">
        <x:v>#5 on doors &amp; hood, headlights &amp; Porsche emblem in front, Red "Weissach Package" stripes</x:v>
      </x:c>
      <x:c r="L300" s="82" t="str">
        <x:v>Chrome 10SP</x:v>
      </x:c>
      <x:c r="M300" s="82" t="str">
        <x:v>Black / / / Plastic</x:v>
      </x:c>
      <x:c r="N300" s="82" t="str">
        <x:v>Clear</x:v>
      </x:c>
      <x:c r="O300" s="82" t="str">
        <x:v>Black</x:v>
      </x:c>
      <x:c r="P300" s="82" t="str">
        <x:v>Malaysia</x:v>
      </x:c>
      <x:c r="Q300" s="82" t="str">
        <x:v>Target / Red Edition</x:v>
      </x:c>
      <x:c r="R300" s="82" t="str">
        <x:v>Mainline</x:v>
      </x:c>
      <x:c r="S300" s="82" t="str">
        <x:v>Rara</x:v>
      </x:c>
      <x:c r="T300" s="82" t="str">
        <x:v>Lançado</x:v>
      </x:c>
      <x:c r="U300" s="82" t="str"/>
      <x:c r="V300" s="80" t="str">
        <x:v>Coleção principal (~1:64)</x:v>
      </x:c>
      <x:c r="W300" s="82" t="str">
        <x:v>https://hotwheels.fandom.com/wiki/Porsche_918_Spyder</x:v>
      </x:c>
      <x:c r="X300" s="82" t="str">
        <x:v>https://hotwheels.fandom.com/wiki/Porsche_918_Spyder</x:v>
      </x:c>
    </x:row>
    <x:row r="301">
      <x:c r="A301" s="80" t="str">
        <x:v>Não</x:v>
      </x:c>
      <x:c r="B301" s="80" t="str">
        <x:v>2 — Completar aos poucos</x:v>
      </x:c>
      <x:c r="C301" s="81" t="n">
        <x:v>2019</x:v>
      </x:c>
      <x:c r="D301" s="80" t="str">
        <x:v>Porsche 934 Turbo RSR</x:v>
      </x:c>
      <x:c r="E301" s="80" t="str">
        <x:v>Porsche 934 Turbo RSR</x:v>
      </x:c>
      <x:c r="F301" s="82" t="str">
        <x:v>Exotics / 5/6</x:v>
      </x:c>
      <x:c r="G301" s="80" t="str"/>
      <x:c r="H301" s="80" t="str"/>
      <x:c r="I301" s="83" t="str">
        <x:v>GBB75</x:v>
      </x:c>
      <x:c r="J301" s="80" t="str">
        <x:v>Orange</x:v>
      </x:c>
      <x:c r="K301" s="82" t="str">
        <x:v>Detailed headlights, Black stripes on hood &amp; rear</x:v>
      </x:c>
      <x:c r="L301" s="82" t="str">
        <x:v>Gold LW</x:v>
      </x:c>
      <x:c r="M301" s="82" t="str">
        <x:v>Black / / / Plastic</x:v>
      </x:c>
      <x:c r="N301" s="82" t="str">
        <x:v>Smoke tint</x:v>
      </x:c>
      <x:c r="O301" s="82" t="str">
        <x:v>Black</x:v>
      </x:c>
      <x:c r="P301" s="82" t="str">
        <x:v>Thailand</x:v>
      </x:c>
      <x:c r="Q301" s="82" t="str"/>
      <x:c r="R301" s="82" t="str">
        <x:v>Mainline</x:v>
      </x:c>
      <x:c r="S301" s="82" t="str">
        <x:v>Comum / atual</x:v>
      </x:c>
      <x:c r="T301" s="82" t="str">
        <x:v>Lançado</x:v>
      </x:c>
      <x:c r="U301" s="82" t="str">
        <x:v>Base code(s): M26, M38</x:v>
      </x:c>
      <x:c r="V301" s="80" t="str">
        <x:v>Coleção principal (~1:64)</x:v>
      </x:c>
      <x:c r="W301" s="82" t="str">
        <x:v>https://hotwheels.fandom.com/wiki/Porsche_934_Turbo_RSR</x:v>
      </x:c>
      <x:c r="X301" s="82" t="str">
        <x:v>https://hotwheels.fandom.com/wiki/Porsche_934_Turbo_RSR</x:v>
      </x:c>
    </x:row>
    <x:row r="302">
      <x:c r="A302" s="80" t="str">
        <x:v>Não</x:v>
      </x:c>
      <x:c r="B302" s="80" t="str">
        <x:v>2 — Completar aos poucos</x:v>
      </x:c>
      <x:c r="C302" s="81" t="n">
        <x:v>2019</x:v>
      </x:c>
      <x:c r="D302" s="80" t="str">
        <x:v>Porsche 993 GT2</x:v>
      </x:c>
      <x:c r="E302" s="80" t="str">
        <x:v>Porsche 993 GT2</x:v>
      </x:c>
      <x:c r="F302" s="82" t="str">
        <x:v>Forza Horizon 4 / 6/6</x:v>
      </x:c>
      <x:c r="G302" s="80" t="str"/>
      <x:c r="H302" s="80" t="str"/>
      <x:c r="I302" s="83" t="str">
        <x:v>GBB70</x:v>
      </x:c>
      <x:c r="J302" s="80" t="str">
        <x:v>Blue</x:v>
      </x:c>
      <x:c r="K302" s="82" t="str">
        <x:v>Forza Logo, 'FORZA HORIZON 4', Thin Black Stripes on side. Thick Black Stripe along hood</x:v>
      </x:c>
      <x:c r="L302" s="82" t="str">
        <x:v>Chrome Rim, Black OH5</x:v>
      </x:c>
      <x:c r="M302" s="82" t="str">
        <x:v>Black / / / Plastic</x:v>
      </x:c>
      <x:c r="N302" s="82" t="str">
        <x:v>Smoke tint</x:v>
      </x:c>
      <x:c r="O302" s="82" t="str">
        <x:v>Black</x:v>
      </x:c>
      <x:c r="P302" s="82" t="str">
        <x:v>Thailand</x:v>
      </x:c>
      <x:c r="Q302" s="82" t="str"/>
      <x:c r="R302" s="82" t="str">
        <x:v>Outra linha</x:v>
      </x:c>
      <x:c r="S302" s="82" t="str">
        <x:v>Comum / atual</x:v>
      </x:c>
      <x:c r="T302" s="82" t="str">
        <x:v>Lançado</x:v>
      </x:c>
      <x:c r="U302" s="82" t="str">
        <x:v>Named as Porsche 911 GT2 [993] / Base code(s): M18, M19, M21, M23</x:v>
      </x:c>
      <x:c r="V302" s="80" t="str">
        <x:v>Coleção principal (~1:64)</x:v>
      </x:c>
      <x:c r="W302" s="82" t="str">
        <x:v>https://hotwheels.fandom.com/wiki/Porsche_993_GT2</x:v>
      </x:c>
      <x:c r="X302" s="82" t="str">
        <x:v>https://hotwheels.fandom.com/wiki/Porsche_993_GT2</x:v>
      </x:c>
    </x:row>
    <x:row r="303">
      <x:c r="A303" s="80" t="str">
        <x:v>Não</x:v>
      </x:c>
      <x:c r="B303" s="80" t="str">
        <x:v>2 — Completar aos poucos</x:v>
      </x:c>
      <x:c r="C303" s="81" t="n">
        <x:v>2019</x:v>
      </x:c>
      <x:c r="D303" s="80" t="str">
        <x:v>Porsche Cayman S</x:v>
      </x:c>
      <x:c r="E303" s="80" t="str">
        <x:v>Porsche Cayman S</x:v>
      </x:c>
      <x:c r="F303" s="82" t="str">
        <x:v>Multipack Exclusive</x:v>
      </x:c>
      <x:c r="G303" s="80" t="str"/>
      <x:c r="H303" s="80" t="str"/>
      <x:c r="I303" s="83" t="str">
        <x:v>X6999</x:v>
      </x:c>
      <x:c r="J303" s="80" t="str">
        <x:v>Blue</x:v>
      </x:c>
      <x:c r="K303" s="82" t="str">
        <x:v>Gray Stripes</x:v>
      </x:c>
      <x:c r="L303" s="82" t="str">
        <x:v>Gray 10SP</x:v>
      </x:c>
      <x:c r="M303" s="82" t="str">
        <x:v>Black / Plastic</x:v>
      </x:c>
      <x:c r="N303" s="82" t="str">
        <x:v>Smoke tint</x:v>
      </x:c>
      <x:c r="O303" s="82" t="str">
        <x:v>Gray</x:v>
      </x:c>
      <x:c r="P303" s="82" t="str">
        <x:v>Malaysia</x:v>
      </x:c>
      <x:c r="Q303" s="82" t="str"/>
      <x:c r="R303" s="82" t="str">
        <x:v>Temática / multipack</x:v>
      </x:c>
      <x:c r="S303" s="82" t="str">
        <x:v>Comum / atual</x:v>
      </x:c>
      <x:c r="T303" s="82" t="str">
        <x:v>Lançado</x:v>
      </x:c>
      <x:c r="U303" s="82" t="str">
        <x:v>Base code(s): L49, L51, M08, M11, M12, M21, M26, M31</x:v>
      </x:c>
      <x:c r="V303" s="80" t="str">
        <x:v>Coleção principal (~1:64)</x:v>
      </x:c>
      <x:c r="W303" s="82" t="str">
        <x:v>https://hotwheels.fandom.com/wiki/Porsche_Cayman_S</x:v>
      </x:c>
      <x:c r="X303" s="82" t="str">
        <x:v>https://hotwheels.fandom.com/wiki/Porsche_Cayman_S</x:v>
      </x:c>
    </x:row>
    <x:row r="304">
      <x:c r="A304" s="80" t="str">
        <x:v>Não</x:v>
      </x:c>
      <x:c r="B304" s="80" t="str">
        <x:v>2 — Completar aos poucos</x:v>
      </x:c>
      <x:c r="C304" s="81" t="n">
        <x:v>2019</x:v>
      </x:c>
      <x:c r="D304" s="80" t="str">
        <x:v>Porsche Panamera</x:v>
      </x:c>
      <x:c r="E304" s="80" t="str">
        <x:v>Porsche Panamera</x:v>
      </x:c>
      <x:c r="F304" s="82" t="str">
        <x:v>HW Rescue / 10/10</x:v>
      </x:c>
      <x:c r="G304" s="80" t="str"/>
      <x:c r="H304" s="80" t="str">
        <x:v>100 / / / 250</x:v>
      </x:c>
      <x:c r="I304" s="83" t="str">
        <x:v>FYG20</x:v>
      </x:c>
      <x:c r="J304" s="80" t="str">
        <x:v>Black</x:v>
      </x:c>
      <x:c r="K304" s="82" t="str">
        <x:v>White tampo "Polizei" "HWPD"</x:v>
      </x:c>
      <x:c r="L304" s="82" t="str">
        <x:v>Cyan Lip OH5</x:v>
      </x:c>
      <x:c r="M304" s="82" t="str">
        <x:v>Gray / / / Plastic</x:v>
      </x:c>
      <x:c r="N304" s="82" t="str">
        <x:v>Red tint</x:v>
      </x:c>
      <x:c r="O304" s="82" t="str">
        <x:v>Gray</x:v>
      </x:c>
      <x:c r="P304" s="82" t="str">
        <x:v>Malaysia</x:v>
      </x:c>
      <x:c r="Q304" s="82" t="str"/>
      <x:c r="R304" s="82" t="str">
        <x:v>Mainline</x:v>
      </x:c>
      <x:c r="S304" s="82" t="str">
        <x:v>Comum / atual</x:v>
      </x:c>
      <x:c r="T304" s="82" t="str">
        <x:v>Lançado</x:v>
      </x:c>
      <x:c r="U304" s="82" t="str">
        <x:v>Base code(s): M24, M26</x:v>
      </x:c>
      <x:c r="V304" s="80" t="str">
        <x:v>Coleção principal (~1:64)</x:v>
      </x:c>
      <x:c r="W304" s="82" t="str">
        <x:v>https://hotwheels.fandom.com/wiki/Porsche_Panamera</x:v>
      </x:c>
      <x:c r="X304" s="82" t="str">
        <x:v>https://hotwheels.fandom.com/wiki/Porsche_Panamera</x:v>
      </x:c>
    </x:row>
    <x:row r="305">
      <x:c r="A305" s="80" t="str">
        <x:v>Não</x:v>
      </x:c>
      <x:c r="B305" s="80" t="str">
        <x:v>2 — Completar aos poucos</x:v>
      </x:c>
      <x:c r="C305" s="81" t="n">
        <x:v>2019</x:v>
      </x:c>
      <x:c r="D305" s="80" t="str">
        <x:v>Porsche Panamera</x:v>
      </x:c>
      <x:c r="E305" s="80" t="str">
        <x:v>Porsche Panamera</x:v>
      </x:c>
      <x:c r="F305" s="82" t="str">
        <x:v>HW Rescue / 10/10</x:v>
      </x:c>
      <x:c r="G305" s="80" t="str"/>
      <x:c r="H305" s="80" t="str">
        <x:v>100 / / / 250</x:v>
      </x:c>
      <x:c r="I305" s="83" t="str">
        <x:v>FYC86</x:v>
      </x:c>
      <x:c r="J305" s="80" t="str">
        <x:v>Metallic Red</x:v>
      </x:c>
      <x:c r="K305" s="82" t="str">
        <x:v>Blue tampo "Polizei" "HWPD"</x:v>
      </x:c>
      <x:c r="L305" s="82" t="str">
        <x:v>Blue Lip OH5</x:v>
      </x:c>
      <x:c r="M305" s="82" t="str">
        <x:v>Black / / / Plastic</x:v>
      </x:c>
      <x:c r="N305" s="82" t="str">
        <x:v>Light blue tint</x:v>
      </x:c>
      <x:c r="O305" s="82" t="str">
        <x:v>Gray</x:v>
      </x:c>
      <x:c r="P305" s="82" t="str">
        <x:v>Malaysia</x:v>
      </x:c>
      <x:c r="Q305" s="82" t="str"/>
      <x:c r="R305" s="82" t="str">
        <x:v>Mainline</x:v>
      </x:c>
      <x:c r="S305" s="82" t="str">
        <x:v>Comum / atual</x:v>
      </x:c>
      <x:c r="T305" s="82" t="str">
        <x:v>Lançado</x:v>
      </x:c>
      <x:c r="U305" s="82" t="str">
        <x:v>Base code(s): L41, L42, L43, L44, L45</x:v>
      </x:c>
      <x:c r="V305" s="80" t="str">
        <x:v>Coleção principal (~1:64)</x:v>
      </x:c>
      <x:c r="W305" s="82" t="str">
        <x:v>https://hotwheels.fandom.com/wiki/Porsche_Panamera</x:v>
      </x:c>
      <x:c r="X305" s="82" t="str">
        <x:v>https://hotwheels.fandom.com/wiki/Porsche_Panamera</x:v>
      </x:c>
    </x:row>
    <x:row r="306">
      <x:c r="A306" s="80" t="str">
        <x:v>Não</x:v>
      </x:c>
      <x:c r="B306" s="80" t="str">
        <x:v>2 — Completar aos poucos</x:v>
      </x:c>
      <x:c r="C306" s="81" t="n">
        <x:v>2019</x:v>
      </x:c>
      <x:c r="D306" s="80" t="str">
        <x:v>Porsche Panamera Turbo S E-Hybrid Sport Turismo</x:v>
      </x:c>
      <x:c r="E306" s="80" t="str">
        <x:v>Porsche Panamera Turbo S E-Hybrid Sport Turismo</x:v>
      </x:c>
      <x:c r="F306" s="82" t="str">
        <x:v>HW Green Speed / 2/5</x:v>
      </x:c>
      <x:c r="G306" s="80" t="str"/>
      <x:c r="H306" s="80" t="str">
        <x:v>202/250</x:v>
      </x:c>
      <x:c r="I306" s="83" t="str">
        <x:v>FYB51</x:v>
      </x:c>
      <x:c r="J306" s="80" t="str">
        <x:v>Light Grey</x:v>
      </x:c>
      <x:c r="K306" s="82" t="str">
        <x:v>Detailed taillights, Porsche emblem on hood</x:v>
      </x:c>
      <x:c r="L306" s="82" t="str">
        <x:v>J5</x:v>
      </x:c>
      <x:c r="M306" s="82" t="str">
        <x:v>Black / / / Plastic</x:v>
      </x:c>
      <x:c r="N306" s="82" t="str">
        <x:v>Smoke tint</x:v>
      </x:c>
      <x:c r="O306" s="82" t="str">
        <x:v>Black</x:v>
      </x:c>
      <x:c r="P306" s="82" t="str">
        <x:v>Malaysia</x:v>
      </x:c>
      <x:c r="Q306" s="82" t="str"/>
      <x:c r="R306" s="82" t="str">
        <x:v>Mainline</x:v>
      </x:c>
      <x:c r="S306" s="82" t="str">
        <x:v>Comum / atual</x:v>
      </x:c>
      <x:c r="T306" s="82" t="str">
        <x:v>Lançado</x:v>
      </x:c>
      <x:c r="U306" s="82" t="str">
        <x:v>New Model / Base Codes: M12, M13, M15, M16, M18</x:v>
      </x:c>
      <x:c r="V306" s="80" t="str">
        <x:v>Coleção principal (~1:64)</x:v>
      </x:c>
      <x:c r="W306" s="82" t="str">
        <x:v>https://hotwheels.fandom.com/wiki/Porsche_Panamera_Turbo_S_E-Hybrid_Sport_Turismo</x:v>
      </x:c>
      <x:c r="X306" s="82" t="str">
        <x:v>https://hotwheels.fandom.com/wiki/Porsche_Panamera_Turbo_S_E-Hybrid_Sport_Turismo</x:v>
      </x:c>
    </x:row>
    <x:row r="307">
      <x:c r="A307" s="80" t="str">
        <x:v>Não</x:v>
      </x:c>
      <x:c r="B307" s="80" t="str">
        <x:v>2 — Completar aos poucos</x:v>
      </x:c>
      <x:c r="C307" s="81" t="n">
        <x:v>2019</x:v>
      </x:c>
      <x:c r="D307" s="80" t="str">
        <x:v>RWB Porsche 930</x:v>
      </x:c>
      <x:c r="E307" s="80" t="str">
        <x:v>RWB Porsche 930</x:v>
      </x:c>
      <x:c r="F307" s="82" t="str">
        <x:v>Car Culture: Silhouettes / 4/5</x:v>
      </x:c>
      <x:c r="G307" s="80" t="str"/>
      <x:c r="H307" s="80" t="str"/>
      <x:c r="I307" s="83" t="str">
        <x:v>FYN68</x:v>
      </x:c>
      <x:c r="J307" s="80" t="str">
        <x:v>Matte Black</x:v>
      </x:c>
      <x:c r="K307" s="82" t="str">
        <x:v>"RWB", "RAUH-Welt" on both sides</x:v>
      </x:c>
      <x:c r="L307" s="82" t="str">
        <x:v>Chrome &amp; Black RR6SPM</x:v>
      </x:c>
      <x:c r="M307" s="82" t="str">
        <x:v>Gray / / / Metal</x:v>
      </x:c>
      <x:c r="N307" s="82" t="str">
        <x:v>Dark</x:v>
      </x:c>
      <x:c r="O307" s="82" t="str">
        <x:v>Black</x:v>
      </x:c>
      <x:c r="P307" s="82" t="str">
        <x:v>Thailand</x:v>
      </x:c>
      <x:c r="Q307" s="82" t="str"/>
      <x:c r="R307" s="82" t="str">
        <x:v>Premium</x:v>
      </x:c>
      <x:c r="S307" s="82" t="str">
        <x:v>Incomum</x:v>
      </x:c>
      <x:c r="T307" s="82" t="str">
        <x:v>Lançado</x:v>
      </x:c>
      <x:c r="U307" s="82" t="str">
        <x:v>Base code(s): M07, M08, M09, M21</x:v>
      </x:c>
      <x:c r="V307" s="80" t="str">
        <x:v>Coleção principal (~1:64)</x:v>
      </x:c>
      <x:c r="W307" s="82" t="str">
        <x:v>https://hotwheels.fandom.com/wiki/RWB_Porsche_930</x:v>
      </x:c>
      <x:c r="X307" s="82" t="str">
        <x:v>https://hotwheels.fandom.com/wiki/RWB_Porsche_930</x:v>
      </x:c>
    </x:row>
    <x:row r="308">
      <x:c r="A308" s="80" t="str">
        <x:v>Não</x:v>
      </x:c>
      <x:c r="B308" s="80" t="str">
        <x:v>2 — Completar aos poucos</x:v>
      </x:c>
      <x:c r="C308" s="81" t="n">
        <x:v>2018</x:v>
      </x:c>
      <x:c r="D308" s="80" t="str">
        <x:v>'71 Porsche 911</x:v>
      </x:c>
      <x:c r="E308" s="80" t="str">
        <x:v>'71 Porsche 911</x:v>
      </x:c>
      <x:c r="F308" s="82" t="str">
        <x:v>Nightburnerz / 10/10</x:v>
      </x:c>
      <x:c r="G308" s="80" t="str"/>
      <x:c r="H308" s="80" t="str">
        <x:v>235/365</x:v>
      </x:c>
      <x:c r="I308" s="83" t="str">
        <x:v>FKB02</x:v>
      </x:c>
      <x:c r="J308" s="80" t="str">
        <x:v>White &amp; Blue</x:v>
      </x:c>
      <x:c r="K308" s="82" t="str">
        <x:v>'Momo', #277 hood on top, Porsche striping, 'fifteen52' on sides, Urban Outlaw on sides and roof</x:v>
      </x:c>
      <x:c r="L308" s="82" t="str">
        <x:v>Chrome / Orange / 5SP</x:v>
      </x:c>
      <x:c r="M308" s="82" t="str">
        <x:v>Red / / / Plastic</x:v>
      </x:c>
      <x:c r="N308" s="82" t="str">
        <x:v>Clear</x:v>
      </x:c>
      <x:c r="O308" s="82" t="str">
        <x:v>Black</x:v>
      </x:c>
      <x:c r="P308" s="82" t="str">
        <x:v>Malaysia</x:v>
      </x:c>
      <x:c r="Q308" s="82" t="str"/>
      <x:c r="R308" s="82" t="str">
        <x:v>Mainline</x:v>
      </x:c>
      <x:c r="S308" s="82" t="str">
        <x:v>Comum / atual</x:v>
      </x:c>
      <x:c r="T308" s="82" t="str">
        <x:v>Lançado</x:v>
      </x:c>
      <x:c r="U308" s="82" t="str">
        <x:v>Urban Outlaw / New Model / Base code(s): L11, L13, L14</x:v>
      </x:c>
      <x:c r="V308" s="80" t="str">
        <x:v>Coleção principal (~1:64)</x:v>
      </x:c>
      <x:c r="W308" s="82" t="str">
        <x:v>https://hotwheels.fandom.com/wiki/%2771_Porsche_911</x:v>
      </x:c>
      <x:c r="X308" s="82" t="str">
        <x:v>https://hotwheels.fandom.com/wiki/%2771_Porsche_911</x:v>
      </x:c>
    </x:row>
    <x:row r="309">
      <x:c r="A309" s="80" t="str">
        <x:v>Não</x:v>
      </x:c>
      <x:c r="B309" s="80" t="str">
        <x:v>2 — Completar aos poucos</x:v>
      </x:c>
      <x:c r="C309" s="81" t="n">
        <x:v>2018</x:v>
      </x:c>
      <x:c r="D309" s="80" t="str">
        <x:v>'71 Porsche 911</x:v>
      </x:c>
      <x:c r="E309" s="80" t="str">
        <x:v>'71 Porsche 911</x:v>
      </x:c>
      <x:c r="F309" s="82" t="str">
        <x:v>Nightburnerz / 10/10</x:v>
      </x:c>
      <x:c r="G309" s="80" t="str"/>
      <x:c r="H309" s="80" t="str">
        <x:v>115/365</x:v>
      </x:c>
      <x:c r="I309" s="83" t="str">
        <x:v>FJV41</x:v>
      </x:c>
      <x:c r="J309" s="80" t="str">
        <x:v>White &amp; Red</x:v>
      </x:c>
      <x:c r="K309" s="82" t="str">
        <x:v>'Momo', #277 on hood and top, Porsche striping, 'fifteen52' on sides, Urban Outlaw on sides and roof</x:v>
      </x:c>
      <x:c r="L309" s="82" t="str">
        <x:v>Grey / 5SP</x:v>
      </x:c>
      <x:c r="M309" s="82" t="str">
        <x:v>Blue / / / Plastic</x:v>
      </x:c>
      <x:c r="N309" s="82" t="str">
        <x:v>Clear</x:v>
      </x:c>
      <x:c r="O309" s="82" t="str">
        <x:v>Black</x:v>
      </x:c>
      <x:c r="P309" s="82" t="str">
        <x:v>Malaysia</x:v>
      </x:c>
      <x:c r="Q309" s="82" t="str"/>
      <x:c r="R309" s="82" t="str">
        <x:v>Mainline</x:v>
      </x:c>
      <x:c r="S309" s="82" t="str">
        <x:v>Comum / atual</x:v>
      </x:c>
      <x:c r="T309" s="82" t="str">
        <x:v>Lançado</x:v>
      </x:c>
      <x:c r="U309" s="82" t="str">
        <x:v>Urban Outlaw / New Model / Base code(s): K45, K47, K50</x:v>
      </x:c>
      <x:c r="V309" s="80" t="str">
        <x:v>Coleção principal (~1:64)</x:v>
      </x:c>
      <x:c r="W309" s="82" t="str">
        <x:v>https://hotwheels.fandom.com/wiki/%2771_Porsche_911</x:v>
      </x:c>
      <x:c r="X309" s="82" t="str">
        <x:v>https://hotwheels.fandom.com/wiki/%2771_Porsche_911</x:v>
      </x:c>
    </x:row>
    <x:row r="310">
      <x:c r="A310" s="80" t="str">
        <x:v>Não</x:v>
      </x:c>
      <x:c r="B310" s="80" t="str">
        <x:v>2 — Completar aos poucos</x:v>
      </x:c>
      <x:c r="C310" s="81" t="n">
        <x:v>2018</x:v>
      </x:c>
      <x:c r="D310" s="80" t="str">
        <x:v>'71 Porsche 911</x:v>
      </x:c>
      <x:c r="E310" s="80" t="str">
        <x:v>'71 Porsche 911</x:v>
      </x:c>
      <x:c r="F310" s="82" t="str">
        <x:v>Nightburnerz / 10/10</x:v>
      </x:c>
      <x:c r="G310" s="80" t="str"/>
      <x:c r="H310" s="80" t="str">
        <x:v>235/365</x:v>
      </x:c>
      <x:c r="I310" s="83" t="str">
        <x:v>FJV41</x:v>
      </x:c>
      <x:c r="J310" s="80" t="str">
        <x:v>Zamac</x:v>
      </x:c>
      <x:c r="K310" s="82" t="str">
        <x:v>'Momo', #277 hood on top, Porsche striping, 'fifteen52' on sides, Urban Outlaw on sides and roof</x:v>
      </x:c>
      <x:c r="L310" s="82" t="str">
        <x:v>Grey / 5SP</x:v>
      </x:c>
      <x:c r="M310" s="82" t="str">
        <x:v>Blue / / / Plastic</x:v>
      </x:c>
      <x:c r="N310" s="82" t="str">
        <x:v>Clear</x:v>
      </x:c>
      <x:c r="O310" s="82" t="str">
        <x:v>Black</x:v>
      </x:c>
      <x:c r="P310" s="82" t="str">
        <x:v>Malaysia</x:v>
      </x:c>
      <x:c r="Q310" s="82" t="str">
        <x:v>ZAMAC</x:v>
      </x:c>
      <x:c r="R310" s="82" t="str">
        <x:v>Mainline</x:v>
      </x:c>
      <x:c r="S310" s="82" t="str">
        <x:v>Rara</x:v>
      </x:c>
      <x:c r="T310" s="82" t="str">
        <x:v>Lançado</x:v>
      </x:c>
      <x:c r="U310" s="82" t="str">
        <x:v>Urban Outlaw / Employee Car - Rumored to be only 71 produced for the team members who worked on car design.</x:v>
      </x:c>
      <x:c r="V310" s="80" t="str">
        <x:v>Coleção principal (~1:64)</x:v>
      </x:c>
      <x:c r="W310" s="82" t="str">
        <x:v>https://hotwheels.fandom.com/wiki/%2771_Porsche_911</x:v>
      </x:c>
      <x:c r="X310" s="82" t="str">
        <x:v>https://hotwheels.fandom.com/wiki/%2771_Porsche_911</x:v>
      </x:c>
    </x:row>
    <x:row r="311">
      <x:c r="A311" s="80" t="str">
        <x:v>Não</x:v>
      </x:c>
      <x:c r="B311" s="80" t="str">
        <x:v>2 — Completar aos poucos</x:v>
      </x:c>
      <x:c r="C311" s="81" t="n">
        <x:v>2018</x:v>
      </x:c>
      <x:c r="D311" s="80" t="str">
        <x:v>Porsche 356 Speedster</x:v>
      </x:c>
      <x:c r="E311" s="80" t="str">
        <x:v>Porsche 356 Speedster</x:v>
      </x:c>
      <x:c r="F311" s="82" t="str">
        <x:v>Car Culture: Team Transport / #1</x:v>
      </x:c>
      <x:c r="G311" s="80" t="str"/>
      <x:c r="H311" s="80" t="str"/>
      <x:c r="I311" s="83" t="str">
        <x:v>FLF61</x:v>
      </x:c>
      <x:c r="J311" s="80" t="str">
        <x:v>Metallic Gray</x:v>
      </x:c>
      <x:c r="K311" s="82" t="str">
        <x:v>White Hood &amp; Rear, '356' &amp; Red, White &amp; Blue Stripes on side, rear Californian gold on black license plate "356 MAG"</x:v>
      </x:c>
      <x:c r="L311" s="82" t="str">
        <x:v>RRF52O</x:v>
      </x:c>
      <x:c r="M311" s="82" t="str">
        <x:v>ZAMAC</x:v>
      </x:c>
      <x:c r="N311" s="82" t="str">
        <x:v>Clear</x:v>
      </x:c>
      <x:c r="O311" s="82" t="str">
        <x:v>Red</x:v>
      </x:c>
      <x:c r="P311" s="82" t="str">
        <x:v>Thailand</x:v>
      </x:c>
      <x:c r="Q311" s="82" t="str"/>
      <x:c r="R311" s="82" t="str">
        <x:v>Premium</x:v>
      </x:c>
      <x:c r="S311" s="82" t="str">
        <x:v>Incomum</x:v>
      </x:c>
      <x:c r="T311" s="82" t="str">
        <x:v>Lançado</x:v>
      </x:c>
      <x:c r="U311" s="82" t="str"/>
      <x:c r="V311" s="80" t="str">
        <x:v>Coleção principal (~1:64)</x:v>
      </x:c>
      <x:c r="W311" s="82" t="str">
        <x:v>https://hotwheels.fandom.com/wiki/Porsche_356_Speedster</x:v>
      </x:c>
      <x:c r="X311" s="82" t="str">
        <x:v>https://hotwheels.fandom.com/wiki/Porsche_356_Speedster</x:v>
      </x:c>
    </x:row>
    <x:row r="312">
      <x:c r="A312" s="80" t="str">
        <x:v>Não</x:v>
      </x:c>
      <x:c r="B312" s="80" t="str">
        <x:v>2 — Completar aos poucos</x:v>
      </x:c>
      <x:c r="C312" s="81" t="n">
        <x:v>2018</x:v>
      </x:c>
      <x:c r="D312" s="80" t="str">
        <x:v>Porsche 911 GT3 RS (2011)</x:v>
      </x:c>
      <x:c r="E312" s="80" t="str">
        <x:v>Porsche 911 GT3 RS</x:v>
      </x:c>
      <x:c r="F312" s="82" t="str">
        <x:v>Multipack Exclusive</x:v>
      </x:c>
      <x:c r="G312" s="80" t="str"/>
      <x:c r="H312" s="80" t="str"/>
      <x:c r="I312" s="83" t="str">
        <x:v>X6999</x:v>
      </x:c>
      <x:c r="J312" s="80" t="str">
        <x:v>Blue</x:v>
      </x:c>
      <x:c r="K312" s="82" t="str">
        <x:v>Porsche logo, White stripe w/ 'GT3 RS' on sides</x:v>
      </x:c>
      <x:c r="L312" s="82" t="str">
        <x:v>White PR5</x:v>
      </x:c>
      <x:c r="M312" s="82" t="str">
        <x:v>Black / / / Plastic</x:v>
      </x:c>
      <x:c r="N312" s="82" t="str">
        <x:v>Clear</x:v>
      </x:c>
      <x:c r="O312" s="82" t="str">
        <x:v>Red</x:v>
      </x:c>
      <x:c r="P312" s="82" t="str">
        <x:v>Malaysia</x:v>
      </x:c>
      <x:c r="Q312" s="82" t="str"/>
      <x:c r="R312" s="82" t="str">
        <x:v>Temática / multipack</x:v>
      </x:c>
      <x:c r="S312" s="82" t="str">
        <x:v>Comum / atual</x:v>
      </x:c>
      <x:c r="T312" s="82" t="str">
        <x:v>Lançado</x:v>
      </x:c>
      <x:c r="U312" s="82" t="str">
        <x:v>Base code(s): K47</x:v>
      </x:c>
      <x:c r="V312" s="80" t="str">
        <x:v>Coleção principal (~1:64)</x:v>
      </x:c>
      <x:c r="W312" s="82" t="str">
        <x:v>https://hotwheels.fandom.com/wiki/Porsche_911_GT3_RS_(2011)</x:v>
      </x:c>
      <x:c r="X312" s="82" t="str">
        <x:v>https://hotwheels.fandom.com/wiki/Porsche_911_GT3_RS_(2011)</x:v>
      </x:c>
    </x:row>
    <x:row r="313">
      <x:c r="A313" s="80" t="str">
        <x:v>Não</x:v>
      </x:c>
      <x:c r="B313" s="80" t="str">
        <x:v>2 — Completar aos poucos</x:v>
      </x:c>
      <x:c r="C313" s="81" t="n">
        <x:v>2018</x:v>
      </x:c>
      <x:c r="D313" s="80" t="str">
        <x:v>Porsche 911 GT3 RS (2016)</x:v>
      </x:c>
      <x:c r="E313" s="80" t="str">
        <x:v>Porsche 911 GT3 RS</x:v>
      </x:c>
      <x:c r="F313" s="82" t="str">
        <x:v>Employee Exclusive</x:v>
      </x:c>
      <x:c r="G313" s="80" t="str"/>
      <x:c r="H313" s="80" t="str"/>
      <x:c r="I313" s="83" t="str">
        <x:v>GBR70</x:v>
      </x:c>
      <x:c r="J313" s="80" t="str">
        <x:v>White</x:v>
      </x:c>
      <x:c r="K313" s="82" t="str">
        <x:v>Red Taillights, Black Accents, Details</x:v>
      </x:c>
      <x:c r="L313" s="82" t="str">
        <x:v>White RRA</x:v>
      </x:c>
      <x:c r="M313" s="82" t="str">
        <x:v>Black / / / Plastic</x:v>
      </x:c>
      <x:c r="N313" s="82" t="str">
        <x:v>Smoke tint</x:v>
      </x:c>
      <x:c r="O313" s="82" t="str">
        <x:v>Black</x:v>
      </x:c>
      <x:c r="P313" s="82" t="str">
        <x:v>Malaysia</x:v>
      </x:c>
      <x:c r="Q313" s="82" t="str"/>
      <x:c r="R313" s="82" t="str">
        <x:v>Outra linha</x:v>
      </x:c>
      <x:c r="S313" s="82" t="str">
        <x:v>Comum / atual</x:v>
      </x:c>
      <x:c r="T313" s="82" t="str">
        <x:v>Lançado</x:v>
      </x:c>
      <x:c r="U313" s="82" t="str">
        <x:v>Exclusively For The Hot Wheels Company / Base code(s):</x:v>
      </x:c>
      <x:c r="V313" s="80" t="str">
        <x:v>Coleção principal (~1:64)</x:v>
      </x:c>
      <x:c r="W313" s="82" t="str">
        <x:v>https://hotwheels.fandom.com/wiki/Porsche_911_GT3_RS_(2016)</x:v>
      </x:c>
      <x:c r="X313" s="82" t="str">
        <x:v>https://hotwheels.fandom.com/wiki/Porsche_911_GT3_RS_(2016)</x:v>
      </x:c>
    </x:row>
    <x:row r="314">
      <x:c r="A314" s="80" t="str">
        <x:v>Não</x:v>
      </x:c>
      <x:c r="B314" s="80" t="str">
        <x:v>2 — Completar aos poucos</x:v>
      </x:c>
      <x:c r="C314" s="81" t="n">
        <x:v>2018</x:v>
      </x:c>
      <x:c r="D314" s="80" t="str">
        <x:v>Porsche 911 GT3 RS (2016)</x:v>
      </x:c>
      <x:c r="E314" s="80" t="str">
        <x:v>Porsche 911 GT3 RS</x:v>
      </x:c>
      <x:c r="F314" s="82" t="str">
        <x:v>Then and Now / 7/10</x:v>
      </x:c>
      <x:c r="G314" s="80" t="str"/>
      <x:c r="H314" s="80" t="str">
        <x:v>047/365</x:v>
      </x:c>
      <x:c r="I314" s="83" t="str">
        <x:v>FJX93</x:v>
      </x:c>
      <x:c r="J314" s="80" t="str">
        <x:v>White</x:v>
      </x:c>
      <x:c r="K314" s="82" t="str">
        <x:v>'GT3 RS' lettering on rear</x:v>
      </x:c>
      <x:c r="L314" s="82" t="str">
        <x:v>Chrome &amp; Black J5</x:v>
      </x:c>
      <x:c r="M314" s="82" t="str">
        <x:v>Black / / / Plastic</x:v>
      </x:c>
      <x:c r="N314" s="82" t="str">
        <x:v>Smoke tint</x:v>
      </x:c>
      <x:c r="O314" s="82" t="str">
        <x:v>Black</x:v>
      </x:c>
      <x:c r="P314" s="82" t="str">
        <x:v>Malaysia</x:v>
      </x:c>
      <x:c r="Q314" s="82" t="str"/>
      <x:c r="R314" s="82" t="str">
        <x:v>Mainline</x:v>
      </x:c>
      <x:c r="S314" s="82" t="str">
        <x:v>Comum / atual</x:v>
      </x:c>
      <x:c r="T314" s="82" t="str">
        <x:v>Lançado</x:v>
      </x:c>
      <x:c r="U314" s="82" t="str">
        <x:v>Base code(s): K34, K37, K38, K39</x:v>
      </x:c>
      <x:c r="V314" s="80" t="str">
        <x:v>Coleção principal (~1:64)</x:v>
      </x:c>
      <x:c r="W314" s="82" t="str">
        <x:v>https://hotwheels.fandom.com/wiki/Porsche_911_GT3_RS_(2016)</x:v>
      </x:c>
      <x:c r="X314" s="82" t="str">
        <x:v>https://hotwheels.fandom.com/wiki/Porsche_911_GT3_RS_(2016)</x:v>
      </x:c>
    </x:row>
    <x:row r="315">
      <x:c r="A315" s="80" t="str">
        <x:v>Não</x:v>
      </x:c>
      <x:c r="B315" s="80" t="str">
        <x:v>2 — Completar aos poucos</x:v>
      </x:c>
      <x:c r="C315" s="81" t="n">
        <x:v>2018</x:v>
      </x:c>
      <x:c r="D315" s="80" t="str">
        <x:v>Porsche 911 GT3 RS (2016)</x:v>
      </x:c>
      <x:c r="E315" s="80" t="str">
        <x:v>Porsche 911 GT3 RS</x:v>
      </x:c>
      <x:c r="F315" s="82" t="str">
        <x:v>Then and Now / 7/10</x:v>
      </x:c>
      <x:c r="G315" s="80" t="str"/>
      <x:c r="H315" s="80" t="str"/>
      <x:c r="I315" s="83" t="str">
        <x:v>FKB77</x:v>
      </x:c>
      <x:c r="J315" s="80" t="str">
        <x:v>ZAMAC</x:v>
      </x:c>
      <x:c r="K315" s="82" t="str">
        <x:v>'GT3 RS' lettering on rear</x:v>
      </x:c>
      <x:c r="L315" s="82" t="str">
        <x:v>Chrome &amp; Black J5</x:v>
      </x:c>
      <x:c r="M315" s="82" t="str">
        <x:v>Black / / / Plastic</x:v>
      </x:c>
      <x:c r="N315" s="82" t="str">
        <x:v>Smoke tint</x:v>
      </x:c>
      <x:c r="O315" s="82" t="str">
        <x:v>Black</x:v>
      </x:c>
      <x:c r="P315" s="82" t="str">
        <x:v>Malaysia</x:v>
      </x:c>
      <x:c r="Q315" s="82" t="str">
        <x:v>ZAMAC, Walmart</x:v>
      </x:c>
      <x:c r="R315" s="82" t="str">
        <x:v>Mainline</x:v>
      </x:c>
      <x:c r="S315" s="82" t="str">
        <x:v>Rara</x:v>
      </x:c>
      <x:c r="T315" s="82" t="str">
        <x:v>Lançado</x:v>
      </x:c>
      <x:c r="U315" s="82" t="str">
        <x:v>Walmart Exclusive / Base code(s): K38, K44, K45</x:v>
      </x:c>
      <x:c r="V315" s="80" t="str">
        <x:v>Coleção principal (~1:64)</x:v>
      </x:c>
      <x:c r="W315" s="82" t="str">
        <x:v>https://hotwheels.fandom.com/wiki/Porsche_911_GT3_RS_(2016)</x:v>
      </x:c>
      <x:c r="X315" s="82" t="str">
        <x:v>https://hotwheels.fandom.com/wiki/Porsche_911_GT3_RS_(2016)</x:v>
      </x:c>
    </x:row>
    <x:row r="316">
      <x:c r="A316" s="80" t="str">
        <x:v>Não</x:v>
      </x:c>
      <x:c r="B316" s="80" t="str">
        <x:v>2 — Completar aos poucos</x:v>
      </x:c>
      <x:c r="C316" s="81" t="n">
        <x:v>2018</x:v>
      </x:c>
      <x:c r="D316" s="80" t="str">
        <x:v>Porsche 917 LH</x:v>
      </x:c>
      <x:c r="E316" s="80" t="str">
        <x:v>Porsche 917 LH</x:v>
      </x:c>
      <x:c r="F316" s="82" t="str">
        <x:v>Legends of Speed / 8/10</x:v>
      </x:c>
      <x:c r="G316" s="80" t="str"/>
      <x:c r="H316" s="80" t="str">
        <x:v>124/365</x:v>
      </x:c>
      <x:c r="I316" s="83" t="str">
        <x:v>FJV93</x:v>
      </x:c>
      <x:c r="J316" s="80" t="str">
        <x:v>Sky Blue</x:v>
      </x:c>
      <x:c r="K316" s="82" t="str">
        <x:v>Gulf logo, Firestone, #18 on both sides, Porsche logo, and Orange Stripe on top</x:v>
      </x:c>
      <x:c r="L316" s="82" t="str">
        <x:v>Gray / 5SP</x:v>
      </x:c>
      <x:c r="M316" s="82" t="str">
        <x:v>Sky Blue / / / Plastic</x:v>
      </x:c>
      <x:c r="N316" s="82" t="str">
        <x:v>Clear</x:v>
      </x:c>
      <x:c r="O316" s="82" t="str">
        <x:v>Black</x:v>
      </x:c>
      <x:c r="P316" s="82" t="str">
        <x:v>Malaysia</x:v>
      </x:c>
      <x:c r="Q316" s="82" t="str"/>
      <x:c r="R316" s="82" t="str">
        <x:v>Mainline</x:v>
      </x:c>
      <x:c r="S316" s="82" t="str">
        <x:v>Comum / atual</x:v>
      </x:c>
      <x:c r="T316" s="82" t="str">
        <x:v>Lançado</x:v>
      </x:c>
      <x:c r="U316" s="82" t="str">
        <x:v>New Model / Base code(s): K47, K48, K50, L01</x:v>
      </x:c>
      <x:c r="V316" s="80" t="str">
        <x:v>Coleção principal (~1:64)</x:v>
      </x:c>
      <x:c r="W316" s="82" t="str">
        <x:v>https://hotwheels.fandom.com/wiki/Porsche_917_LH</x:v>
      </x:c>
      <x:c r="X316" s="82" t="str">
        <x:v>https://hotwheels.fandom.com/wiki/Porsche_917_LH</x:v>
      </x:c>
    </x:row>
    <x:row r="317">
      <x:c r="A317" s="80" t="str">
        <x:v>Não</x:v>
      </x:c>
      <x:c r="B317" s="80" t="str">
        <x:v>2 — Completar aos poucos</x:v>
      </x:c>
      <x:c r="C317" s="81" t="n">
        <x:v>2018</x:v>
      </x:c>
      <x:c r="D317" s="80" t="str">
        <x:v>Porsche 917 LH</x:v>
      </x:c>
      <x:c r="E317" s="80" t="str">
        <x:v>Porsche 917 LH</x:v>
      </x:c>
      <x:c r="F317" s="82" t="str">
        <x:v>Legends of Speed / 8/10</x:v>
      </x:c>
      <x:c r="G317" s="80" t="str"/>
      <x:c r="H317" s="80" t="str">
        <x:v>269/365</x:v>
      </x:c>
      <x:c r="I317" s="83" t="str">
        <x:v>FJY12</x:v>
      </x:c>
      <x:c r="J317" s="80" t="str">
        <x:v>White</x:v>
      </x:c>
      <x:c r="K317" s="82" t="str">
        <x:v>Gulf logo, Firestone, #18 on both sides, Porsche logo, and Orange Stripe on top</x:v>
      </x:c>
      <x:c r="L317" s="82" t="str">
        <x:v>Gray / 5SP</x:v>
      </x:c>
      <x:c r="M317" s="82" t="str">
        <x:v>White / / / Plastic</x:v>
      </x:c>
      <x:c r="N317" s="82" t="str">
        <x:v>Clear</x:v>
      </x:c>
      <x:c r="O317" s="82" t="str">
        <x:v>Black</x:v>
      </x:c>
      <x:c r="P317" s="82" t="str">
        <x:v>Malaysia</x:v>
      </x:c>
      <x:c r="Q317" s="82" t="str"/>
      <x:c r="R317" s="82" t="str">
        <x:v>Mainline</x:v>
      </x:c>
      <x:c r="S317" s="82" t="str">
        <x:v>Comum / atual</x:v>
      </x:c>
      <x:c r="T317" s="82" t="str">
        <x:v>Lançado</x:v>
      </x:c>
      <x:c r="U317" s="82" t="str">
        <x:v>New Model / Base code(s): L12, L16, L20, L21</x:v>
      </x:c>
      <x:c r="V317" s="80" t="str">
        <x:v>Coleção principal (~1:64)</x:v>
      </x:c>
      <x:c r="W317" s="82" t="str">
        <x:v>https://hotwheels.fandom.com/wiki/Porsche_917_LH</x:v>
      </x:c>
      <x:c r="X317" s="82" t="str">
        <x:v>https://hotwheels.fandom.com/wiki/Porsche_917_LH</x:v>
      </x:c>
    </x:row>
    <x:row r="318">
      <x:c r="A318" s="80" t="str">
        <x:v>Não</x:v>
      </x:c>
      <x:c r="B318" s="80" t="str">
        <x:v>2 — Completar aos poucos</x:v>
      </x:c>
      <x:c r="C318" s="81" t="n">
        <x:v>2018</x:v>
      </x:c>
      <x:c r="D318" s="80" t="str">
        <x:v>Porsche 918 Spyder</x:v>
      </x:c>
      <x:c r="E318" s="80" t="str">
        <x:v>Porsche 918 Spyder</x:v>
      </x:c>
      <x:c r="F318" s="82" t="str">
        <x:v>Factory Fresh / 2/10</x:v>
      </x:c>
      <x:c r="G318" s="80" t="str"/>
      <x:c r="H318" s="80" t="str">
        <x:v>184/365</x:v>
      </x:c>
      <x:c r="I318" s="83" t="str">
        <x:v>FPT66</x:v>
      </x:c>
      <x:c r="J318" s="80" t="str">
        <x:v>Metalflake Silver</x:v>
      </x:c>
      <x:c r="K318" s="82" t="str">
        <x:v>Engine pipes on back top, headlights &amp; Porsche emblem in front.</x:v>
      </x:c>
      <x:c r="L318" s="82" t="str">
        <x:v>Black 10SP</x:v>
      </x:c>
      <x:c r="M318" s="82" t="str">
        <x:v>Black / / / Plastic</x:v>
      </x:c>
      <x:c r="N318" s="82" t="str">
        <x:v>Tinted (Black)</x:v>
      </x:c>
      <x:c r="O318" s="82" t="str">
        <x:v>Black</x:v>
      </x:c>
      <x:c r="P318" s="82" t="str">
        <x:v>Malaysia</x:v>
      </x:c>
      <x:c r="Q318" s="82" t="str"/>
      <x:c r="R318" s="82" t="str">
        <x:v>Mainline</x:v>
      </x:c>
      <x:c r="S318" s="82" t="str">
        <x:v>Comum / atual</x:v>
      </x:c>
      <x:c r="T318" s="82" t="str">
        <x:v>Lançado</x:v>
      </x:c>
      <x:c r="U318" s="82" t="str"/>
      <x:c r="V318" s="80" t="str">
        <x:v>Coleção principal (~1:64)</x:v>
      </x:c>
      <x:c r="W318" s="82" t="str">
        <x:v>https://hotwheels.fandom.com/wiki/Porsche_918_Spyder</x:v>
      </x:c>
      <x:c r="X318" s="82" t="str">
        <x:v>https://hotwheels.fandom.com/wiki/Porsche_918_Spyder</x:v>
      </x:c>
    </x:row>
    <x:row r="319">
      <x:c r="A319" s="80" t="str">
        <x:v>Não</x:v>
      </x:c>
      <x:c r="B319" s="80" t="str">
        <x:v>2 — Completar aos poucos</x:v>
      </x:c>
      <x:c r="C319" s="81" t="n">
        <x:v>2018</x:v>
      </x:c>
      <x:c r="D319" s="80" t="str">
        <x:v>Porsche 918 Spyder</x:v>
      </x:c>
      <x:c r="E319" s="80" t="str">
        <x:v>Porsche 918 Spyder</x:v>
      </x:c>
      <x:c r="F319" s="82" t="str">
        <x:v>Factory Fresh / 2/10</x:v>
      </x:c>
      <x:c r="G319" s="80" t="str"/>
      <x:c r="H319" s="80" t="str">
        <x:v>292/365</x:v>
      </x:c>
      <x:c r="I319" s="83" t="str">
        <x:v>FJY16</x:v>
      </x:c>
      <x:c r="J319" s="80" t="str">
        <x:v>Red</x:v>
      </x:c>
      <x:c r="K319" s="82" t="str">
        <x:v>Engine pipes on back top, headlights &amp; Porsche emblem in front.</x:v>
      </x:c>
      <x:c r="L319" s="82" t="str">
        <x:v>10SP</x:v>
      </x:c>
      <x:c r="M319" s="82" t="str">
        <x:v>Black / / / Plastic</x:v>
      </x:c>
      <x:c r="N319" s="82" t="str">
        <x:v>Tinted (Black)</x:v>
      </x:c>
      <x:c r="O319" s="82" t="str">
        <x:v>Black</x:v>
      </x:c>
      <x:c r="P319" s="82" t="str">
        <x:v>Malaysia</x:v>
      </x:c>
      <x:c r="Q319" s="82" t="str"/>
      <x:c r="R319" s="82" t="str">
        <x:v>Mainline</x:v>
      </x:c>
      <x:c r="S319" s="82" t="str">
        <x:v>Comum / atual</x:v>
      </x:c>
      <x:c r="T319" s="82" t="str">
        <x:v>Lançado</x:v>
      </x:c>
      <x:c r="U319" s="82" t="str"/>
      <x:c r="V319" s="80" t="str">
        <x:v>Coleção principal (~1:64)</x:v>
      </x:c>
      <x:c r="W319" s="82" t="str">
        <x:v>https://hotwheels.fandom.com/wiki/Porsche_918_Spyder</x:v>
      </x:c>
      <x:c r="X319" s="82" t="str">
        <x:v>https://hotwheels.fandom.com/wiki/Porsche_918_Spyder</x:v>
      </x:c>
    </x:row>
    <x:row r="320">
      <x:c r="A320" s="80" t="str">
        <x:v>Não</x:v>
      </x:c>
      <x:c r="B320" s="80" t="str">
        <x:v>2 — Completar aos poucos</x:v>
      </x:c>
      <x:c r="C320" s="81" t="n">
        <x:v>2018</x:v>
      </x:c>
      <x:c r="D320" s="80" t="str">
        <x:v>Porsche 934 Turbo RSR</x:v>
      </x:c>
      <x:c r="E320" s="80" t="str">
        <x:v>Porsche 934 Turbo RSR</x:v>
      </x:c>
      <x:c r="F320" s="82" t="str">
        <x:v>Then and Now / 2/10</x:v>
      </x:c>
      <x:c r="G320" s="80" t="str"/>
      <x:c r="H320" s="80" t="str">
        <x:v>338/365</x:v>
      </x:c>
      <x:c r="I320" s="83" t="str">
        <x:v>FKB18</x:v>
      </x:c>
      <x:c r="J320" s="80" t="str">
        <x:v>Green</x:v>
      </x:c>
      <x:c r="K320" s="82" t="str">
        <x:v>Painted Headlights, Posche Logo on hood.</x:v>
      </x:c>
      <x:c r="L320" s="82" t="str">
        <x:v>Chrome rim MC5</x:v>
      </x:c>
      <x:c r="M320" s="82" t="str">
        <x:v>Grey Metalflake / / / Plastic</x:v>
      </x:c>
      <x:c r="N320" s="82" t="str">
        <x:v>Smoke tint</x:v>
      </x:c>
      <x:c r="O320" s="82" t="str">
        <x:v>Black</x:v>
      </x:c>
      <x:c r="P320" s="82" t="str">
        <x:v>Malaysia</x:v>
      </x:c>
      <x:c r="Q320" s="82" t="str"/>
      <x:c r="R320" s="82" t="str">
        <x:v>Mainline</x:v>
      </x:c>
      <x:c r="S320" s="82" t="str">
        <x:v>Comum / atual</x:v>
      </x:c>
      <x:c r="T320" s="82" t="str">
        <x:v>Lançado</x:v>
      </x:c>
      <x:c r="U320" s="82" t="str">
        <x:v>Base code(s): L22, L23, L25, L26, L27, L28</x:v>
      </x:c>
      <x:c r="V320" s="80" t="str">
        <x:v>Coleção principal (~1:64)</x:v>
      </x:c>
      <x:c r="W320" s="82" t="str">
        <x:v>https://hotwheels.fandom.com/wiki/Porsche_934_Turbo_RSR</x:v>
      </x:c>
      <x:c r="X320" s="82" t="str">
        <x:v>https://hotwheels.fandom.com/wiki/Porsche_934_Turbo_RSR</x:v>
      </x:c>
    </x:row>
    <x:row r="321">
      <x:c r="A321" s="80" t="str">
        <x:v>Não</x:v>
      </x:c>
      <x:c r="B321" s="80" t="str">
        <x:v>2 — Completar aos poucos</x:v>
      </x:c>
      <x:c r="C321" s="81" t="n">
        <x:v>2018</x:v>
      </x:c>
      <x:c r="D321" s="80" t="str">
        <x:v>Porsche 934 Turbo RSR</x:v>
      </x:c>
      <x:c r="E321" s="80" t="str">
        <x:v>Porsche 934 Turbo RSR</x:v>
      </x:c>
      <x:c r="F321" s="82" t="str">
        <x:v>Then and Now / 2/10</x:v>
      </x:c>
      <x:c r="G321" s="80" t="str"/>
      <x:c r="H321" s="80" t="str"/>
      <x:c r="I321" s="83" t="str">
        <x:v>FKC04</x:v>
      </x:c>
      <x:c r="J321" s="80" t="str">
        <x:v>Metalflake Silver</x:v>
      </x:c>
      <x:c r="K321" s="82" t="str">
        <x:v>Detailed headlights, Porsche logo on front, Black wing</x:v>
      </x:c>
      <x:c r="L321" s="82" t="str">
        <x:v>Chrome rim MC5</x:v>
      </x:c>
      <x:c r="M321" s="82" t="str">
        <x:v>Black / / / Plastic</x:v>
      </x:c>
      <x:c r="N321" s="82" t="str">
        <x:v>Smoke tint</x:v>
      </x:c>
      <x:c r="O321" s="82" t="str">
        <x:v>Black</x:v>
      </x:c>
      <x:c r="P321" s="82" t="str">
        <x:v>Malaysia</x:v>
      </x:c>
      <x:c r="Q321" s="82" t="str">
        <x:v>Kmart</x:v>
      </x:c>
      <x:c r="R321" s="82" t="str">
        <x:v>Mainline</x:v>
      </x:c>
      <x:c r="S321" s="82" t="str">
        <x:v>Rara</x:v>
      </x:c>
      <x:c r="T321" s="82" t="str">
        <x:v>Lançado</x:v>
      </x:c>
      <x:c r="U321" s="82" t="str">
        <x:v>Kmart Exclusive / Base code(s): K43</x:v>
      </x:c>
      <x:c r="V321" s="80" t="str">
        <x:v>Coleção principal (~1:64)</x:v>
      </x:c>
      <x:c r="W321" s="82" t="str">
        <x:v>https://hotwheels.fandom.com/wiki/Porsche_934_Turbo_RSR</x:v>
      </x:c>
      <x:c r="X321" s="82" t="str">
        <x:v>https://hotwheels.fandom.com/wiki/Porsche_934_Turbo_RSR</x:v>
      </x:c>
    </x:row>
    <x:row r="322">
      <x:c r="A322" s="80" t="str">
        <x:v>Não</x:v>
      </x:c>
      <x:c r="B322" s="80" t="str">
        <x:v>2 — Completar aos poucos</x:v>
      </x:c>
      <x:c r="C322" s="81" t="n">
        <x:v>2018</x:v>
      </x:c>
      <x:c r="D322" s="80" t="str">
        <x:v>Porsche 934 Turbo RSR</x:v>
      </x:c>
      <x:c r="E322" s="80" t="str">
        <x:v>Porsche 934 Turbo RSR</x:v>
      </x:c>
      <x:c r="F322" s="82" t="str">
        <x:v>Then and Now / 2/10</x:v>
      </x:c>
      <x:c r="G322" s="80" t="str"/>
      <x:c r="H322" s="80" t="str">
        <x:v>044/365</x:v>
      </x:c>
      <x:c r="I322" s="83" t="str">
        <x:v>FJX89</x:v>
      </x:c>
      <x:c r="J322" s="80" t="str">
        <x:v>White</x:v>
      </x:c>
      <x:c r="K322" s="82" t="str">
        <x:v>Detailed headlights, Porsche logo on front, Black wing</x:v>
      </x:c>
      <x:c r="L322" s="82" t="str">
        <x:v>Chrome rim MC5</x:v>
      </x:c>
      <x:c r="M322" s="82" t="str">
        <x:v>Grey Metalflake / / / Plastic</x:v>
      </x:c>
      <x:c r="N322" s="82" t="str">
        <x:v>Smoke tint</x:v>
      </x:c>
      <x:c r="O322" s="82" t="str">
        <x:v>Black</x:v>
      </x:c>
      <x:c r="P322" s="82" t="str">
        <x:v>Malaysia</x:v>
      </x:c>
      <x:c r="Q322" s="82" t="str"/>
      <x:c r="R322" s="82" t="str">
        <x:v>Mainline</x:v>
      </x:c>
      <x:c r="S322" s="82" t="str">
        <x:v>Comum / atual</x:v>
      </x:c>
      <x:c r="T322" s="82" t="str">
        <x:v>Lançado</x:v>
      </x:c>
      <x:c r="U322" s="82" t="str">
        <x:v>Base code(s): K33, K34, K35, K36, K39</x:v>
      </x:c>
      <x:c r="V322" s="80" t="str">
        <x:v>Coleção principal (~1:64)</x:v>
      </x:c>
      <x:c r="W322" s="82" t="str">
        <x:v>https://hotwheels.fandom.com/wiki/Porsche_934_Turbo_RSR</x:v>
      </x:c>
      <x:c r="X322" s="82" t="str">
        <x:v>https://hotwheels.fandom.com/wiki/Porsche_934_Turbo_RSR</x:v>
      </x:c>
    </x:row>
    <x:row r="323">
      <x:c r="A323" s="80" t="str">
        <x:v>Não</x:v>
      </x:c>
      <x:c r="B323" s="80" t="str">
        <x:v>2 — Completar aos poucos</x:v>
      </x:c>
      <x:c r="C323" s="81" t="n">
        <x:v>2018</x:v>
      </x:c>
      <x:c r="D323" s="80" t="str">
        <x:v>Porsche 934.5</x:v>
      </x:c>
      <x:c r="E323" s="80" t="str">
        <x:v>Porsche 934.5</x:v>
      </x:c>
      <x:c r="F323" s="82" t="str">
        <x:v>Nightburnerz / 2/10</x:v>
      </x:c>
      <x:c r="G323" s="80" t="str"/>
      <x:c r="H323" s="80" t="str">
        <x:v>064/365</x:v>
      </x:c>
      <x:c r="I323" s="83" t="str">
        <x:v>FJX65</x:v>
      </x:c>
      <x:c r="J323" s="80" t="str">
        <x:v>Blue</x:v>
      </x:c>
      <x:c r="K323" s="82" t="str">
        <x:v>White 34, Porsche, Headlights, Porsche logo</x:v>
      </x:c>
      <x:c r="L323" s="82" t="str">
        <x:v>White LW</x:v>
      </x:c>
      <x:c r="M323" s="82" t="str">
        <x:v>Black / / / Plastic</x:v>
      </x:c>
      <x:c r="N323" s="82" t="str">
        <x:v>Smoke tint</x:v>
      </x:c>
      <x:c r="O323" s="82" t="str">
        <x:v>Dark red</x:v>
      </x:c>
      <x:c r="P323" s="82" t="str">
        <x:v>Malaysia</x:v>
      </x:c>
      <x:c r="Q323" s="82" t="str"/>
      <x:c r="R323" s="82" t="str">
        <x:v>Mainline</x:v>
      </x:c>
      <x:c r="S323" s="82" t="str">
        <x:v>Comum / atual</x:v>
      </x:c>
      <x:c r="T323" s="82" t="str">
        <x:v>Lançado</x:v>
      </x:c>
      <x:c r="U323" s="82" t="str">
        <x:v>Base code(s): K37, K38, K39, K41, K44</x:v>
      </x:c>
      <x:c r="V323" s="80" t="str">
        <x:v>Coleção principal (~1:64)</x:v>
      </x:c>
      <x:c r="W323" s="82" t="str">
        <x:v>https://hotwheels.fandom.com/wiki/Porsche_934.5</x:v>
      </x:c>
      <x:c r="X323" s="82" t="str">
        <x:v>https://hotwheels.fandom.com/wiki/Porsche_934.5</x:v>
      </x:c>
    </x:row>
    <x:row r="324">
      <x:c r="A324" s="80" t="str">
        <x:v>Não</x:v>
      </x:c>
      <x:c r="B324" s="80" t="str">
        <x:v>2 — Completar aos poucos</x:v>
      </x:c>
      <x:c r="C324" s="81" t="n">
        <x:v>2018</x:v>
      </x:c>
      <x:c r="D324" s="80" t="str">
        <x:v>Porsche 934.5</x:v>
      </x:c>
      <x:c r="E324" s="80" t="str">
        <x:v>Porsche 934.5</x:v>
      </x:c>
      <x:c r="F324" s="82" t="str">
        <x:v>Nightburnerz / 2/10</x:v>
      </x:c>
      <x:c r="G324" s="80" t="str"/>
      <x:c r="H324" s="80" t="str"/>
      <x:c r="I324" s="83" t="str">
        <x:v>FKB79</x:v>
      </x:c>
      <x:c r="J324" s="80" t="str">
        <x:v>ZAMAC</x:v>
      </x:c>
      <x:c r="K324" s="82" t="str">
        <x:v>White 34, Porsche, Headlights, Porsche logo</x:v>
      </x:c>
      <x:c r="L324" s="82" t="str">
        <x:v>Red LW</x:v>
      </x:c>
      <x:c r="M324" s="82" t="str">
        <x:v>Black / / / Plastic</x:v>
      </x:c>
      <x:c r="N324" s="82" t="str">
        <x:v>Smoke tint</x:v>
      </x:c>
      <x:c r="O324" s="82" t="str">
        <x:v>Dark Red</x:v>
      </x:c>
      <x:c r="P324" s="82" t="str">
        <x:v>Malaysia</x:v>
      </x:c>
      <x:c r="Q324" s="82" t="str">
        <x:v>ZAMAC, Walmart</x:v>
      </x:c>
      <x:c r="R324" s="82" t="str">
        <x:v>Outra linha</x:v>
      </x:c>
      <x:c r="S324" s="82" t="str">
        <x:v>Rara</x:v>
      </x:c>
      <x:c r="T324" s="82" t="str">
        <x:v>Lançado</x:v>
      </x:c>
      <x:c r="U324" s="82" t="str">
        <x:v>Walmart Exclusive Base code(s): K51</x:v>
      </x:c>
      <x:c r="V324" s="80" t="str">
        <x:v>Coleção principal (~1:64)</x:v>
      </x:c>
      <x:c r="W324" s="82" t="str">
        <x:v>https://hotwheels.fandom.com/wiki/Porsche_934.5</x:v>
      </x:c>
      <x:c r="X324" s="82" t="str">
        <x:v>https://hotwheels.fandom.com/wiki/Porsche_934.5</x:v>
      </x:c>
    </x:row>
    <x:row r="325">
      <x:c r="A325" s="80" t="str">
        <x:v>Não</x:v>
      </x:c>
      <x:c r="B325" s="80" t="str">
        <x:v>2 — Completar aos poucos</x:v>
      </x:c>
      <x:c r="C325" s="81" t="n">
        <x:v>2018</x:v>
      </x:c>
      <x:c r="D325" s="80" t="str">
        <x:v>Porsche 962</x:v>
      </x:c>
      <x:c r="E325" s="80" t="str">
        <x:v>Porsche 962</x:v>
      </x:c>
      <x:c r="F325" s="82" t="str">
        <x:v>Car Culture: Circuit Legends / 4/5</x:v>
      </x:c>
      <x:c r="G325" s="80" t="str"/>
      <x:c r="H325" s="80" t="str"/>
      <x:c r="I325" s="83" t="str">
        <x:v>FLC29</x:v>
      </x:c>
      <x:c r="J325" s="80" t="str">
        <x:v>Black</x:v>
      </x:c>
      <x:c r="K325" s="82" t="str">
        <x:v>Advan livery, "25"</x:v>
      </x:c>
      <x:c r="L325" s="82" t="str">
        <x:v>White &amp; Black RRA</x:v>
      </x:c>
      <x:c r="M325" s="82" t="str">
        <x:v>Black / / / Metal</x:v>
      </x:c>
      <x:c r="N325" s="82" t="str">
        <x:v>Clear</x:v>
      </x:c>
      <x:c r="O325" s="82" t="str">
        <x:v>Black</x:v>
      </x:c>
      <x:c r="P325" s="82" t="str">
        <x:v>Thailand</x:v>
      </x:c>
      <x:c r="Q325" s="82" t="str"/>
      <x:c r="R325" s="82" t="str">
        <x:v>Premium</x:v>
      </x:c>
      <x:c r="S325" s="82" t="str">
        <x:v>Incomum</x:v>
      </x:c>
      <x:c r="T325" s="82" t="str">
        <x:v>Lançado</x:v>
      </x:c>
      <x:c r="U325" s="82" t="str">
        <x:v>Base code(s): L31, L32, L34</x:v>
      </x:c>
      <x:c r="V325" s="80" t="str">
        <x:v>Coleção principal (~1:64)</x:v>
      </x:c>
      <x:c r="W325" s="82" t="str">
        <x:v>https://hotwheels.fandom.com/wiki/Porsche_962</x:v>
      </x:c>
      <x:c r="X325" s="82" t="str">
        <x:v>https://hotwheels.fandom.com/wiki/Porsche_962</x:v>
      </x:c>
    </x:row>
    <x:row r="326">
      <x:c r="A326" s="80" t="str">
        <x:v>Não</x:v>
      </x:c>
      <x:c r="B326" s="80" t="str">
        <x:v>2 — Completar aos poucos</x:v>
      </x:c>
      <x:c r="C326" s="81" t="n">
        <x:v>2018</x:v>
      </x:c>
      <x:c r="D326" s="80" t="str">
        <x:v>Porsche 962</x:v>
      </x:c>
      <x:c r="E326" s="80" t="str">
        <x:v>Porsche 962</x:v>
      </x:c>
      <x:c r="F326" s="82" t="str">
        <x:v>Car Culture: Team Transport / #6</x:v>
      </x:c>
      <x:c r="G326" s="80" t="str"/>
      <x:c r="H326" s="80" t="str"/>
      <x:c r="I326" s="83" t="str">
        <x:v>FLF60</x:v>
      </x:c>
      <x:c r="J326" s="80" t="str">
        <x:v>Red</x:v>
      </x:c>
      <x:c r="K326" s="82" t="str">
        <x:v>Momo racing livery, "30", Bilstein and Hella sponsors</x:v>
      </x:c>
      <x:c r="L326" s="82" t="str">
        <x:v>Black RR10SP</x:v>
      </x:c>
      <x:c r="M326" s="82" t="str">
        <x:v>ZAMAC</x:v>
      </x:c>
      <x:c r="N326" s="82" t="str">
        <x:v>Smoke tint</x:v>
      </x:c>
      <x:c r="O326" s="82" t="str">
        <x:v>Gray</x:v>
      </x:c>
      <x:c r="P326" s="82" t="str">
        <x:v>Thailand</x:v>
      </x:c>
      <x:c r="Q326" s="82" t="str"/>
      <x:c r="R326" s="82" t="str">
        <x:v>Premium</x:v>
      </x:c>
      <x:c r="S326" s="82" t="str">
        <x:v>Incomum</x:v>
      </x:c>
      <x:c r="T326" s="82" t="str">
        <x:v>Lançado</x:v>
      </x:c>
      <x:c r="U326" s="82" t="str">
        <x:v>Base code(s): L29, L32, L36, L37, L49</x:v>
      </x:c>
      <x:c r="V326" s="80" t="str">
        <x:v>Coleção principal (~1:64)</x:v>
      </x:c>
      <x:c r="W326" s="82" t="str">
        <x:v>https://hotwheels.fandom.com/wiki/Porsche_962</x:v>
      </x:c>
      <x:c r="X326" s="82" t="str">
        <x:v>https://hotwheels.fandom.com/wiki/Porsche_962</x:v>
      </x:c>
    </x:row>
    <x:row r="327">
      <x:c r="A327" s="80" t="str">
        <x:v>Não</x:v>
      </x:c>
      <x:c r="B327" s="80" t="str">
        <x:v>2 — Completar aos poucos</x:v>
      </x:c>
      <x:c r="C327" s="81" t="n">
        <x:v>2018</x:v>
      </x:c>
      <x:c r="D327" s="80" t="str">
        <x:v>Porsche 993 GT2</x:v>
      </x:c>
      <x:c r="E327" s="80" t="str">
        <x:v>Porsche 993 GT2</x:v>
      </x:c>
      <x:c r="F327" s="82" t="str">
        <x:v>Car Culture: Eurospeed / 4/5</x:v>
      </x:c>
      <x:c r="G327" s="80" t="str"/>
      <x:c r="H327" s="80" t="str"/>
      <x:c r="I327" s="83" t="str">
        <x:v>FLC17</x:v>
      </x:c>
      <x:c r="J327" s="80" t="str">
        <x:v>Metallic Silver</x:v>
      </x:c>
      <x:c r="K327" s="82" t="str">
        <x:v>Urban Outlaw logo on roof; Outlaw on spoiler &amp; plate; black hood</x:v>
      </x:c>
      <x:c r="L327" s="82" t="str">
        <x:v>Black RR10SP</x:v>
      </x:c>
      <x:c r="M327" s="82" t="str">
        <x:v>ZAMAC</x:v>
      </x:c>
      <x:c r="N327" s="82" t="str">
        <x:v>Smoke tint</x:v>
      </x:c>
      <x:c r="O327" s="82" t="str">
        <x:v>Black</x:v>
      </x:c>
      <x:c r="P327" s="82" t="str">
        <x:v>Thailand</x:v>
      </x:c>
      <x:c r="Q327" s="82" t="str"/>
      <x:c r="R327" s="82" t="str">
        <x:v>Premium</x:v>
      </x:c>
      <x:c r="S327" s="82" t="str">
        <x:v>Incomum</x:v>
      </x:c>
      <x:c r="T327" s="82" t="str">
        <x:v>Lançado</x:v>
      </x:c>
      <x:c r="U327" s="82" t="str">
        <x:v>Base code(s): L11, L12, L13</x:v>
      </x:c>
      <x:c r="V327" s="80" t="str">
        <x:v>Coleção principal (~1:64)</x:v>
      </x:c>
      <x:c r="W327" s="82" t="str">
        <x:v>https://hotwheels.fandom.com/wiki/Porsche_993_GT2</x:v>
      </x:c>
      <x:c r="X327" s="82" t="str">
        <x:v>https://hotwheels.fandom.com/wiki/Porsche_993_GT2</x:v>
      </x:c>
    </x:row>
    <x:row r="328">
      <x:c r="A328" s="80" t="str">
        <x:v>Não</x:v>
      </x:c>
      <x:c r="B328" s="80" t="str">
        <x:v>2 — Completar aos poucos</x:v>
      </x:c>
      <x:c r="C328" s="81" t="n">
        <x:v>2018</x:v>
      </x:c>
      <x:c r="D328" s="80" t="str">
        <x:v>Porsche Panamera</x:v>
      </x:c>
      <x:c r="E328" s="80" t="str">
        <x:v>Porsche Panamera</x:v>
      </x:c>
      <x:c r="F328" s="82" t="str">
        <x:v>HW Metro / 8/10</x:v>
      </x:c>
      <x:c r="G328" s="80" t="str"/>
      <x:c r="H328" s="80" t="str">
        <x:v>303 / / / 365</x:v>
      </x:c>
      <x:c r="I328" s="83" t="str">
        <x:v>FJW87</x:v>
      </x:c>
      <x:c r="J328" s="80" t="str">
        <x:v>White</x:v>
      </x:c>
      <x:c r="K328" s="82" t="str">
        <x:v>Blue and fluorescent yellow checkering, Police, Police Badge</x:v>
      </x:c>
      <x:c r="L328" s="82" t="str">
        <x:v>OH5</x:v>
      </x:c>
      <x:c r="M328" s="82" t="str">
        <x:v>Black / / / Plastic</x:v>
      </x:c>
      <x:c r="N328" s="82" t="str">
        <x:v>Smoke tint</x:v>
      </x:c>
      <x:c r="O328" s="82" t="str">
        <x:v>Gray</x:v>
      </x:c>
      <x:c r="P328" s="82" t="str">
        <x:v>Malaysia</x:v>
      </x:c>
      <x:c r="Q328" s="82" t="str"/>
      <x:c r="R328" s="82" t="str">
        <x:v>Mainline</x:v>
      </x:c>
      <x:c r="S328" s="82" t="str">
        <x:v>Comum / atual</x:v>
      </x:c>
      <x:c r="T328" s="82" t="str">
        <x:v>Lançado</x:v>
      </x:c>
      <x:c r="U328" s="82" t="str">
        <x:v>Base code(s): L19, L20, L21, L22, L23, L24, L26</x:v>
      </x:c>
      <x:c r="V328" s="80" t="str">
        <x:v>Coleção principal (~1:64)</x:v>
      </x:c>
      <x:c r="W328" s="82" t="str">
        <x:v>https://hotwheels.fandom.com/wiki/Porsche_Panamera</x:v>
      </x:c>
      <x:c r="X328" s="82" t="str">
        <x:v>https://hotwheels.fandom.com/wiki/Porsche_Panamera</x:v>
      </x:c>
    </x:row>
    <x:row r="329">
      <x:c r="A329" s="80" t="str">
        <x:v>Não</x:v>
      </x:c>
      <x:c r="B329" s="80" t="str">
        <x:v>2 — Completar aos poucos</x:v>
      </x:c>
      <x:c r="C329" s="81" t="n">
        <x:v>2017</x:v>
      </x:c>
      <x:c r="D329" s="80" t="str">
        <x:v>'78 Porsche 935-78</x:v>
      </x:c>
      <x:c r="E329" s="80" t="str">
        <x:v>'78 Porsche 935-78</x:v>
      </x:c>
      <x:c r="F329" s="82" t="str">
        <x:v>Car Culture: Race Day / 1/5</x:v>
      </x:c>
      <x:c r="G329" s="80" t="str"/>
      <x:c r="H329" s="80" t="str"/>
      <x:c r="I329" s="83" t="str">
        <x:v>DWH78</x:v>
      </x:c>
      <x:c r="J329" s="80" t="str">
        <x:v>Red</x:v>
      </x:c>
      <x:c r="K329" s="82" t="str">
        <x:v>78 'MOMO' design on sides and top</x:v>
      </x:c>
      <x:c r="L329" s="82" t="str">
        <x:v>Red RRA</x:v>
      </x:c>
      <x:c r="M329" s="82" t="str">
        <x:v>ZAMAC</x:v>
      </x:c>
      <x:c r="N329" s="82" t="str">
        <x:v>Clear</x:v>
      </x:c>
      <x:c r="O329" s="82" t="str">
        <x:v>Black</x:v>
      </x:c>
      <x:c r="P329" s="82" t="str">
        <x:v>Thailand</x:v>
      </x:c>
      <x:c r="Q329" s="82" t="str"/>
      <x:c r="R329" s="82" t="str">
        <x:v>Premium</x:v>
      </x:c>
      <x:c r="S329" s="82" t="str">
        <x:v>Incomum</x:v>
      </x:c>
      <x:c r="T329" s="82" t="str">
        <x:v>Lançado</x:v>
      </x:c>
      <x:c r="U329" s="82" t="str"/>
      <x:c r="V329" s="80" t="str">
        <x:v>Coleção principal (~1:64)</x:v>
      </x:c>
      <x:c r="W329" s="82" t="str">
        <x:v>https://hotwheels.fandom.com/wiki/%2778_Porsche_935-78</x:v>
      </x:c>
      <x:c r="X329" s="82" t="str">
        <x:v>https://hotwheels.fandom.com/wiki/%2778_Porsche_935-78</x:v>
      </x:c>
    </x:row>
    <x:row r="330">
      <x:c r="A330" s="80" t="str">
        <x:v>Não</x:v>
      </x:c>
      <x:c r="B330" s="80" t="str">
        <x:v>2 — Completar aos poucos</x:v>
      </x:c>
      <x:c r="C330" s="81" t="n">
        <x:v>2017</x:v>
      </x:c>
      <x:c r="D330" s="80" t="str">
        <x:v>Porsche 356 Outlaw</x:v>
      </x:c>
      <x:c r="E330" s="80" t="str">
        <x:v>Porsche 356 Outlaw</x:v>
      </x:c>
      <x:c r="F330" s="82" t="str">
        <x:v>Car Culture: Air-Cooled / 3/5</x:v>
      </x:c>
      <x:c r="G330" s="80" t="str"/>
      <x:c r="H330" s="80" t="str"/>
      <x:c r="I330" s="83" t="str">
        <x:v>DWH72</x:v>
      </x:c>
      <x:c r="J330" s="80" t="str">
        <x:v>Dark Blue</x:v>
      </x:c>
      <x:c r="K330" s="82" t="str">
        <x:v>White circle w/ '356' on sides &amp; front, sponsor logos on sides</x:v>
      </x:c>
      <x:c r="L330" s="82" t="str">
        <x:v>RRSteelie</x:v>
      </x:c>
      <x:c r="M330" s="82" t="str">
        <x:v>ZAMAC</x:v>
      </x:c>
      <x:c r="N330" s="82" t="str">
        <x:v>Clear</x:v>
      </x:c>
      <x:c r="O330" s="82" t="str">
        <x:v>Grey</x:v>
      </x:c>
      <x:c r="P330" s="82" t="str">
        <x:v>Thailand</x:v>
      </x:c>
      <x:c r="Q330" s="82" t="str"/>
      <x:c r="R330" s="82" t="str">
        <x:v>Premium</x:v>
      </x:c>
      <x:c r="S330" s="82" t="str">
        <x:v>Incomum</x:v>
      </x:c>
      <x:c r="T330" s="82" t="str">
        <x:v>Lançado</x:v>
      </x:c>
      <x:c r="U330" s="82" t="str">
        <x:v>Named Porsche 356A Outlaw / Base code(s): J48, J52, K03</x:v>
      </x:c>
      <x:c r="V330" s="80" t="str">
        <x:v>Coleção principal (~1:64)</x:v>
      </x:c>
      <x:c r="W330" s="82" t="str">
        <x:v>https://hotwheels.fandom.com/wiki/Porsche_356_Outlaw</x:v>
      </x:c>
      <x:c r="X330" s="82" t="str">
        <x:v>https://hotwheels.fandom.com/wiki/Porsche_356_Outlaw</x:v>
      </x:c>
    </x:row>
    <x:row r="331">
      <x:c r="A331" s="80" t="str">
        <x:v>Não</x:v>
      </x:c>
      <x:c r="B331" s="80" t="str">
        <x:v>2 — Completar aos poucos</x:v>
      </x:c>
      <x:c r="C331" s="81" t="n">
        <x:v>2017</x:v>
      </x:c>
      <x:c r="D331" s="80" t="str">
        <x:v>Porsche 356 Outlaw</x:v>
      </x:c>
      <x:c r="E331" s="80" t="str">
        <x:v>Porsche 356 Outlaw</x:v>
      </x:c>
      <x:c r="F331" s="82" t="str">
        <x:v>Nightburnerz / 5/10</x:v>
      </x:c>
      <x:c r="G331" s="80" t="str"/>
      <x:c r="H331" s="80" t="str">
        <x:v>325/365</x:v>
      </x:c>
      <x:c r="I331" s="83" t="str">
        <x:v>DTX62</x:v>
      </x:c>
      <x:c r="J331" s="80" t="str">
        <x:v>Seafoam Green</x:v>
      </x:c>
      <x:c r="K331" s="82" t="str">
        <x:v>White circle w/ '50' on sides &amp; top, sponsor logos on sides, Yellow stripes on top</x:v>
      </x:c>
      <x:c r="L331" s="82" t="str">
        <x:v>Dark Grey 5SP</x:v>
      </x:c>
      <x:c r="M331" s="82" t="str">
        <x:v>Grey / / / Plastic</x:v>
      </x:c>
      <x:c r="N331" s="82" t="str">
        <x:v>Smoke tint</x:v>
      </x:c>
      <x:c r="O331" s="82" t="str">
        <x:v>Black</x:v>
      </x:c>
      <x:c r="P331" s="82" t="str">
        <x:v>Malaysia</x:v>
      </x:c>
      <x:c r="Q331" s="82" t="str"/>
      <x:c r="R331" s="82" t="str">
        <x:v>Mainline</x:v>
      </x:c>
      <x:c r="S331" s="82" t="str">
        <x:v>Comum / atual</x:v>
      </x:c>
      <x:c r="T331" s="82" t="str">
        <x:v>Lançado</x:v>
      </x:c>
      <x:c r="U331" s="82" t="str">
        <x:v>Named Porsche 356A Outlaw / Base code(s): K22, K23, K25, K27</x:v>
      </x:c>
      <x:c r="V331" s="80" t="str">
        <x:v>Coleção principal (~1:64)</x:v>
      </x:c>
      <x:c r="W331" s="82" t="str">
        <x:v>https://hotwheels.fandom.com/wiki/Porsche_356_Outlaw</x:v>
      </x:c>
      <x:c r="X331" s="82" t="str">
        <x:v>https://hotwheels.fandom.com/wiki/Porsche_356_Outlaw</x:v>
      </x:c>
    </x:row>
    <x:row r="332">
      <x:c r="A332" s="80" t="str">
        <x:v>Não</x:v>
      </x:c>
      <x:c r="B332" s="80" t="str">
        <x:v>2 — Completar aos poucos</x:v>
      </x:c>
      <x:c r="C332" s="81" t="n">
        <x:v>2017</x:v>
      </x:c>
      <x:c r="D332" s="80" t="str">
        <x:v>Porsche 356 Speedster</x:v>
      </x:c>
      <x:c r="E332" s="80" t="str">
        <x:v>Porsche 356 Speedster</x:v>
      </x:c>
      <x:c r="F332" s="82" t="str">
        <x:v>FRD90</x:v>
      </x:c>
      <x:c r="G332" s="80" t="str"/>
      <x:c r="H332" s="80" t="str">
        <x:v>Replica Entertainment: Forza Motorsport 5-Car Premium Set</x:v>
      </x:c>
      <x:c r="I332" s="83" t="str"/>
      <x:c r="J332" s="80" t="str">
        <x:v>Light Blue</x:v>
      </x:c>
      <x:c r="K332" s="82" t="str">
        <x:v>Front &amp; rear lights. Silver closures, FORZA logos on the sides &amp; Hood.</x:v>
      </x:c>
      <x:c r="L332" s="82" t="str">
        <x:v>Black (Chrome Rim) SRR</x:v>
      </x:c>
      <x:c r="M332" s="82" t="str">
        <x:v>ZAMAC</x:v>
      </x:c>
      <x:c r="N332" s="82" t="str">
        <x:v>Clear</x:v>
      </x:c>
      <x:c r="O332" s="82" t="str">
        <x:v>Black</x:v>
      </x:c>
      <x:c r="P332" s="82" t="str">
        <x:v>Malaysia</x:v>
      </x:c>
      <x:c r="Q332" s="82" t="str"/>
      <x:c r="R332" s="82" t="str">
        <x:v>Mainline</x:v>
      </x:c>
      <x:c r="S332" s="82" t="str">
        <x:v>Comum / atual</x:v>
      </x:c>
      <x:c r="T332" s="82" t="str">
        <x:v>Lançado</x:v>
      </x:c>
      <x:c r="U332" s="82" t="str"/>
      <x:c r="V332" s="80" t="str">
        <x:v>Coleção principal (~1:64)</x:v>
      </x:c>
      <x:c r="W332" s="82" t="str">
        <x:v>https://hotwheels.fandom.com/wiki/Porsche_356_Speedster</x:v>
      </x:c>
      <x:c r="X332" s="82" t="str">
        <x:v>https://hotwheels.fandom.com/wiki/Porsche_356_Speedster</x:v>
      </x:c>
    </x:row>
    <x:row r="333">
      <x:c r="A333" s="80" t="str">
        <x:v>Não</x:v>
      </x:c>
      <x:c r="B333" s="80" t="str">
        <x:v>2 — Completar aos poucos</x:v>
      </x:c>
      <x:c r="C333" s="81" t="n">
        <x:v>2017</x:v>
      </x:c>
      <x:c r="D333" s="80" t="str">
        <x:v>Porsche 356 Speedster</x:v>
      </x:c>
      <x:c r="E333" s="80" t="str">
        <x:v>Porsche 356 Speedster</x:v>
      </x:c>
      <x:c r="F333" s="82" t="str">
        <x:v>Replica Entertainment: Forza Motorsport "2017 Replica Entertainment")</x:v>
      </x:c>
      <x:c r="G333" s="80" t="str"/>
      <x:c r="H333" s="80" t="str"/>
      <x:c r="I333" s="83" t="str">
        <x:v>CFR09</x:v>
      </x:c>
      <x:c r="J333" s="80" t="str"/>
      <x:c r="K333" s="82" t="str"/>
      <x:c r="L333" s="82" t="str"/>
      <x:c r="M333" s="82" t="str"/>
      <x:c r="N333" s="82" t="str"/>
      <x:c r="O333" s="82" t="str"/>
      <x:c r="P333" s="82" t="str"/>
      <x:c r="Q333" s="82" t="str"/>
      <x:c r="R333" s="82" t="str">
        <x:v>Premium</x:v>
      </x:c>
      <x:c r="S333" s="82" t="str">
        <x:v>Incomum</x:v>
      </x:c>
      <x:c r="T333" s="82" t="str">
        <x:v>Lançado</x:v>
      </x:c>
      <x:c r="U333" s="82" t="str"/>
      <x:c r="V333" s="80" t="str">
        <x:v>Coleção principal (~1:64)</x:v>
      </x:c>
      <x:c r="W333" s="82" t="str">
        <x:v>https://hotwheels.fandom.com/wiki/Porsche</x:v>
      </x:c>
      <x:c r="X333" s="82" t="str">
        <x:v>https://hotwheels.fandom.com/wiki/Porsche_356_Speedster</x:v>
      </x:c>
    </x:row>
    <x:row r="334">
      <x:c r="A334" s="80" t="str">
        <x:v>Não</x:v>
      </x:c>
      <x:c r="B334" s="80" t="str">
        <x:v>2 — Completar aos poucos</x:v>
      </x:c>
      <x:c r="C334" s="81" t="n">
        <x:v>2017</x:v>
      </x:c>
      <x:c r="D334" s="80" t="str">
        <x:v>Porsche 356 Speedster</x:v>
      </x:c>
      <x:c r="E334" s="80" t="str">
        <x:v>Porsche 356 Speedster</x:v>
      </x:c>
      <x:c r="F334" s="82" t="str">
        <x:v>Replica Entertainment: Forza Motorsport / 1/5</x:v>
      </x:c>
      <x:c r="G334" s="80" t="str"/>
      <x:c r="H334" s="80" t="str"/>
      <x:c r="I334" s="83" t="str">
        <x:v>DWJ96</x:v>
      </x:c>
      <x:c r="J334" s="80" t="str">
        <x:v>Light Blue</x:v>
      </x:c>
      <x:c r="K334" s="82" t="str">
        <x:v>Front &amp; rear lights. Silver closures, FORZA logos on the sides &amp; Hood.</x:v>
      </x:c>
      <x:c r="L334" s="82" t="str">
        <x:v>Black (Chrome Rim) SRR</x:v>
      </x:c>
      <x:c r="M334" s="82" t="str">
        <x:v>ZAMAC</x:v>
      </x:c>
      <x:c r="N334" s="82" t="str">
        <x:v>Clear</x:v>
      </x:c>
      <x:c r="O334" s="82" t="str">
        <x:v>Black</x:v>
      </x:c>
      <x:c r="P334" s="82" t="str">
        <x:v>Malaysia</x:v>
      </x:c>
      <x:c r="Q334" s="82" t="str"/>
      <x:c r="R334" s="82" t="str">
        <x:v>Premium</x:v>
      </x:c>
      <x:c r="S334" s="82" t="str">
        <x:v>Incomum</x:v>
      </x:c>
      <x:c r="T334" s="82" t="str">
        <x:v>Lançado</x:v>
      </x:c>
      <x:c r="U334" s="82" t="str"/>
      <x:c r="V334" s="80" t="str">
        <x:v>Coleção principal (~1:64)</x:v>
      </x:c>
      <x:c r="W334" s="82" t="str">
        <x:v>https://hotwheels.fandom.com/wiki/Porsche_356_Speedster</x:v>
      </x:c>
      <x:c r="X334" s="82" t="str">
        <x:v>https://hotwheels.fandom.com/wiki/Porsche_356_Speedster</x:v>
      </x:c>
    </x:row>
    <x:row r="335">
      <x:c r="A335" s="80" t="str">
        <x:v>Não</x:v>
      </x:c>
      <x:c r="B335" s="80" t="str">
        <x:v>2 — Completar aos poucos</x:v>
      </x:c>
      <x:c r="C335" s="81" t="n">
        <x:v>2017</x:v>
      </x:c>
      <x:c r="D335" s="80" t="str">
        <x:v>Porsche 911 GT2</x:v>
      </x:c>
      <x:c r="E335" s="80" t="str">
        <x:v>Porsche 911 GT2</x:v>
      </x:c>
      <x:c r="F335" s="82" t="str">
        <x:v>Multipack Exclusive</x:v>
      </x:c>
      <x:c r="G335" s="80" t="str"/>
      <x:c r="H335" s="80" t="str"/>
      <x:c r="I335" s="83" t="str">
        <x:v>X6999</x:v>
      </x:c>
      <x:c r="J335" s="80" t="str">
        <x:v>Orange</x:v>
      </x:c>
      <x:c r="K335" s="82" t="str">
        <x:v>Blue &amp; white stripes on hood &amp; roof, GT2 on rear</x:v>
      </x:c>
      <x:c r="L335" s="82" t="str">
        <x:v>Chrome lip, black J5</x:v>
      </x:c>
      <x:c r="M335" s="82" t="str">
        <x:v>Gray / / / Plastic</x:v>
      </x:c>
      <x:c r="N335" s="82" t="str">
        <x:v>Tinted (Black)</x:v>
      </x:c>
      <x:c r="O335" s="82" t="str">
        <x:v>Black</x:v>
      </x:c>
      <x:c r="P335" s="82" t="str">
        <x:v>Malaysia</x:v>
      </x:c>
      <x:c r="Q335" s="82" t="str"/>
      <x:c r="R335" s="82" t="str">
        <x:v>Temática / multipack</x:v>
      </x:c>
      <x:c r="S335" s="82" t="str">
        <x:v>Comum / atual</x:v>
      </x:c>
      <x:c r="T335" s="82" t="str">
        <x:v>Lançado</x:v>
      </x:c>
      <x:c r="U335" s="82" t="str">
        <x:v>Updated Tooling / Base code(s): K11, K25</x:v>
      </x:c>
      <x:c r="V335" s="80" t="str">
        <x:v>Coleção principal (~1:64)</x:v>
      </x:c>
      <x:c r="W335" s="82" t="str">
        <x:v>https://hotwheels.fandom.com/wiki/Porsche_911_GT2</x:v>
      </x:c>
      <x:c r="X335" s="82" t="str">
        <x:v>https://hotwheels.fandom.com/wiki/Porsche_911_GT2</x:v>
      </x:c>
    </x:row>
    <x:row r="336">
      <x:c r="A336" s="80" t="str">
        <x:v>Não</x:v>
      </x:c>
      <x:c r="B336" s="80" t="str">
        <x:v>2 — Completar aos poucos</x:v>
      </x:c>
      <x:c r="C336" s="81" t="n">
        <x:v>2017</x:v>
      </x:c>
      <x:c r="D336" s="80" t="str">
        <x:v>Porsche 911 GT3 Cup</x:v>
      </x:c>
      <x:c r="E336" s="80" t="str">
        <x:v>Porsche 911 GT3 Cup</x:v>
      </x:c>
      <x:c r="F336" s="82" t="str">
        <x:v>Fast &amp; Furious 4/8</x:v>
      </x:c>
      <x:c r="G336" s="80" t="str"/>
      <x:c r="H336" s="80" t="str"/>
      <x:c r="I336" s="83" t="str">
        <x:v>DWF74</x:v>
      </x:c>
      <x:c r="J336" s="80" t="str">
        <x:v>Bright Blue</x:v>
      </x:c>
      <x:c r="K336" s="82" t="str">
        <x:v>Black stripe and "GT3 RS" on sides</x:v>
      </x:c>
      <x:c r="L336" s="82" t="str">
        <x:v>LW</x:v>
      </x:c>
      <x:c r="M336" s="82" t="str">
        <x:v>Black / Plastic</x:v>
      </x:c>
      <x:c r="N336" s="82" t="str">
        <x:v>Smoke tint</x:v>
      </x:c>
      <x:c r="O336" s="82" t="str">
        <x:v>Black</x:v>
      </x:c>
      <x:c r="P336" s="82" t="str">
        <x:v>Thailand</x:v>
      </x:c>
      <x:c r="Q336" s="82" t="str"/>
      <x:c r="R336" s="82" t="str">
        <x:v>Outra linha</x:v>
      </x:c>
      <x:c r="S336" s="82" t="str">
        <x:v>Comum / atual</x:v>
      </x:c>
      <x:c r="T336" s="82" t="str">
        <x:v>Lançado</x:v>
      </x:c>
      <x:c r="U336" s="82" t="str">
        <x:v>Named Porsche 911 GT3 RS Base code(s): J43, J44, J48, J50, J52, K02, K05</x:v>
      </x:c>
      <x:c r="V336" s="80" t="str">
        <x:v>Coleção principal (~1:64)</x:v>
      </x:c>
      <x:c r="W336" s="82" t="str">
        <x:v>https://hotwheels.fandom.com/wiki/Porsche_911_GT3_Cup</x:v>
      </x:c>
      <x:c r="X336" s="82" t="str">
        <x:v>https://hotwheels.fandom.com/wiki/Porsche_911_GT3_Cup</x:v>
      </x:c>
    </x:row>
    <x:row r="337">
      <x:c r="A337" s="80" t="str">
        <x:v>Não</x:v>
      </x:c>
      <x:c r="B337" s="80" t="str">
        <x:v>2 — Completar aos poucos</x:v>
      </x:c>
      <x:c r="C337" s="81" t="n">
        <x:v>2017</x:v>
      </x:c>
      <x:c r="D337" s="80" t="str">
        <x:v>Porsche 911 GT3 RS (2011)</x:v>
      </x:c>
      <x:c r="E337" s="80" t="str">
        <x:v>Porsche 911 GT3 RS</x:v>
      </x:c>
      <x:c r="F337" s="82" t="str">
        <x:v>FRD90</x:v>
      </x:c>
      <x:c r="G337" s="80" t="str"/>
      <x:c r="H337" s="80" t="str">
        <x:v>Replica Entertainment: Forza Motorsport 5-Car Premium Set</x:v>
      </x:c>
      <x:c r="I337" s="83" t="str"/>
      <x:c r="J337" s="80" t="str">
        <x:v>Unpainted &amp; Red</x:v>
      </x:c>
      <x:c r="K337" s="82" t="str">
        <x:v>FORZA logos on sides (White Ghosted), Red stripe w/ 'GT3 RS' on sides, red roof &amp; hood. Taillights not painted fully only half</x:v>
      </x:c>
      <x:c r="L337" s="82" t="str">
        <x:v>Black RR10SP</x:v>
      </x:c>
      <x:c r="M337" s="82" t="str">
        <x:v>Red / / / Metal</x:v>
      </x:c>
      <x:c r="N337" s="82" t="str">
        <x:v>Smoke tint</x:v>
      </x:c>
      <x:c r="O337" s="82" t="str">
        <x:v>Black</x:v>
      </x:c>
      <x:c r="P337" s="82" t="str">
        <x:v>Malaysia</x:v>
      </x:c>
      <x:c r="Q337" s="82" t="str"/>
      <x:c r="R337" s="82" t="str">
        <x:v>Mainline</x:v>
      </x:c>
      <x:c r="S337" s="82" t="str">
        <x:v>Comum / atual</x:v>
      </x:c>
      <x:c r="T337" s="82" t="str">
        <x:v>Lançado</x:v>
      </x:c>
      <x:c r="U337" s="82" t="str">
        <x:v>Base code(s): K36, K37, K39, K44, K45</x:v>
      </x:c>
      <x:c r="V337" s="80" t="str">
        <x:v>Coleção principal (~1:64)</x:v>
      </x:c>
      <x:c r="W337" s="82" t="str">
        <x:v>https://hotwheels.fandom.com/wiki/Porsche_911_GT3_RS_(2011)</x:v>
      </x:c>
      <x:c r="X337" s="82" t="str">
        <x:v>https://hotwheels.fandom.com/wiki/Porsche_911_GT3_RS_(2011)</x:v>
      </x:c>
    </x:row>
    <x:row r="338">
      <x:c r="A338" s="80" t="str">
        <x:v>Não</x:v>
      </x:c>
      <x:c r="B338" s="80" t="str">
        <x:v>2 — Completar aos poucos</x:v>
      </x:c>
      <x:c r="C338" s="81" t="n">
        <x:v>2017</x:v>
      </x:c>
      <x:c r="D338" s="80" t="str">
        <x:v>Porsche 911 GT3 RS (2011)</x:v>
      </x:c>
      <x:c r="E338" s="80" t="str">
        <x:v>Porsche 911 GT3 RS</x:v>
      </x:c>
      <x:c r="F338" s="82" t="str">
        <x:v>Multipack Exclusive</x:v>
      </x:c>
      <x:c r="G338" s="80" t="str"/>
      <x:c r="H338" s="80" t="str"/>
      <x:c r="I338" s="83" t="str">
        <x:v>X6999</x:v>
      </x:c>
      <x:c r="J338" s="80" t="str">
        <x:v>Satin Green</x:v>
      </x:c>
      <x:c r="K338" s="82" t="str">
        <x:v>Black stripe on sides</x:v>
      </x:c>
      <x:c r="L338" s="82" t="str">
        <x:v>PR5</x:v>
      </x:c>
      <x:c r="M338" s="82" t="str">
        <x:v>Black / / / Plastic</x:v>
      </x:c>
      <x:c r="N338" s="82" t="str">
        <x:v>Clear</x:v>
      </x:c>
      <x:c r="O338" s="82" t="str">
        <x:v>Grey</x:v>
      </x:c>
      <x:c r="P338" s="82" t="str">
        <x:v>Malaysia</x:v>
      </x:c>
      <x:c r="Q338" s="82" t="str"/>
      <x:c r="R338" s="82" t="str">
        <x:v>Temática / multipack</x:v>
      </x:c>
      <x:c r="S338" s="82" t="str">
        <x:v>Comum / atual</x:v>
      </x:c>
      <x:c r="T338" s="82" t="str">
        <x:v>Lançado</x:v>
      </x:c>
      <x:c r="U338" s="82" t="str">
        <x:v>Base code(s): K08, K29</x:v>
      </x:c>
      <x:c r="V338" s="80" t="str">
        <x:v>Coleção principal (~1:64)</x:v>
      </x:c>
      <x:c r="W338" s="82" t="str">
        <x:v>https://hotwheels.fandom.com/wiki/Porsche_911_GT3_RS_(2011)</x:v>
      </x:c>
      <x:c r="X338" s="82" t="str">
        <x:v>https://hotwheels.fandom.com/wiki/Porsche_911_GT3_RS_(2011)</x:v>
      </x:c>
    </x:row>
    <x:row r="339">
      <x:c r="A339" s="80" t="str">
        <x:v>Não</x:v>
      </x:c>
      <x:c r="B339" s="80" t="str">
        <x:v>2 — Completar aos poucos</x:v>
      </x:c>
      <x:c r="C339" s="81" t="n">
        <x:v>2017</x:v>
      </x:c>
      <x:c r="D339" s="80" t="str">
        <x:v>Porsche 911 GT3 RS (2011)</x:v>
      </x:c>
      <x:c r="E339" s="80" t="str">
        <x:v>Porsche 911 GT3 RS</x:v>
      </x:c>
      <x:c r="F339" s="82" t="str">
        <x:v>Replica Entertainment: Forza Motorsport / 3/5</x:v>
      </x:c>
      <x:c r="G339" s="80" t="str"/>
      <x:c r="H339" s="80" t="str"/>
      <x:c r="I339" s="83" t="str">
        <x:v>DWJ93</x:v>
      </x:c>
      <x:c r="J339" s="80" t="str">
        <x:v>Unpainted &amp; Red</x:v>
      </x:c>
      <x:c r="K339" s="82" t="str">
        <x:v>FORZA logos on sides (White Ghosted), Red stripe w/ 'GT3 RS' on sides, red roof &amp; hood. Taillights not painted fully only half</x:v>
      </x:c>
      <x:c r="L339" s="82" t="str">
        <x:v>Black RR10SP</x:v>
      </x:c>
      <x:c r="M339" s="82" t="str">
        <x:v>Red / / / Metal</x:v>
      </x:c>
      <x:c r="N339" s="82" t="str">
        <x:v>Smoke tint</x:v>
      </x:c>
      <x:c r="O339" s="82" t="str">
        <x:v>Black</x:v>
      </x:c>
      <x:c r="P339" s="82" t="str">
        <x:v>Malaysia</x:v>
      </x:c>
      <x:c r="Q339" s="82" t="str"/>
      <x:c r="R339" s="82" t="str">
        <x:v>Premium</x:v>
      </x:c>
      <x:c r="S339" s="82" t="str">
        <x:v>Incomum</x:v>
      </x:c>
      <x:c r="T339" s="82" t="str">
        <x:v>Lançado</x:v>
      </x:c>
      <x:c r="U339" s="82" t="str">
        <x:v>Base code(s): K36, K37, K39, K44, K45</x:v>
      </x:c>
      <x:c r="V339" s="80" t="str">
        <x:v>Coleção principal (~1:64)</x:v>
      </x:c>
      <x:c r="W339" s="82" t="str">
        <x:v>https://hotwheels.fandom.com/wiki/Porsche_911_GT3_RS_(2011)</x:v>
      </x:c>
      <x:c r="X339" s="82" t="str">
        <x:v>https://hotwheels.fandom.com/wiki/Porsche_911_GT3_RS_(2011)</x:v>
      </x:c>
    </x:row>
    <x:row r="340">
      <x:c r="A340" s="80" t="str">
        <x:v>Não</x:v>
      </x:c>
      <x:c r="B340" s="80" t="str">
        <x:v>2 — Completar aos poucos</x:v>
      </x:c>
      <x:c r="C340" s="81" t="n">
        <x:v>2017</x:v>
      </x:c>
      <x:c r="D340" s="80" t="str">
        <x:v>Porsche 911 GT3 RS (2016)</x:v>
      </x:c>
      <x:c r="E340" s="80" t="str">
        <x:v>Porsche 911 GT3 RS</x:v>
      </x:c>
      <x:c r="F340" s="82" t="str">
        <x:v>Nightburnerz / 6/10</x:v>
      </x:c>
      <x:c r="G340" s="80" t="str"/>
      <x:c r="H340" s="80" t="str">
        <x:v>117/365</x:v>
      </x:c>
      <x:c r="I340" s="83" t="str">
        <x:v>DTY80</x:v>
      </x:c>
      <x:c r="J340" s="80" t="str">
        <x:v>Birch Green</x:v>
      </x:c>
      <x:c r="K340" s="82" t="str">
        <x:v>Black stripe w/ 'GT3 RS' on sides, Black wing sides</x:v>
      </x:c>
      <x:c r="L340" s="82" t="str">
        <x:v>Black J5</x:v>
      </x:c>
      <x:c r="M340" s="82" t="str">
        <x:v>Black / / / Plastic</x:v>
      </x:c>
      <x:c r="N340" s="82" t="str">
        <x:v>Smoke tint</x:v>
      </x:c>
      <x:c r="O340" s="82" t="str">
        <x:v>Black</x:v>
      </x:c>
      <x:c r="P340" s="82" t="str">
        <x:v>Malaysia</x:v>
      </x:c>
      <x:c r="Q340" s="82" t="str"/>
      <x:c r="R340" s="82" t="str">
        <x:v>Mainline</x:v>
      </x:c>
      <x:c r="S340" s="82" t="str">
        <x:v>Comum / atual</x:v>
      </x:c>
      <x:c r="T340" s="82" t="str">
        <x:v>Lançado</x:v>
      </x:c>
      <x:c r="U340" s="82" t="str">
        <x:v>Base code(s): J45, J47, J48, J49, J50, J52</x:v>
      </x:c>
      <x:c r="V340" s="80" t="str">
        <x:v>Coleção principal (~1:64)</x:v>
      </x:c>
      <x:c r="W340" s="82" t="str">
        <x:v>https://hotwheels.fandom.com/wiki/Porsche_911_GT3_RS_(2016)</x:v>
      </x:c>
      <x:c r="X340" s="82" t="str">
        <x:v>https://hotwheels.fandom.com/wiki/Porsche_911_GT3_RS_(2016)</x:v>
      </x:c>
    </x:row>
    <x:row r="341">
      <x:c r="A341" s="80" t="str">
        <x:v>Não</x:v>
      </x:c>
      <x:c r="B341" s="80" t="str">
        <x:v>2 — Completar aos poucos</x:v>
      </x:c>
      <x:c r="C341" s="81" t="n">
        <x:v>2017</x:v>
      </x:c>
      <x:c r="D341" s="80" t="str">
        <x:v>Porsche 914-6</x:v>
      </x:c>
      <x:c r="E341" s="80" t="str">
        <x:v>Porsche 914-6</x:v>
      </x:c>
      <x:c r="F341" s="82" t="str">
        <x:v>Car Culture: Race Day / 3/5</x:v>
      </x:c>
      <x:c r="G341" s="80" t="str"/>
      <x:c r="H341" s="80" t="str"/>
      <x:c r="I341" s="83" t="str">
        <x:v>DWH80</x:v>
      </x:c>
      <x:c r="J341" s="80" t="str">
        <x:v>Red</x:v>
      </x:c>
      <x:c r="K341" s="82" t="str">
        <x:v>Black hood, Urban Outlaw logos on hood, trunk &amp; side, '914' &amp; Porsche on sides</x:v>
      </x:c>
      <x:c r="L341" s="82" t="str">
        <x:v>Gold Rim, Black D7RR</x:v>
      </x:c>
      <x:c r="M341" s="82" t="str"/>
      <x:c r="N341" s="82" t="str">
        <x:v>Clear</x:v>
      </x:c>
      <x:c r="O341" s="82" t="str">
        <x:v>Black</x:v>
      </x:c>
      <x:c r="P341" s="82" t="str">
        <x:v>Thailand</x:v>
      </x:c>
      <x:c r="Q341" s="82" t="str"/>
      <x:c r="R341" s="82" t="str">
        <x:v>Premium</x:v>
      </x:c>
      <x:c r="S341" s="82" t="str">
        <x:v>Incomum</x:v>
      </x:c>
      <x:c r="T341" s="82" t="str">
        <x:v>Lançado</x:v>
      </x:c>
      <x:c r="U341" s="82" t="str">
        <x:v>Base codes(s): K14, K17, K18</x:v>
      </x:c>
      <x:c r="V341" s="80" t="str">
        <x:v>Coleção principal (~1:64)</x:v>
      </x:c>
      <x:c r="W341" s="82" t="str">
        <x:v>https://hotwheels.fandom.com/wiki/Porsche_914-6</x:v>
      </x:c>
      <x:c r="X341" s="82" t="str">
        <x:v>https://hotwheels.fandom.com/wiki/Porsche_914-6</x:v>
      </x:c>
    </x:row>
    <x:row r="342">
      <x:c r="A342" s="80" t="str">
        <x:v>Não</x:v>
      </x:c>
      <x:c r="B342" s="80" t="str">
        <x:v>2 — Completar aos poucos</x:v>
      </x:c>
      <x:c r="C342" s="81" t="n">
        <x:v>2017</x:v>
      </x:c>
      <x:c r="D342" s="80" t="str">
        <x:v>Porsche 934 Turbo RSR</x:v>
      </x:c>
      <x:c r="E342" s="80" t="str">
        <x:v>Porsche 934 Turbo RSR</x:v>
      </x:c>
      <x:c r="F342" s="82" t="str">
        <x:v>Nightburnerz / 10/10</x:v>
      </x:c>
      <x:c r="G342" s="80" t="str"/>
      <x:c r="H342" s="80" t="str">
        <x:v>068/365</x:v>
      </x:c>
      <x:c r="I342" s="83" t="str">
        <x:v>DTY84</x:v>
      </x:c>
      <x:c r="J342" s="80" t="str">
        <x:v>Metalflake Silver</x:v>
      </x:c>
      <x:c r="K342" s="82" t="str">
        <x:v>934 Urban Outlaw</x:v>
      </x:c>
      <x:c r="L342" s="82" t="str">
        <x:v>Gray LW</x:v>
      </x:c>
      <x:c r="M342" s="82" t="str">
        <x:v>Black / / / Plastic</x:v>
      </x:c>
      <x:c r="N342" s="82" t="str">
        <x:v>Smoke tint</x:v>
      </x:c>
      <x:c r="O342" s="82" t="str">
        <x:v>Red</x:v>
      </x:c>
      <x:c r="P342" s="82" t="str">
        <x:v>Malaysia</x:v>
      </x:c>
      <x:c r="Q342" s="82" t="str"/>
      <x:c r="R342" s="82" t="str">
        <x:v>Mainline</x:v>
      </x:c>
      <x:c r="S342" s="82" t="str">
        <x:v>Comum / atual</x:v>
      </x:c>
      <x:c r="T342" s="82" t="str">
        <x:v>Lançado</x:v>
      </x:c>
      <x:c r="U342" s="82" t="str">
        <x:v>Urban Outlaw / Base code(s): J38, J39, J42, J43, J48</x:v>
      </x:c>
      <x:c r="V342" s="80" t="str">
        <x:v>Coleção principal (~1:64)</x:v>
      </x:c>
      <x:c r="W342" s="82" t="str">
        <x:v>https://hotwheels.fandom.com/wiki/Porsche_934_Turbo_RSR</x:v>
      </x:c>
      <x:c r="X342" s="82" t="str">
        <x:v>https://hotwheels.fandom.com/wiki/Porsche_934_Turbo_RSR</x:v>
      </x:c>
    </x:row>
    <x:row r="343">
      <x:c r="A343" s="80" t="str">
        <x:v>Não</x:v>
      </x:c>
      <x:c r="B343" s="80" t="str">
        <x:v>2 — Completar aos poucos</x:v>
      </x:c>
      <x:c r="C343" s="81" t="n">
        <x:v>2017</x:v>
      </x:c>
      <x:c r="D343" s="80" t="str">
        <x:v>Porsche 934.5</x:v>
      </x:c>
      <x:c r="E343" s="80" t="str">
        <x:v>Porsche 934.5</x:v>
      </x:c>
      <x:c r="F343" s="82" t="str">
        <x:v>Factory Fresh / 4/10</x:v>
      </x:c>
      <x:c r="G343" s="80" t="str"/>
      <x:c r="H343" s="80" t="str">
        <x:v>320/365</x:v>
      </x:c>
      <x:c r="I343" s="83" t="str">
        <x:v>DVB24</x:v>
      </x:c>
      <x:c r="J343" s="80" t="str">
        <x:v>Black</x:v>
      </x:c>
      <x:c r="K343" s="82" t="str">
        <x:v>Detailed headlights, 'PORSCHE' wordings in blue on sides, Porsche logo</x:v>
      </x:c>
      <x:c r="L343" s="82" t="str">
        <x:v>Chrome Blue LW</x:v>
      </x:c>
      <x:c r="M343" s="82" t="str">
        <x:v>Dark Grey Metalflake / / / Plastic</x:v>
      </x:c>
      <x:c r="N343" s="82" t="str">
        <x:v>Smoke tint</x:v>
      </x:c>
      <x:c r="O343" s="82" t="str">
        <x:v>Blue</x:v>
      </x:c>
      <x:c r="P343" s="82" t="str">
        <x:v>Malaysia</x:v>
      </x:c>
      <x:c r="Q343" s="82" t="str"/>
      <x:c r="R343" s="82" t="str">
        <x:v>Mainline</x:v>
      </x:c>
      <x:c r="S343" s="82" t="str">
        <x:v>Comum / atual</x:v>
      </x:c>
      <x:c r="T343" s="82" t="str">
        <x:v>Lançado</x:v>
      </x:c>
      <x:c r="U343" s="82" t="str">
        <x:v>New Model / Base code(s): K22, K23, K24, K25</x:v>
      </x:c>
      <x:c r="V343" s="80" t="str">
        <x:v>Coleção principal (~1:64)</x:v>
      </x:c>
      <x:c r="W343" s="82" t="str">
        <x:v>https://hotwheels.fandom.com/wiki/Porsche_934.5</x:v>
      </x:c>
      <x:c r="X343" s="82" t="str">
        <x:v>https://hotwheels.fandom.com/wiki/Porsche_934.5</x:v>
      </x:c>
    </x:row>
    <x:row r="344">
      <x:c r="A344" s="80" t="str">
        <x:v>Não</x:v>
      </x:c>
      <x:c r="B344" s="80" t="str">
        <x:v>2 — Completar aos poucos</x:v>
      </x:c>
      <x:c r="C344" s="81" t="n">
        <x:v>2017</x:v>
      </x:c>
      <x:c r="D344" s="80" t="str">
        <x:v>Porsche 934.5</x:v>
      </x:c>
      <x:c r="E344" s="80" t="str">
        <x:v>Porsche 934.5</x:v>
      </x:c>
      <x:c r="F344" s="82" t="str">
        <x:v>Factory Fresh / 4/10</x:v>
      </x:c>
      <x:c r="G344" s="80" t="str"/>
      <x:c r="H344" s="80" t="str">
        <x:v>153/365</x:v>
      </x:c>
      <x:c r="I344" s="83" t="str">
        <x:v>DTW87</x:v>
      </x:c>
      <x:c r="J344" s="80" t="str">
        <x:v>White</x:v>
      </x:c>
      <x:c r="K344" s="82" t="str">
        <x:v>Detailed headlights, 'PORSCHE' wordings in black on sides, Porsche logo</x:v>
      </x:c>
      <x:c r="L344" s="82" t="str">
        <x:v>Dark Grey LW</x:v>
      </x:c>
      <x:c r="M344" s="82" t="str">
        <x:v>Dark Grey / / / Plastic</x:v>
      </x:c>
      <x:c r="N344" s="82" t="str">
        <x:v>Smoke tint</x:v>
      </x:c>
      <x:c r="O344" s="82" t="str">
        <x:v>Dark Red</x:v>
      </x:c>
      <x:c r="P344" s="82" t="str">
        <x:v>Malaysia</x:v>
      </x:c>
      <x:c r="Q344" s="82" t="str"/>
      <x:c r="R344" s="82" t="str">
        <x:v>Mainline</x:v>
      </x:c>
      <x:c r="S344" s="82" t="str">
        <x:v>Comum / atual</x:v>
      </x:c>
      <x:c r="T344" s="82" t="str">
        <x:v>Lançado</x:v>
      </x:c>
      <x:c r="U344" s="82" t="str">
        <x:v>New Model / Base code(s): J50, J51, J53, K01, K02, K03</x:v>
      </x:c>
      <x:c r="V344" s="80" t="str">
        <x:v>Coleção principal (~1:64)</x:v>
      </x:c>
      <x:c r="W344" s="82" t="str">
        <x:v>https://hotwheels.fandom.com/wiki/Porsche_934.5</x:v>
      </x:c>
      <x:c r="X344" s="82" t="str">
        <x:v>https://hotwheels.fandom.com/wiki/Porsche_934.5</x:v>
      </x:c>
    </x:row>
    <x:row r="345">
      <x:c r="A345" s="80" t="str">
        <x:v>Não</x:v>
      </x:c>
      <x:c r="B345" s="80" t="str">
        <x:v>2 — Completar aos poucos</x:v>
      </x:c>
      <x:c r="C345" s="81" t="n">
        <x:v>2017</x:v>
      </x:c>
      <x:c r="D345" s="80" t="str">
        <x:v>Porsche 962</x:v>
      </x:c>
      <x:c r="E345" s="80" t="str">
        <x:v>Porsche 962</x:v>
      </x:c>
      <x:c r="F345" s="82" t="str">
        <x:v>Car Culture: Race Day / 4/5</x:v>
      </x:c>
      <x:c r="G345" s="80" t="str"/>
      <x:c r="H345" s="80" t="str"/>
      <x:c r="I345" s="83" t="str">
        <x:v>DWH76</x:v>
      </x:c>
      <x:c r="J345" s="80" t="str">
        <x:v>White</x:v>
      </x:c>
      <x:c r="K345" s="82" t="str">
        <x:v>GReddy racing livery, "99", dark blue, cyan, &amp; orange GReddy stripes</x:v>
      </x:c>
      <x:c r="L345" s="82" t="str">
        <x:v>Gold RRA</x:v>
      </x:c>
      <x:c r="M345" s="82" t="str">
        <x:v>ZAMAC</x:v>
      </x:c>
      <x:c r="N345" s="82" t="str">
        <x:v>Smoke tint</x:v>
      </x:c>
      <x:c r="O345" s="82" t="str">
        <x:v>Gray</x:v>
      </x:c>
      <x:c r="P345" s="82" t="str">
        <x:v>Thailand</x:v>
      </x:c>
      <x:c r="Q345" s="82" t="str"/>
      <x:c r="R345" s="82" t="str">
        <x:v>Premium</x:v>
      </x:c>
      <x:c r="S345" s="82" t="str">
        <x:v>Incomum</x:v>
      </x:c>
      <x:c r="T345" s="82" t="str">
        <x:v>Lançado</x:v>
      </x:c>
      <x:c r="U345" s="82" t="str">
        <x:v>Base code(s): K14, K16</x:v>
      </x:c>
      <x:c r="V345" s="80" t="str">
        <x:v>Coleção principal (~1:64)</x:v>
      </x:c>
      <x:c r="W345" s="82" t="str">
        <x:v>https://hotwheels.fandom.com/wiki/Porsche_962</x:v>
      </x:c>
      <x:c r="X345" s="82" t="str">
        <x:v>https://hotwheels.fandom.com/wiki/Porsche_962</x:v>
      </x:c>
    </x:row>
    <x:row r="346">
      <x:c r="A346" s="80" t="str">
        <x:v>Não</x:v>
      </x:c>
      <x:c r="B346" s="80" t="str">
        <x:v>2 — Completar aos poucos</x:v>
      </x:c>
      <x:c r="C346" s="81" t="n">
        <x:v>2017</x:v>
      </x:c>
      <x:c r="D346" s="80" t="str">
        <x:v>Porsche 964</x:v>
      </x:c>
      <x:c r="E346" s="80" t="str">
        <x:v>Porsche 964</x:v>
      </x:c>
      <x:c r="F346" s="82" t="str">
        <x:v>Car Culture: Modern Classics / 1/5</x:v>
      </x:c>
      <x:c r="G346" s="80" t="str"/>
      <x:c r="H346" s="80" t="str"/>
      <x:c r="I346" s="83" t="str">
        <x:v>DWH67</x:v>
      </x:c>
      <x:c r="J346" s="80" t="str">
        <x:v>Black</x:v>
      </x:c>
      <x:c r="K346" s="82" t="str">
        <x:v>Red 'Porsche' on sides, Porsche logo on front</x:v>
      </x:c>
      <x:c r="L346" s="82" t="str">
        <x:v>Grey RRA</x:v>
      </x:c>
      <x:c r="M346" s="82" t="str">
        <x:v>Orange / / / Metal</x:v>
      </x:c>
      <x:c r="N346" s="82" t="str">
        <x:v>Clear</x:v>
      </x:c>
      <x:c r="O346" s="82" t="str">
        <x:v>Orange</x:v>
      </x:c>
      <x:c r="P346" s="82" t="str">
        <x:v>Thailand</x:v>
      </x:c>
      <x:c r="Q346" s="82" t="str"/>
      <x:c r="R346" s="82" t="str">
        <x:v>Premium</x:v>
      </x:c>
      <x:c r="S346" s="82" t="str">
        <x:v>Incomum</x:v>
      </x:c>
      <x:c r="T346" s="82" t="str">
        <x:v>Lançado</x:v>
      </x:c>
      <x:c r="U346" s="82" t="str"/>
      <x:c r="V346" s="80" t="str">
        <x:v>Coleção principal (~1:64)</x:v>
      </x:c>
      <x:c r="W346" s="82" t="str">
        <x:v>https://hotwheels.fandom.com/wiki/Porsche_964</x:v>
      </x:c>
      <x:c r="X346" s="82" t="str">
        <x:v>https://hotwheels.fandom.com/wiki/Porsche_964</x:v>
      </x:c>
    </x:row>
    <x:row r="347">
      <x:c r="A347" s="80" t="str">
        <x:v>Não</x:v>
      </x:c>
      <x:c r="B347" s="80" t="str">
        <x:v>2 — Completar aos poucos</x:v>
      </x:c>
      <x:c r="C347" s="81" t="n">
        <x:v>2017</x:v>
      </x:c>
      <x:c r="D347" s="80" t="str">
        <x:v>Porsche 993 GT2</x:v>
      </x:c>
      <x:c r="E347" s="80" t="str">
        <x:v>Porsche 993 GT2</x:v>
      </x:c>
      <x:c r="F347" s="82" t="str">
        <x:v>Factory Fresh / 10/10</x:v>
      </x:c>
      <x:c r="G347" s="80" t="str"/>
      <x:c r="H347" s="80" t="str">
        <x:v>030/365</x:v>
      </x:c>
      <x:c r="I347" s="83" t="str">
        <x:v>DTX58</x:v>
      </x:c>
      <x:c r="J347" s="80" t="str">
        <x:v>Orange</x:v>
      </x:c>
      <x:c r="K347" s="82" t="str">
        <x:v>License plate on front &amp; back, Porsche Crest on front, Silver hood pins</x:v>
      </x:c>
      <x:c r="L347" s="82" t="str">
        <x:v>WSP</x:v>
      </x:c>
      <x:c r="M347" s="82" t="str">
        <x:v>Grey / / / Plastic</x:v>
      </x:c>
      <x:c r="N347" s="82" t="str">
        <x:v>Smoke tint</x:v>
      </x:c>
      <x:c r="O347" s="82" t="str">
        <x:v>Black</x:v>
      </x:c>
      <x:c r="P347" s="82" t="str">
        <x:v>Malaysia</x:v>
      </x:c>
      <x:c r="Q347" s="82" t="str"/>
      <x:c r="R347" s="82" t="str">
        <x:v>Mainline</x:v>
      </x:c>
      <x:c r="S347" s="82" t="str">
        <x:v>Comum / atual</x:v>
      </x:c>
      <x:c r="T347" s="82" t="str">
        <x:v>Lançado</x:v>
      </x:c>
      <x:c r="U347" s="82" t="str">
        <x:v>Base code(s): J34, J35, J36, J37, J38, J39, J40, J41</x:v>
      </x:c>
      <x:c r="V347" s="80" t="str">
        <x:v>Coleção principal (~1:64)</x:v>
      </x:c>
      <x:c r="W347" s="82" t="str">
        <x:v>https://hotwheels.fandom.com/wiki/Porsche_993_GT2</x:v>
      </x:c>
      <x:c r="X347" s="82" t="str">
        <x:v>https://hotwheels.fandom.com/wiki/Porsche_993_GT2</x:v>
      </x:c>
    </x:row>
    <x:row r="348">
      <x:c r="A348" s="80" t="str">
        <x:v>Não</x:v>
      </x:c>
      <x:c r="B348" s="80" t="str">
        <x:v>2 — Completar aos poucos</x:v>
      </x:c>
      <x:c r="C348" s="81" t="n">
        <x:v>2017</x:v>
      </x:c>
      <x:c r="D348" s="80" t="str">
        <x:v>Porsche 993 GT2</x:v>
      </x:c>
      <x:c r="E348" s="80" t="str">
        <x:v>Porsche 993 GT2</x:v>
      </x:c>
      <x:c r="F348" s="82" t="str">
        <x:v>Factory Fresh / 10/10</x:v>
      </x:c>
      <x:c r="G348" s="80" t="str"/>
      <x:c r="H348" s="80" t="str"/>
      <x:c r="I348" s="83" t="str">
        <x:v>FBH85</x:v>
      </x:c>
      <x:c r="J348" s="80" t="str">
        <x:v>ZAMAC</x:v>
      </x:c>
      <x:c r="K348" s="82" t="str">
        <x:v>License plate on front &amp; back, Porsche emblem on front, Silver hoodpins</x:v>
      </x:c>
      <x:c r="L348" s="82" t="str">
        <x:v>Copper WSP</x:v>
      </x:c>
      <x:c r="M348" s="82" t="str">
        <x:v>Grey / / / Plastic</x:v>
      </x:c>
      <x:c r="N348" s="82" t="str">
        <x:v>Smoke tint</x:v>
      </x:c>
      <x:c r="O348" s="82" t="str">
        <x:v>Black</x:v>
      </x:c>
      <x:c r="P348" s="82" t="str">
        <x:v>Malaysia</x:v>
      </x:c>
      <x:c r="Q348" s="82" t="str">
        <x:v>ZAMAC, Walmart</x:v>
      </x:c>
      <x:c r="R348" s="82" t="str">
        <x:v>Mainline</x:v>
      </x:c>
      <x:c r="S348" s="82" t="str">
        <x:v>Rara</x:v>
      </x:c>
      <x:c r="T348" s="82" t="str">
        <x:v>Lançado</x:v>
      </x:c>
      <x:c r="U348" s="82" t="str">
        <x:v>Walmart Exclusive / Base code(s): K12</x:v>
      </x:c>
      <x:c r="V348" s="80" t="str">
        <x:v>Coleção principal (~1:64)</x:v>
      </x:c>
      <x:c r="W348" s="82" t="str">
        <x:v>https://hotwheels.fandom.com/wiki/Porsche_993_GT2</x:v>
      </x:c>
      <x:c r="X348" s="82" t="str">
        <x:v>https://hotwheels.fandom.com/wiki/Porsche_993_GT2</x:v>
      </x:c>
    </x:row>
    <x:row r="349">
      <x:c r="A349" s="80" t="str">
        <x:v>Não</x:v>
      </x:c>
      <x:c r="B349" s="80" t="str">
        <x:v>2 — Completar aos poucos</x:v>
      </x:c>
      <x:c r="C349" s="81" t="n">
        <x:v>2017</x:v>
      </x:c>
      <x:c r="D349" s="80" t="str">
        <x:v>Porsche Carrera GT</x:v>
      </x:c>
      <x:c r="E349" s="80" t="str">
        <x:v>Porsche Carrera GT</x:v>
      </x:c>
      <x:c r="F349" s="82" t="str">
        <x:v>HW Exotics 5-Pack</x:v>
      </x:c>
      <x:c r="G349" s="80" t="str"/>
      <x:c r="H349" s="80" t="str"/>
      <x:c r="I349" s="83" t="str">
        <x:v>DVF95</x:v>
      </x:c>
      <x:c r="J349" s="80" t="str">
        <x:v>Cobalt Blue Metallic</x:v>
      </x:c>
      <x:c r="K349" s="82" t="str">
        <x:v>Headlights, taillights, grey hood stripes, Porsche logo</x:v>
      </x:c>
      <x:c r="L349" s="82" t="str">
        <x:v>PR5</x:v>
      </x:c>
      <x:c r="M349" s="82" t="str">
        <x:v>Black / / / Plastic</x:v>
      </x:c>
      <x:c r="N349" s="82" t="str">
        <x:v>Clear</x:v>
      </x:c>
      <x:c r="O349" s="82" t="str">
        <x:v>Grey</x:v>
      </x:c>
      <x:c r="P349" s="82" t="str">
        <x:v>Malaysia</x:v>
      </x:c>
      <x:c r="Q349" s="82" t="str"/>
      <x:c r="R349" s="82" t="str">
        <x:v>Temática / multipack</x:v>
      </x:c>
      <x:c r="S349" s="82" t="str">
        <x:v>Comum / atual</x:v>
      </x:c>
      <x:c r="T349" s="82" t="str">
        <x:v>Lançado</x:v>
      </x:c>
      <x:c r="U349" s="82" t="str">
        <x:v>Base code(s): K08, K10, K13, K15, K18, K23, K24, K30, K32, K35, K40, L21, L23, L25</x:v>
      </x:c>
      <x:c r="V349" s="80" t="str">
        <x:v>Coleção principal (~1:64)</x:v>
      </x:c>
      <x:c r="W349" s="82" t="str">
        <x:v>https://hotwheels.fandom.com/wiki/Porsche_Carrera_GT</x:v>
      </x:c>
      <x:c r="X349" s="82" t="str">
        <x:v>https://hotwheels.fandom.com/wiki/Porsche_Carrera_GT</x:v>
      </x:c>
    </x:row>
    <x:row r="350">
      <x:c r="A350" s="80" t="str">
        <x:v>Não</x:v>
      </x:c>
      <x:c r="B350" s="80" t="str">
        <x:v>2 — Completar aos poucos</x:v>
      </x:c>
      <x:c r="C350" s="81" t="n">
        <x:v>2017</x:v>
      </x:c>
      <x:c r="D350" s="80" t="str">
        <x:v>Porsche Cayman S</x:v>
      </x:c>
      <x:c r="E350" s="80" t="str">
        <x:v>Porsche Cayman S</x:v>
      </x:c>
      <x:c r="F350" s="82" t="str">
        <x:v>Multipack Exclusive</x:v>
      </x:c>
      <x:c r="G350" s="80" t="str"/>
      <x:c r="H350" s="80" t="str"/>
      <x:c r="I350" s="83" t="str">
        <x:v>X6999</x:v>
      </x:c>
      <x:c r="J350" s="80" t="str">
        <x:v>Metalflake Red</x:v>
      </x:c>
      <x:c r="K350" s="82" t="str">
        <x:v>white Stripes on sides &amp; top, Headlights, Porsche insignia</x:v>
      </x:c>
      <x:c r="L350" s="82" t="str">
        <x:v>10SP</x:v>
      </x:c>
      <x:c r="M350" s="82" t="str">
        <x:v>Charcoal / Plastic</x:v>
      </x:c>
      <x:c r="N350" s="82" t="str">
        <x:v>Smoke tint</x:v>
      </x:c>
      <x:c r="O350" s="82" t="str">
        <x:v>Black</x:v>
      </x:c>
      <x:c r="P350" s="82" t="str">
        <x:v>Malaysia</x:v>
      </x:c>
      <x:c r="Q350" s="82" t="str"/>
      <x:c r="R350" s="82" t="str">
        <x:v>Temática / multipack</x:v>
      </x:c>
      <x:c r="S350" s="82" t="str">
        <x:v>Comum / atual</x:v>
      </x:c>
      <x:c r="T350" s="82" t="str">
        <x:v>Lançado</x:v>
      </x:c>
      <x:c r="U350" s="82" t="str">
        <x:v>Base code(s): J44, J50</x:v>
      </x:c>
      <x:c r="V350" s="80" t="str">
        <x:v>Coleção principal (~1:64)</x:v>
      </x:c>
      <x:c r="W350" s="82" t="str">
        <x:v>https://hotwheels.fandom.com/wiki/Porsche_Cayman_S</x:v>
      </x:c>
      <x:c r="X350" s="82" t="str">
        <x:v>https://hotwheels.fandom.com/wiki/Porsche_Cayman_S</x:v>
      </x:c>
    </x:row>
    <x:row r="351">
      <x:c r="A351" s="80" t="str">
        <x:v>Não</x:v>
      </x:c>
      <x:c r="B351" s="80" t="str">
        <x:v>2 — Completar aos poucos</x:v>
      </x:c>
      <x:c r="C351" s="81" t="n">
        <x:v>2017</x:v>
      </x:c>
      <x:c r="D351" s="80" t="str">
        <x:v>Porsche Cayman S</x:v>
      </x:c>
      <x:c r="E351" s="80" t="str">
        <x:v>Porsche Cayman S</x:v>
      </x:c>
      <x:c r="F351" s="82" t="str">
        <x:v>Multipack Exclusive</x:v>
      </x:c>
      <x:c r="G351" s="80" t="str"/>
      <x:c r="H351" s="80" t="str"/>
      <x:c r="I351" s="83" t="str">
        <x:v>X6999</x:v>
      </x:c>
      <x:c r="J351" s="80" t="str">
        <x:v>Metalflake Red</x:v>
      </x:c>
      <x:c r="K351" s="82" t="str">
        <x:v>white Stripes on sides &amp; top, Headlights, Porsche insignia</x:v>
      </x:c>
      <x:c r="L351" s="82" t="str">
        <x:v>MC5</x:v>
      </x:c>
      <x:c r="M351" s="82" t="str">
        <x:v>Charcoal / Plastic</x:v>
      </x:c>
      <x:c r="N351" s="82" t="str">
        <x:v>Clear</x:v>
      </x:c>
      <x:c r="O351" s="82" t="str">
        <x:v>Black</x:v>
      </x:c>
      <x:c r="P351" s="82" t="str">
        <x:v>Malaysia</x:v>
      </x:c>
      <x:c r="Q351" s="82" t="str"/>
      <x:c r="R351" s="82" t="str">
        <x:v>Temática / multipack</x:v>
      </x:c>
      <x:c r="S351" s="82" t="str">
        <x:v>Comum / atual</x:v>
      </x:c>
      <x:c r="T351" s="82" t="str">
        <x:v>Lançado</x:v>
      </x:c>
      <x:c r="U351" s="82" t="str">
        <x:v>Base code(s): K09, K10</x:v>
      </x:c>
      <x:c r="V351" s="80" t="str">
        <x:v>Coleção principal (~1:64)</x:v>
      </x:c>
      <x:c r="W351" s="82" t="str">
        <x:v>https://hotwheels.fandom.com/wiki/Porsche_Cayman_S</x:v>
      </x:c>
      <x:c r="X351" s="82" t="str">
        <x:v>https://hotwheels.fandom.com/wiki/Porsche_Cayman_S</x:v>
      </x:c>
    </x:row>
    <x:row r="352">
      <x:c r="A352" s="80" t="str">
        <x:v>Não</x:v>
      </x:c>
      <x:c r="B352" s="80" t="str">
        <x:v>2 — Completar aos poucos</x:v>
      </x:c>
      <x:c r="C352" s="81" t="n">
        <x:v>2016</x:v>
      </x:c>
      <x:c r="D352" s="80" t="str">
        <x:v>'78 Porsche 935-78</x:v>
      </x:c>
      <x:c r="E352" s="80" t="str">
        <x:v>'78 Porsche 935-78</x:v>
      </x:c>
      <x:c r="F352" s="82" t="str">
        <x:v>Car Culture: Track Day / 2/5</x:v>
      </x:c>
      <x:c r="G352" s="80" t="str"/>
      <x:c r="H352" s="80" t="str"/>
      <x:c r="I352" s="83" t="str">
        <x:v>DJF94</x:v>
      </x:c>
      <x:c r="J352" s="80" t="str">
        <x:v>Metalflake Dark Red</x:v>
      </x:c>
      <x:c r="K352" s="82" t="str">
        <x:v>White trunk with '7', Urban Outlaw logo on roof, 'Porsche' on wing, White &amp; Blue stripes &amp; '7' on sides</x:v>
      </x:c>
      <x:c r="L352" s="82" t="str">
        <x:v>Chrome Gold MCRR</x:v>
      </x:c>
      <x:c r="M352" s="82" t="str">
        <x:v>White / / / Metal</x:v>
      </x:c>
      <x:c r="N352" s="82" t="str">
        <x:v>Smoke tint</x:v>
      </x:c>
      <x:c r="O352" s="82" t="str">
        <x:v>Black</x:v>
      </x:c>
      <x:c r="P352" s="82" t="str">
        <x:v>Malaysia</x:v>
      </x:c>
      <x:c r="Q352" s="82" t="str"/>
      <x:c r="R352" s="82" t="str">
        <x:v>Premium</x:v>
      </x:c>
      <x:c r="S352" s="82" t="str">
        <x:v>Incomum</x:v>
      </x:c>
      <x:c r="T352" s="82" t="str">
        <x:v>Lançado</x:v>
      </x:c>
      <x:c r="U352" s="82" t="str"/>
      <x:c r="V352" s="80" t="str">
        <x:v>Coleção principal (~1:64)</x:v>
      </x:c>
      <x:c r="W352" s="82" t="str">
        <x:v>https://hotwheels.fandom.com/wiki/%2778_Porsche_935-78</x:v>
      </x:c>
      <x:c r="X352" s="82" t="str">
        <x:v>https://hotwheels.fandom.com/wiki/%2778_Porsche_935-78</x:v>
      </x:c>
    </x:row>
    <x:row r="353">
      <x:c r="A353" s="80" t="str">
        <x:v>Não</x:v>
      </x:c>
      <x:c r="B353" s="80" t="str">
        <x:v>2 — Completar aos poucos</x:v>
      </x:c>
      <x:c r="C353" s="81" t="n">
        <x:v>2016</x:v>
      </x:c>
      <x:c r="D353" s="80" t="str">
        <x:v>Porsche 356 Outlaw</x:v>
      </x:c>
      <x:c r="E353" s="80" t="str">
        <x:v>Porsche 356 Outlaw</x:v>
      </x:c>
      <x:c r="F353" s="82" t="str">
        <x:v>HW Showroom / 10/10</x:v>
      </x:c>
      <x:c r="G353" s="80" t="str"/>
      <x:c r="H353" s="80" t="str">
        <x:v>120/250</x:v>
      </x:c>
      <x:c r="I353" s="83" t="str">
        <x:v>DHX35</x:v>
      </x:c>
      <x:c r="J353" s="80" t="str">
        <x:v>Metalflake Silver</x:v>
      </x:c>
      <x:c r="K353" s="82" t="str">
        <x:v>Red &amp; Black stripes on hood &amp; sides with Blac "UO" &amp; "OUTLAW", Urban Outlaw symbol on sides</x:v>
      </x:c>
      <x:c r="L353" s="82" t="str">
        <x:v>5SP</x:v>
      </x:c>
      <x:c r="M353" s="82" t="str">
        <x:v>Grey / / / Plastic</x:v>
      </x:c>
      <x:c r="N353" s="82" t="str">
        <x:v>Smoke tint</x:v>
      </x:c>
      <x:c r="O353" s="82" t="str">
        <x:v>Grey</x:v>
      </x:c>
      <x:c r="P353" s="82" t="str">
        <x:v>Malaysia</x:v>
      </x:c>
      <x:c r="Q353" s="82" t="str">
        <x:v>Target / Red Edition</x:v>
      </x:c>
      <x:c r="R353" s="82" t="str">
        <x:v>Mainline</x:v>
      </x:c>
      <x:c r="S353" s="82" t="str">
        <x:v>Rara</x:v>
      </x:c>
      <x:c r="T353" s="82" t="str">
        <x:v>Lançado</x:v>
      </x:c>
      <x:c r="U353" s="82" t="str">
        <x:v>Also released on Target exclusive Spring card / Named Porsche 356A Outlaw / Urban Outlaw / New Model / Base code(s): J03, J04, J05, J06, J07, J08, J09, J13</x:v>
      </x:c>
      <x:c r="V353" s="80" t="str">
        <x:v>Coleção principal (~1:64)</x:v>
      </x:c>
      <x:c r="W353" s="82" t="str">
        <x:v>https://hotwheels.fandom.com/wiki/Porsche_356_Outlaw</x:v>
      </x:c>
      <x:c r="X353" s="82" t="str">
        <x:v>https://hotwheels.fandom.com/wiki/Porsche_356_Outlaw</x:v>
      </x:c>
    </x:row>
    <x:row r="354">
      <x:c r="A354" s="80" t="str">
        <x:v>Não</x:v>
      </x:c>
      <x:c r="B354" s="80" t="str">
        <x:v>2 — Completar aos poucos</x:v>
      </x:c>
      <x:c r="C354" s="81" t="n">
        <x:v>2016</x:v>
      </x:c>
      <x:c r="D354" s="80" t="str">
        <x:v>Porsche 356 Outlaw</x:v>
      </x:c>
      <x:c r="E354" s="80" t="str">
        <x:v>Porsche 356 Outlaw</x:v>
      </x:c>
      <x:c r="F354" s="82" t="str">
        <x:v>HW Showroom / 10/10</x:v>
      </x:c>
      <x:c r="G354" s="80" t="str"/>
      <x:c r="H354" s="80" t="str">
        <x:v>120/250</x:v>
      </x:c>
      <x:c r="I354" s="83" t="str">
        <x:v>DHP11</x:v>
      </x:c>
      <x:c r="J354" s="80" t="str">
        <x:v>Semi-gloss Black</x:v>
      </x:c>
      <x:c r="K354" s="82" t="str">
        <x:v>Gold &amp; Red stripes on hood &amp; sides with gold "UO" &amp; "OUTLAW", Urban Outlaw symbol on sides</x:v>
      </x:c>
      <x:c r="L354" s="82" t="str">
        <x:v>Gold rim Black MC5</x:v>
      </x:c>
      <x:c r="M354" s="82" t="str">
        <x:v>Black / / / Plastic</x:v>
      </x:c>
      <x:c r="N354" s="82" t="str">
        <x:v>Smoke tint</x:v>
      </x:c>
      <x:c r="O354" s="82" t="str">
        <x:v>Red</x:v>
      </x:c>
      <x:c r="P354" s="82" t="str">
        <x:v>Malaysia</x:v>
      </x:c>
      <x:c r="Q354" s="82" t="str">
        <x:v>Target / Red Edition</x:v>
      </x:c>
      <x:c r="R354" s="82" t="str">
        <x:v>Mainline</x:v>
      </x:c>
      <x:c r="S354" s="82" t="str">
        <x:v>Rara</x:v>
      </x:c>
      <x:c r="T354" s="82" t="str">
        <x:v>Lançado</x:v>
      </x:c>
      <x:c r="U354" s="82" t="str">
        <x:v>Also released on Target exclusive snowflake card / Named Porsche 356A Outlaw / Urban Outlaw / New Model / Base code(s): H38, H39, H40, H41, H42, H43, H44</x:v>
      </x:c>
      <x:c r="V354" s="80" t="str">
        <x:v>Coleção principal (~1:64)</x:v>
      </x:c>
      <x:c r="W354" s="82" t="str">
        <x:v>https://hotwheels.fandom.com/wiki/Porsche_356_Outlaw</x:v>
      </x:c>
      <x:c r="X354" s="82" t="str">
        <x:v>https://hotwheels.fandom.com/wiki/Porsche_356_Outlaw</x:v>
      </x:c>
    </x:row>
    <x:row r="355">
      <x:c r="A355" s="80" t="str">
        <x:v>Não</x:v>
      </x:c>
      <x:c r="B355" s="80" t="str">
        <x:v>2 — Completar aos poucos</x:v>
      </x:c>
      <x:c r="C355" s="81" t="n">
        <x:v>2016</x:v>
      </x:c>
      <x:c r="D355" s="80" t="str">
        <x:v>Porsche 911 GT3 RS (2011)</x:v>
      </x:c>
      <x:c r="E355" s="80" t="str">
        <x:v>Porsche 911 GT3 RS</x:v>
      </x:c>
      <x:c r="F355" s="82" t="str">
        <x:v>Car Culture: Euro Style / 2/5</x:v>
      </x:c>
      <x:c r="G355" s="80" t="str"/>
      <x:c r="H355" s="80" t="str"/>
      <x:c r="I355" s="83" t="str">
        <x:v>DJF85</x:v>
      </x:c>
      <x:c r="J355" s="80" t="str">
        <x:v>Pearl White</x:v>
      </x:c>
      <x:c r="K355" s="82" t="str">
        <x:v>Red &amp; Blue stripes on top, 'Urban Outlaw' logo on roof &amp; sides, Black stripe w/ 'PORSCHE', &amp; '277' on sides</x:v>
      </x:c>
      <x:c r="L355" s="82" t="str">
        <x:v>Chrome &amp; Dark Grey RRLW5</x:v>
      </x:c>
      <x:c r="M355" s="82" t="str">
        <x:v>Unpainted / / / Metal</x:v>
      </x:c>
      <x:c r="N355" s="82" t="str">
        <x:v>Clear</x:v>
      </x:c>
      <x:c r="O355" s="82" t="str">
        <x:v>Black</x:v>
      </x:c>
      <x:c r="P355" s="82" t="str">
        <x:v>Malaysia</x:v>
      </x:c>
      <x:c r="Q355" s="82" t="str"/>
      <x:c r="R355" s="82" t="str">
        <x:v>Premium</x:v>
      </x:c>
      <x:c r="S355" s="82" t="str">
        <x:v>Incomum</x:v>
      </x:c>
      <x:c r="T355" s="82" t="str">
        <x:v>Lançado</x:v>
      </x:c>
      <x:c r="U355" s="82" t="str">
        <x:v>Base code(s): J12, J14</x:v>
      </x:c>
      <x:c r="V355" s="80" t="str">
        <x:v>Coleção principal (~1:64)</x:v>
      </x:c>
      <x:c r="W355" s="82" t="str">
        <x:v>https://hotwheels.fandom.com/wiki/Porsche_911_GT3_RS_(2011)</x:v>
      </x:c>
      <x:c r="X355" s="82" t="str">
        <x:v>https://hotwheels.fandom.com/wiki/Porsche_911_GT3_RS_(2011)</x:v>
      </x:c>
    </x:row>
    <x:row r="356">
      <x:c r="A356" s="80" t="str">
        <x:v>Não</x:v>
      </x:c>
      <x:c r="B356" s="80" t="str">
        <x:v>2 — Completar aos poucos</x:v>
      </x:c>
      <x:c r="C356" s="81" t="n">
        <x:v>2016</x:v>
      </x:c>
      <x:c r="D356" s="80" t="str">
        <x:v>Porsche 911 GT3 RS (2011)</x:v>
      </x:c>
      <x:c r="E356" s="80" t="str">
        <x:v>Porsche 911 GT3 RS</x:v>
      </x:c>
      <x:c r="F356" s="82" t="str">
        <x:v>HW Exotics 5-Pack</x:v>
      </x:c>
      <x:c r="G356" s="80" t="str"/>
      <x:c r="H356" s="80" t="str"/>
      <x:c r="I356" s="83" t="str">
        <x:v>DJD29</x:v>
      </x:c>
      <x:c r="J356" s="80" t="str">
        <x:v>White</x:v>
      </x:c>
      <x:c r="K356" s="82" t="str">
        <x:v>Headlights and Porsche logo</x:v>
      </x:c>
      <x:c r="L356" s="82" t="str">
        <x:v>Gold PR5</x:v>
      </x:c>
      <x:c r="M356" s="82" t="str">
        <x:v>Black / / / Plastic</x:v>
      </x:c>
      <x:c r="N356" s="82" t="str">
        <x:v>Smoke tint</x:v>
      </x:c>
      <x:c r="O356" s="82" t="str">
        <x:v>Black</x:v>
      </x:c>
      <x:c r="P356" s="82" t="str">
        <x:v>Thailand</x:v>
      </x:c>
      <x:c r="Q356" s="82" t="str"/>
      <x:c r="R356" s="82" t="str">
        <x:v>Temática / multipack</x:v>
      </x:c>
      <x:c r="S356" s="82" t="str">
        <x:v>Comum / atual</x:v>
      </x:c>
      <x:c r="T356" s="82" t="str">
        <x:v>Lançado</x:v>
      </x:c>
      <x:c r="U356" s="82" t="str">
        <x:v>Base code(s): J31, J42, J48</x:v>
      </x:c>
      <x:c r="V356" s="80" t="str">
        <x:v>Coleção principal (~1:64)</x:v>
      </x:c>
      <x:c r="W356" s="82" t="str">
        <x:v>https://hotwheels.fandom.com/wiki/Porsche_911_GT3_RS_(2011)</x:v>
      </x:c>
      <x:c r="X356" s="82" t="str">
        <x:v>https://hotwheels.fandom.com/wiki/Porsche_911_GT3_RS_(2011)</x:v>
      </x:c>
    </x:row>
    <x:row r="357">
      <x:c r="A357" s="80" t="str">
        <x:v>Não</x:v>
      </x:c>
      <x:c r="B357" s="80" t="str">
        <x:v>2 — Completar aos poucos</x:v>
      </x:c>
      <x:c r="C357" s="81" t="n">
        <x:v>2016</x:v>
      </x:c>
      <x:c r="D357" s="80" t="str">
        <x:v>Porsche 911 GT3 RS (2016)</x:v>
      </x:c>
      <x:c r="E357" s="80" t="str">
        <x:v>Porsche 911 GT3 RS</x:v>
      </x:c>
      <x:c r="F357" s="82" t="str">
        <x:v>HW Exotics / 8/10</x:v>
      </x:c>
      <x:c r="G357" s="80" t="str"/>
      <x:c r="H357" s="80" t="str">
        <x:v>078/250</x:v>
      </x:c>
      <x:c r="I357" s="83" t="str">
        <x:v>DHP00</x:v>
      </x:c>
      <x:c r="J357" s="80" t="str">
        <x:v>Red (Lava Orange)</x:v>
      </x:c>
      <x:c r="K357" s="82" t="str">
        <x:v>Porsche emblem on hood, 'GT3 RS' lettering on rear</x:v>
      </x:c>
      <x:c r="L357" s="82" t="str">
        <x:v>Chrome &amp; Black J5</x:v>
      </x:c>
      <x:c r="M357" s="82" t="str">
        <x:v>Black / / / Plastic</x:v>
      </x:c>
      <x:c r="N357" s="82" t="str">
        <x:v>Smoke tint</x:v>
      </x:c>
      <x:c r="O357" s="82" t="str">
        <x:v>Black</x:v>
      </x:c>
      <x:c r="P357" s="82" t="str">
        <x:v>Malaysia</x:v>
      </x:c>
      <x:c r="Q357" s="82" t="str"/>
      <x:c r="R357" s="82" t="str">
        <x:v>Mainline</x:v>
      </x:c>
      <x:c r="S357" s="82" t="str">
        <x:v>Comum / atual</x:v>
      </x:c>
      <x:c r="T357" s="82" t="str">
        <x:v>Lançado</x:v>
      </x:c>
      <x:c r="U357" s="82" t="str">
        <x:v>New Model / Base code(s): J23, J24, J25, J26, J27, J30</x:v>
      </x:c>
      <x:c r="V357" s="80" t="str">
        <x:v>Coleção principal (~1:64)</x:v>
      </x:c>
      <x:c r="W357" s="82" t="str">
        <x:v>https://hotwheels.fandom.com/wiki/Porsche_911_GT3_RS_(2016)</x:v>
      </x:c>
      <x:c r="X357" s="82" t="str">
        <x:v>https://hotwheels.fandom.com/wiki/Porsche_911_GT3_RS_(2016)</x:v>
      </x:c>
    </x:row>
    <x:row r="358">
      <x:c r="A358" s="80" t="str">
        <x:v>Não</x:v>
      </x:c>
      <x:c r="B358" s="80" t="str">
        <x:v>2 — Completar aos poucos</x:v>
      </x:c>
      <x:c r="C358" s="81" t="n">
        <x:v>2016</x:v>
      </x:c>
      <x:c r="D358" s="80" t="str">
        <x:v>Porsche 930</x:v>
      </x:c>
      <x:c r="E358" s="80" t="str">
        <x:v>Porsche 930</x:v>
      </x:c>
      <x:c r="F358" s="82" t="str">
        <x:v>Retro Style Series</x:v>
      </x:c>
      <x:c r="G358" s="80" t="str"/>
      <x:c r="H358" s="80" t="str"/>
      <x:c r="I358" s="83" t="str">
        <x:v>DNF31</x:v>
      </x:c>
      <x:c r="J358" s="80" t="str">
        <x:v>Black</x:v>
      </x:c>
      <x:c r="K358" s="82" t="str">
        <x:v>Yellow, Red &amp; White racing graphics, featuring #9 and "PORSCHE"</x:v>
      </x:c>
      <x:c r="L358" s="82" t="str">
        <x:v>5SP</x:v>
      </x:c>
      <x:c r="M358" s="82" t="str">
        <x:v>Unpainted / Metal</x:v>
      </x:c>
      <x:c r="N358" s="82" t="str">
        <x:v>Smoke tint</x:v>
      </x:c>
      <x:c r="O358" s="82" t="str">
        <x:v>Red</x:v>
      </x:c>
      <x:c r="P358" s="82" t="str">
        <x:v>Malaysia</x:v>
      </x:c>
      <x:c r="Q358" s="82" t="str"/>
      <x:c r="R358" s="82" t="str">
        <x:v>Outra linha</x:v>
      </x:c>
      <x:c r="S358" s="82" t="str">
        <x:v>Comum / atual</x:v>
      </x:c>
      <x:c r="T358" s="82" t="str">
        <x:v>Lançado</x:v>
      </x:c>
      <x:c r="U358" s="82" t="str">
        <x:v>Base code(s): J11, J18, J50</x:v>
      </x:c>
      <x:c r="V358" s="80" t="str">
        <x:v>Coleção principal (~1:64)</x:v>
      </x:c>
      <x:c r="W358" s="82" t="str">
        <x:v>https://hotwheels.fandom.com/wiki/Porsche_930</x:v>
      </x:c>
      <x:c r="X358" s="82" t="str">
        <x:v>https://hotwheels.fandom.com/wiki/Porsche_930</x:v>
      </x:c>
    </x:row>
    <x:row r="359">
      <x:c r="A359" s="80" t="str">
        <x:v>Não</x:v>
      </x:c>
      <x:c r="B359" s="80" t="str">
        <x:v>2 — Completar aos poucos</x:v>
      </x:c>
      <x:c r="C359" s="81" t="n">
        <x:v>2016</x:v>
      </x:c>
      <x:c r="D359" s="80" t="str">
        <x:v>Porsche 934 Turbo RSR</x:v>
      </x:c>
      <x:c r="E359" s="80" t="str">
        <x:v>Porsche 934 Turbo RSR</x:v>
      </x:c>
      <x:c r="F359" s="82" t="str">
        <x:v>HW Speed Graphics / 6/10</x:v>
      </x:c>
      <x:c r="G359" s="80" t="str"/>
      <x:c r="H359" s="80" t="str">
        <x:v>181/250</x:v>
      </x:c>
      <x:c r="I359" s="83" t="str">
        <x:v>DHR77</x:v>
      </x:c>
      <x:c r="J359" s="80" t="str">
        <x:v>Blue</x:v>
      </x:c>
      <x:c r="K359" s="82" t="str">
        <x:v>Light Green, White &amp; Red tampos, Falken Tire deco &amp; '17' on sides &amp; hood</x:v>
      </x:c>
      <x:c r="L359" s="82" t="str">
        <x:v>MC5</x:v>
      </x:c>
      <x:c r="M359" s="82" t="str">
        <x:v>Black / / / Plastic</x:v>
      </x:c>
      <x:c r="N359" s="82" t="str">
        <x:v>Clear</x:v>
      </x:c>
      <x:c r="O359" s="82" t="str">
        <x:v>Black</x:v>
      </x:c>
      <x:c r="P359" s="82" t="str">
        <x:v>Malaysia</x:v>
      </x:c>
      <x:c r="Q359" s="82" t="str">
        <x:v>Target / Red Edition</x:v>
      </x:c>
      <x:c r="R359" s="82" t="str">
        <x:v>Mainline</x:v>
      </x:c>
      <x:c r="S359" s="82" t="str">
        <x:v>Rara</x:v>
      </x:c>
      <x:c r="T359" s="82" t="str">
        <x:v>Lançado</x:v>
      </x:c>
      <x:c r="U359" s="82" t="str">
        <x:v>Also released on Target exclusive snowflake card / Base code(s): H30, H31, H32, H36</x:v>
      </x:c>
      <x:c r="V359" s="80" t="str">
        <x:v>Coleção principal (~1:64)</x:v>
      </x:c>
      <x:c r="W359" s="82" t="str">
        <x:v>https://hotwheels.fandom.com/wiki/Porsche_934_Turbo_RSR</x:v>
      </x:c>
      <x:c r="X359" s="82" t="str">
        <x:v>https://hotwheels.fandom.com/wiki/Porsche_934_Turbo_RSR</x:v>
      </x:c>
    </x:row>
    <x:row r="360">
      <x:c r="A360" s="80" t="str">
        <x:v>Não</x:v>
      </x:c>
      <x:c r="B360" s="80" t="str">
        <x:v>2 — Completar aos poucos</x:v>
      </x:c>
      <x:c r="C360" s="81" t="n">
        <x:v>2016</x:v>
      </x:c>
      <x:c r="D360" s="80" t="str">
        <x:v>Porsche 934 Turbo RSR</x:v>
      </x:c>
      <x:c r="E360" s="80" t="str">
        <x:v>Porsche 934 Turbo RSR</x:v>
      </x:c>
      <x:c r="F360" s="82" t="str">
        <x:v>HW Speed Graphics / 6/10</x:v>
      </x:c>
      <x:c r="G360" s="80" t="str"/>
      <x:c r="H360" s="80" t="str">
        <x:v>181/250</x:v>
      </x:c>
      <x:c r="I360" s="83" t="str">
        <x:v>DHX58</x:v>
      </x:c>
      <x:c r="J360" s="80" t="str">
        <x:v>Metalflake Silver</x:v>
      </x:c>
      <x:c r="K360" s="82" t="str">
        <x:v>Blue, White &amp; Red tampos, Falken Tire deco &amp; '17' on sides &amp; hood</x:v>
      </x:c>
      <x:c r="L360" s="82" t="str">
        <x:v>Chrome rim MC5</x:v>
      </x:c>
      <x:c r="M360" s="82" t="str">
        <x:v>Black / / / Plastic</x:v>
      </x:c>
      <x:c r="N360" s="82" t="str">
        <x:v>Blue tint</x:v>
      </x:c>
      <x:c r="O360" s="82" t="str">
        <x:v>Black</x:v>
      </x:c>
      <x:c r="P360" s="82" t="str">
        <x:v>Malaysia</x:v>
      </x:c>
      <x:c r="Q360" s="82" t="str"/>
      <x:c r="R360" s="82" t="str">
        <x:v>Mainline</x:v>
      </x:c>
      <x:c r="S360" s="82" t="str">
        <x:v>Comum / atual</x:v>
      </x:c>
      <x:c r="T360" s="82" t="str">
        <x:v>Lançado</x:v>
      </x:c>
      <x:c r="U360" s="82" t="str">
        <x:v>Base code(s): H43, H47, H48, H49, H50, H52</x:v>
      </x:c>
      <x:c r="V360" s="80" t="str">
        <x:v>Coleção principal (~1:64)</x:v>
      </x:c>
      <x:c r="W360" s="82" t="str">
        <x:v>https://hotwheels.fandom.com/wiki/Porsche_934_Turbo_RSR</x:v>
      </x:c>
      <x:c r="X360" s="82" t="str">
        <x:v>https://hotwheels.fandom.com/wiki/Porsche_934_Turbo_RSR</x:v>
      </x:c>
    </x:row>
    <x:row r="361">
      <x:c r="A361" s="80" t="str">
        <x:v>Não</x:v>
      </x:c>
      <x:c r="B361" s="80" t="str">
        <x:v>2 — Completar aos poucos</x:v>
      </x:c>
      <x:c r="C361" s="81" t="n">
        <x:v>2016</x:v>
      </x:c>
      <x:c r="D361" s="80" t="str">
        <x:v>Porsche 934 Turbo RSR</x:v>
      </x:c>
      <x:c r="E361" s="80" t="str">
        <x:v>Porsche 934 Turbo RSR</x:v>
      </x:c>
      <x:c r="F361" s="82" t="str">
        <x:v>Toy Fair</x:v>
      </x:c>
      <x:c r="G361" s="80" t="str"/>
      <x:c r="H361" s="80" t="str"/>
      <x:c r="I361" s="83" t="str">
        <x:v>DJH70</x:v>
      </x:c>
      <x:c r="J361" s="80" t="str">
        <x:v>Chrome Gold</x:v>
      </x:c>
      <x:c r="K361" s="82" t="str">
        <x:v>White "16" on hood &amp; sides; "Hot Wheels" on sides</x:v>
      </x:c>
      <x:c r="L361" s="82" t="str">
        <x:v>Goodyear Gold D7RR</x:v>
      </x:c>
      <x:c r="M361" s="82" t="str">
        <x:v>Black / / / Metal</x:v>
      </x:c>
      <x:c r="N361" s="82" t="str">
        <x:v>Clear</x:v>
      </x:c>
      <x:c r="O361" s="82" t="str">
        <x:v>Black</x:v>
      </x:c>
      <x:c r="P361" s="82" t="str">
        <x:v>Malaysia</x:v>
      </x:c>
      <x:c r="Q361" s="82" t="str"/>
      <x:c r="R361" s="82" t="str">
        <x:v>Outra linha</x:v>
      </x:c>
      <x:c r="S361" s="82" t="str">
        <x:v>Comum / atual</x:v>
      </x:c>
      <x:c r="T361" s="82" t="str">
        <x:v>Lançado</x:v>
      </x:c>
      <x:c r="U361" s="82" t="str">
        <x:v>Base code(s):</x:v>
      </x:c>
      <x:c r="V361" s="80" t="str">
        <x:v>Coleção principal (~1:64)</x:v>
      </x:c>
      <x:c r="W361" s="82" t="str">
        <x:v>https://hotwheels.fandom.com/wiki/Porsche_934_Turbo_RSR</x:v>
      </x:c>
      <x:c r="X361" s="82" t="str">
        <x:v>https://hotwheels.fandom.com/wiki/Porsche_934_Turbo_RSR</x:v>
      </x:c>
    </x:row>
    <x:row r="362">
      <x:c r="A362" s="80" t="str">
        <x:v>Não</x:v>
      </x:c>
      <x:c r="B362" s="80" t="str">
        <x:v>2 — Completar aos poucos</x:v>
      </x:c>
      <x:c r="C362" s="81" t="n">
        <x:v>2016</x:v>
      </x:c>
      <x:c r="D362" s="80" t="str">
        <x:v>Porsche 964</x:v>
      </x:c>
      <x:c r="E362" s="80" t="str">
        <x:v>Porsche 964</x:v>
      </x:c>
      <x:c r="F362" s="82" t="str">
        <x:v>Car Culture: Track Day / 1/5</x:v>
      </x:c>
      <x:c r="G362" s="80" t="str"/>
      <x:c r="H362" s="80" t="str"/>
      <x:c r="I362" s="83" t="str">
        <x:v>DJF93</x:v>
      </x:c>
      <x:c r="J362" s="80" t="str">
        <x:v>Metalflake Dark Grey</x:v>
      </x:c>
      <x:c r="K362" s="82" t="str">
        <x:v>Black trunk &amp; hood, Urban Outlaw logo on top, '964' &amp; Black stripe w/ 'Porsche' on sides</x:v>
      </x:c>
      <x:c r="L362" s="82" t="str">
        <x:v>Gold RR8SP</x:v>
      </x:c>
      <x:c r="M362" s="82" t="str">
        <x:v>Pearl Blue / / / Metal</x:v>
      </x:c>
      <x:c r="N362" s="82" t="str">
        <x:v>Clear</x:v>
      </x:c>
      <x:c r="O362" s="82" t="str">
        <x:v>Blue</x:v>
      </x:c>
      <x:c r="P362" s="82" t="str">
        <x:v>Malaysia</x:v>
      </x:c>
      <x:c r="Q362" s="82" t="str"/>
      <x:c r="R362" s="82" t="str">
        <x:v>Premium</x:v>
      </x:c>
      <x:c r="S362" s="82" t="str">
        <x:v>Incomum</x:v>
      </x:c>
      <x:c r="T362" s="82" t="str">
        <x:v>Lançado</x:v>
      </x:c>
      <x:c r="U362" s="82" t="str"/>
      <x:c r="V362" s="80" t="str">
        <x:v>Coleção principal (~1:64)</x:v>
      </x:c>
      <x:c r="W362" s="82" t="str">
        <x:v>https://hotwheels.fandom.com/wiki/Porsche_964</x:v>
      </x:c>
      <x:c r="X362" s="82" t="str">
        <x:v>https://hotwheels.fandom.com/wiki/Porsche_964</x:v>
      </x:c>
    </x:row>
    <x:row r="363">
      <x:c r="A363" s="80" t="str">
        <x:v>Não</x:v>
      </x:c>
      <x:c r="B363" s="80" t="str">
        <x:v>2 — Completar aos poucos</x:v>
      </x:c>
      <x:c r="C363" s="81" t="n">
        <x:v>2016</x:v>
      </x:c>
      <x:c r="D363" s="80" t="str">
        <x:v>Porsche 993 GT2</x:v>
      </x:c>
      <x:c r="E363" s="80" t="str">
        <x:v>Porsche 993 GT2</x:v>
      </x:c>
      <x:c r="F363" s="82" t="str">
        <x:v>Car Culture: Euro Style / 4/5</x:v>
      </x:c>
      <x:c r="G363" s="80" t="str"/>
      <x:c r="H363" s="80" t="str"/>
      <x:c r="I363" s="83" t="str">
        <x:v>DJF86</x:v>
      </x:c>
      <x:c r="J363" s="80" t="str">
        <x:v>Black</x:v>
      </x:c>
      <x:c r="K363" s="82" t="str">
        <x:v>Purple &amp; Pink stripes on top &amp; sides, White plane, sponsor logos on sides</x:v>
      </x:c>
      <x:c r="L363" s="82" t="str">
        <x:v>RRMC</x:v>
      </x:c>
      <x:c r="M363" s="82" t="str">
        <x:v>ZAMAC</x:v>
      </x:c>
      <x:c r="N363" s="82" t="str">
        <x:v>Clear</x:v>
      </x:c>
      <x:c r="O363" s="82" t="str">
        <x:v>Grey</x:v>
      </x:c>
      <x:c r="P363" s="82" t="str">
        <x:v>Malaysia</x:v>
      </x:c>
      <x:c r="Q363" s="82" t="str"/>
      <x:c r="R363" s="82" t="str">
        <x:v>Premium</x:v>
      </x:c>
      <x:c r="S363" s="82" t="str">
        <x:v>Incomum</x:v>
      </x:c>
      <x:c r="T363" s="82" t="str">
        <x:v>Lançado</x:v>
      </x:c>
      <x:c r="U363" s="82" t="str">
        <x:v>Base code(s): J12, J15</x:v>
      </x:c>
      <x:c r="V363" s="80" t="str">
        <x:v>Coleção principal (~1:64)</x:v>
      </x:c>
      <x:c r="W363" s="82" t="str">
        <x:v>https://hotwheels.fandom.com/wiki/Porsche_993_GT2</x:v>
      </x:c>
      <x:c r="X363" s="82" t="str">
        <x:v>https://hotwheels.fandom.com/wiki/Porsche_993_GT2</x:v>
      </x:c>
    </x:row>
    <x:row r="364">
      <x:c r="A364" s="80" t="str">
        <x:v>Não</x:v>
      </x:c>
      <x:c r="B364" s="80" t="str">
        <x:v>2 — Completar aos poucos</x:v>
      </x:c>
      <x:c r="C364" s="81" t="n">
        <x:v>2016</x:v>
      </x:c>
      <x:c r="D364" s="80" t="str">
        <x:v>Porsche 993 GT2</x:v>
      </x:c>
      <x:c r="E364" s="80" t="str">
        <x:v>Porsche 993 GT2</x:v>
      </x:c>
      <x:c r="F364" s="82" t="str">
        <x:v>HW Showroom / 4/10</x:v>
      </x:c>
      <x:c r="G364" s="80" t="str"/>
      <x:c r="H364" s="80" t="str">
        <x:v>114/250</x:v>
      </x:c>
      <x:c r="I364" s="83" t="str">
        <x:v>DHT11</x:v>
      </x:c>
      <x:c r="J364" s="80" t="str">
        <x:v>Dark Blue</x:v>
      </x:c>
      <x:c r="K364" s="82" t="str">
        <x:v>Black hood, Orange stripe on top, 'Porsche' on spoiler</x:v>
      </x:c>
      <x:c r="L364" s="82" t="str">
        <x:v>Chrome Orange PR5</x:v>
      </x:c>
      <x:c r="M364" s="82" t="str">
        <x:v>Grey / / / Plastic</x:v>
      </x:c>
      <x:c r="N364" s="82" t="str">
        <x:v>Clear</x:v>
      </x:c>
      <x:c r="O364" s="82" t="str">
        <x:v>White</x:v>
      </x:c>
      <x:c r="P364" s="82" t="str">
        <x:v>Malaysia</x:v>
      </x:c>
      <x:c r="Q364" s="82" t="str"/>
      <x:c r="R364" s="82" t="str">
        <x:v>Mainline</x:v>
      </x:c>
      <x:c r="S364" s="82" t="str">
        <x:v>Comum / atual</x:v>
      </x:c>
      <x:c r="T364" s="82" t="str">
        <x:v>Lançado</x:v>
      </x:c>
      <x:c r="U364" s="82" t="str">
        <x:v>Base code(s): H45, H46, H48, H50</x:v>
      </x:c>
      <x:c r="V364" s="80" t="str">
        <x:v>Coleção principal (~1:64)</x:v>
      </x:c>
      <x:c r="W364" s="82" t="str">
        <x:v>https://hotwheels.fandom.com/wiki/Porsche_993_GT2</x:v>
      </x:c>
      <x:c r="X364" s="82" t="str">
        <x:v>https://hotwheels.fandom.com/wiki/Porsche_993_GT2</x:v>
      </x:c>
    </x:row>
    <x:row r="365">
      <x:c r="A365" s="80" t="str">
        <x:v>Não</x:v>
      </x:c>
      <x:c r="B365" s="80" t="str">
        <x:v>2 — Completar aos poucos</x:v>
      </x:c>
      <x:c r="C365" s="81" t="n">
        <x:v>2016</x:v>
      </x:c>
      <x:c r="D365" s="80" t="str">
        <x:v>Porsche Carrera GT</x:v>
      </x:c>
      <x:c r="E365" s="80" t="str">
        <x:v>Porsche Carrera GT</x:v>
      </x:c>
      <x:c r="F365" s="82" t="str">
        <x:v>HW Exotics / 4/10</x:v>
      </x:c>
      <x:c r="G365" s="80" t="str"/>
      <x:c r="H365" s="80" t="str">
        <x:v>074/250</x:v>
      </x:c>
      <x:c r="I365" s="83" t="str">
        <x:v>DHX20</x:v>
      </x:c>
      <x:c r="J365" s="80" t="str">
        <x:v>Fayence Yellow</x:v>
      </x:c>
      <x:c r="K365" s="82" t="str">
        <x:v>Headlights, taillights, black hood stripes, Porsche logo</x:v>
      </x:c>
      <x:c r="L365" s="82" t="str">
        <x:v>Gold MC5</x:v>
      </x:c>
      <x:c r="M365" s="82" t="str">
        <x:v>Black / / / Plastic</x:v>
      </x:c>
      <x:c r="N365" s="82" t="str">
        <x:v>Clear</x:v>
      </x:c>
      <x:c r="O365" s="82" t="str">
        <x:v>Black</x:v>
      </x:c>
      <x:c r="P365" s="82" t="str">
        <x:v>Malaysia</x:v>
      </x:c>
      <x:c r="Q365" s="82" t="str"/>
      <x:c r="R365" s="82" t="str">
        <x:v>Mainline</x:v>
      </x:c>
      <x:c r="S365" s="82" t="str">
        <x:v>Comum / atual</x:v>
      </x:c>
      <x:c r="T365" s="82" t="str">
        <x:v>Lançado</x:v>
      </x:c>
      <x:c r="U365" s="82" t="str">
        <x:v>Base code(s): J19, J20, J22, J23, J24, J25</x:v>
      </x:c>
      <x:c r="V365" s="80" t="str">
        <x:v>Coleção principal (~1:64)</x:v>
      </x:c>
      <x:c r="W365" s="82" t="str">
        <x:v>https://hotwheels.fandom.com/wiki/Porsche_Carrera_GT</x:v>
      </x:c>
      <x:c r="X365" s="82" t="str">
        <x:v>https://hotwheels.fandom.com/wiki/Porsche_Carrera_GT</x:v>
      </x:c>
    </x:row>
    <x:row r="366">
      <x:c r="A366" s="80" t="str">
        <x:v>Não</x:v>
      </x:c>
      <x:c r="B366" s="80" t="str">
        <x:v>2 — Completar aos poucos</x:v>
      </x:c>
      <x:c r="C366" s="81" t="n">
        <x:v>2016</x:v>
      </x:c>
      <x:c r="D366" s="80" t="str">
        <x:v>Porsche Carrera GT</x:v>
      </x:c>
      <x:c r="E366" s="80" t="str">
        <x:v>Porsche Carrera GT</x:v>
      </x:c>
      <x:c r="F366" s="82" t="str">
        <x:v>HW Exotics / 4/10</x:v>
      </x:c>
      <x:c r="G366" s="80" t="str"/>
      <x:c r="H366" s="80" t="str">
        <x:v>074/250</x:v>
      </x:c>
      <x:c r="I366" s="83" t="str">
        <x:v>DHP98</x:v>
      </x:c>
      <x:c r="J366" s="80" t="str">
        <x:v>Matte Basalt Black</x:v>
      </x:c>
      <x:c r="K366" s="82" t="str">
        <x:v>Headlights, taillights, yellow hood stripes, Porsche logo</x:v>
      </x:c>
      <x:c r="L366" s="82" t="str">
        <x:v>Yellow rim MC5</x:v>
      </x:c>
      <x:c r="M366" s="82" t="str">
        <x:v>Grey / / / Plastic</x:v>
      </x:c>
      <x:c r="N366" s="82" t="str">
        <x:v>Clear</x:v>
      </x:c>
      <x:c r="O366" s="82" t="str">
        <x:v>Yellow</x:v>
      </x:c>
      <x:c r="P366" s="82" t="str">
        <x:v>Malaysia</x:v>
      </x:c>
      <x:c r="Q366" s="82" t="str"/>
      <x:c r="R366" s="82" t="str">
        <x:v>Mainline</x:v>
      </x:c>
      <x:c r="S366" s="82" t="str">
        <x:v>Comum / atual</x:v>
      </x:c>
      <x:c r="T366" s="82" t="str">
        <x:v>Lançado</x:v>
      </x:c>
      <x:c r="U366" s="82" t="str">
        <x:v>Base code(s): H43, H46, H47, H48, H49, H50</x:v>
      </x:c>
      <x:c r="V366" s="80" t="str">
        <x:v>Coleção principal (~1:64)</x:v>
      </x:c>
      <x:c r="W366" s="82" t="str">
        <x:v>https://hotwheels.fandom.com/wiki/Porsche_Carrera_GT</x:v>
      </x:c>
      <x:c r="X366" s="82" t="str">
        <x:v>https://hotwheels.fandom.com/wiki/Porsche_Carrera_GT</x:v>
      </x:c>
    </x:row>
    <x:row r="367">
      <x:c r="A367" s="80" t="str">
        <x:v>Não</x:v>
      </x:c>
      <x:c r="B367" s="80" t="str">
        <x:v>2 — Completar aos poucos</x:v>
      </x:c>
      <x:c r="C367" s="81" t="n">
        <x:v>2016</x:v>
      </x:c>
      <x:c r="D367" s="80" t="str">
        <x:v>Porsche Carrera GT</x:v>
      </x:c>
      <x:c r="E367" s="80" t="str">
        <x:v>Porsche Carrera GT</x:v>
      </x:c>
      <x:c r="F367" s="82" t="str">
        <x:v>HW Exotics / 4/10</x:v>
      </x:c>
      <x:c r="G367" s="80" t="str"/>
      <x:c r="H367" s="80" t="str">
        <x:v>074/250</x:v>
      </x:c>
      <x:c r="I367" s="83" t="str">
        <x:v>DHX85</x:v>
      </x:c>
      <x:c r="J367" s="80" t="str">
        <x:v>ZAMAC</x:v>
      </x:c>
      <x:c r="K367" s="82" t="str">
        <x:v>Headlights, taillights, red hood stripes, Porsche logo</x:v>
      </x:c>
      <x:c r="L367" s="82" t="str">
        <x:v>Chrome Red Rim, Black MC5</x:v>
      </x:c>
      <x:c r="M367" s="82" t="str">
        <x:v>Black / / / Plastic</x:v>
      </x:c>
      <x:c r="N367" s="82" t="str">
        <x:v>Clear</x:v>
      </x:c>
      <x:c r="O367" s="82" t="str">
        <x:v>Black</x:v>
      </x:c>
      <x:c r="P367" s="82" t="str">
        <x:v>Malaysia</x:v>
      </x:c>
      <x:c r="Q367" s="82" t="str">
        <x:v>ZAMAC, Walmart</x:v>
      </x:c>
      <x:c r="R367" s="82" t="str">
        <x:v>Mainline</x:v>
      </x:c>
      <x:c r="S367" s="82" t="str">
        <x:v>Rara</x:v>
      </x:c>
      <x:c r="T367" s="82" t="str">
        <x:v>Lançado</x:v>
      </x:c>
      <x:c r="U367" s="82" t="str">
        <x:v>Walmart Exclusive / Base code(s): H51</x:v>
      </x:c>
      <x:c r="V367" s="80" t="str">
        <x:v>Coleção principal (~1:64)</x:v>
      </x:c>
      <x:c r="W367" s="82" t="str">
        <x:v>https://hotwheels.fandom.com/wiki/Porsche_Carrera_GT</x:v>
      </x:c>
      <x:c r="X367" s="82" t="str">
        <x:v>https://hotwheels.fandom.com/wiki/Porsche_Carrera_GT</x:v>
      </x:c>
    </x:row>
    <x:row r="368">
      <x:c r="A368" s="80" t="str">
        <x:v>Não</x:v>
      </x:c>
      <x:c r="B368" s="80" t="str">
        <x:v>2 — Completar aos poucos</x:v>
      </x:c>
      <x:c r="C368" s="81" t="n">
        <x:v>2016</x:v>
      </x:c>
      <x:c r="D368" s="80" t="str">
        <x:v>Porsche Panamera</x:v>
      </x:c>
      <x:c r="E368" s="80" t="str">
        <x:v>Porsche Panamera</x:v>
      </x:c>
      <x:c r="F368" s="82" t="str">
        <x:v>HW Exotics 5-Pack also Multipack Exclusive</x:v>
      </x:c>
      <x:c r="G368" s="80" t="str"/>
      <x:c r="H368" s="80" t="str"/>
      <x:c r="I368" s="83" t="str">
        <x:v>DJD29</x:v>
      </x:c>
      <x:c r="J368" s="80" t="str">
        <x:v>Orange</x:v>
      </x:c>
      <x:c r="K368" s="82" t="str">
        <x:v>Front Headlights</x:v>
      </x:c>
      <x:c r="L368" s="82" t="str">
        <x:v>PR5</x:v>
      </x:c>
      <x:c r="M368" s="82" t="str">
        <x:v>Black / / / Plastic</x:v>
      </x:c>
      <x:c r="N368" s="82" t="str">
        <x:v>Smoke tint</x:v>
      </x:c>
      <x:c r="O368" s="82" t="str">
        <x:v>Black</x:v>
      </x:c>
      <x:c r="P368" s="82" t="str">
        <x:v>Thailand</x:v>
      </x:c>
      <x:c r="Q368" s="82" t="str"/>
      <x:c r="R368" s="82" t="str">
        <x:v>Temática / multipack</x:v>
      </x:c>
      <x:c r="S368" s="82" t="str">
        <x:v>Comum / atual</x:v>
      </x:c>
      <x:c r="T368" s="82" t="str">
        <x:v>Lançado</x:v>
      </x:c>
      <x:c r="U368" s="82" t="str">
        <x:v>Base code(s): J31, J33, J39, J43, J45, J48</x:v>
      </x:c>
      <x:c r="V368" s="80" t="str">
        <x:v>Coleção principal (~1:64)</x:v>
      </x:c>
      <x:c r="W368" s="82" t="str">
        <x:v>https://hotwheels.fandom.com/wiki/Porsche_Panamera</x:v>
      </x:c>
      <x:c r="X368" s="82" t="str">
        <x:v>https://hotwheels.fandom.com/wiki/Porsche_Panamera</x:v>
      </x:c>
    </x:row>
    <x:row r="369">
      <x:c r="A369" s="80" t="str">
        <x:v>Não</x:v>
      </x:c>
      <x:c r="B369" s="80" t="str">
        <x:v>2 — Completar aos poucos</x:v>
      </x:c>
      <x:c r="C369" s="81" t="n">
        <x:v>2016</x:v>
      </x:c>
      <x:c r="D369" s="80" t="str">
        <x:v>Porsche Panamera</x:v>
      </x:c>
      <x:c r="E369" s="80" t="str">
        <x:v>Porsche Panamera</x:v>
      </x:c>
      <x:c r="F369" s="82" t="str">
        <x:v>Multipack Exclusive</x:v>
      </x:c>
      <x:c r="G369" s="80" t="str"/>
      <x:c r="H369" s="80" t="str"/>
      <x:c r="I369" s="83" t="str">
        <x:v>X6999</x:v>
      </x:c>
      <x:c r="J369" s="80" t="str">
        <x:v>Metallic Grey</x:v>
      </x:c>
      <x:c r="K369" s="82" t="str">
        <x:v>Front Headlights</x:v>
      </x:c>
      <x:c r="L369" s="82" t="str">
        <x:v>PR5 Black , Rim Chrome</x:v>
      </x:c>
      <x:c r="M369" s="82" t="str">
        <x:v>Black / / / Plastic</x:v>
      </x:c>
      <x:c r="N369" s="82" t="str">
        <x:v>Blue tint</x:v>
      </x:c>
      <x:c r="O369" s="82" t="str">
        <x:v>Grey</x:v>
      </x:c>
      <x:c r="P369" s="82" t="str">
        <x:v>Malaysia</x:v>
      </x:c>
      <x:c r="Q369" s="82" t="str"/>
      <x:c r="R369" s="82" t="str">
        <x:v>Temática / multipack</x:v>
      </x:c>
      <x:c r="S369" s="82" t="str">
        <x:v>Comum / atual</x:v>
      </x:c>
      <x:c r="T369" s="82" t="str">
        <x:v>Lançado</x:v>
      </x:c>
      <x:c r="U369" s="82" t="str">
        <x:v>Base code(s): J31</x:v>
      </x:c>
      <x:c r="V369" s="80" t="str">
        <x:v>Coleção principal (~1:64)</x:v>
      </x:c>
      <x:c r="W369" s="82" t="str">
        <x:v>https://hotwheels.fandom.com/wiki/Porsche_Panamera</x:v>
      </x:c>
      <x:c r="X369" s="82" t="str">
        <x:v>https://hotwheels.fandom.com/wiki/Porsche_Panamera</x:v>
      </x:c>
    </x:row>
    <x:row r="370">
      <x:c r="A370" s="80" t="str">
        <x:v>Não</x:v>
      </x:c>
      <x:c r="B370" s="80" t="str">
        <x:v>2 — Completar aos poucos</x:v>
      </x:c>
      <x:c r="C370" s="81" t="n">
        <x:v>2016</x:v>
      </x:c>
      <x:c r="D370" s="80" t="str">
        <x:v>Porsche Panamera</x:v>
      </x:c>
      <x:c r="E370" s="80" t="str">
        <x:v>Porsche Panamera</x:v>
      </x:c>
      <x:c r="F370" s="82" t="str">
        <x:v>Multipack Exclusive</x:v>
      </x:c>
      <x:c r="G370" s="80" t="str"/>
      <x:c r="H370" s="80" t="str"/>
      <x:c r="I370" s="83" t="str">
        <x:v>X6999</x:v>
      </x:c>
      <x:c r="J370" s="80" t="str">
        <x:v>Metallic Grey</x:v>
      </x:c>
      <x:c r="K370" s="82" t="str">
        <x:v>Front Headlights</x:v>
      </x:c>
      <x:c r="L370" s="82" t="str">
        <x:v>MC5</x:v>
      </x:c>
      <x:c r="M370" s="82" t="str">
        <x:v>Black / / / Plastic</x:v>
      </x:c>
      <x:c r="N370" s="82" t="str">
        <x:v>Blue tint</x:v>
      </x:c>
      <x:c r="O370" s="82" t="str">
        <x:v>Grey</x:v>
      </x:c>
      <x:c r="P370" s="82" t="str">
        <x:v>Malaysia</x:v>
      </x:c>
      <x:c r="Q370" s="82" t="str"/>
      <x:c r="R370" s="82" t="str">
        <x:v>Temática / multipack</x:v>
      </x:c>
      <x:c r="S370" s="82" t="str">
        <x:v>Comum / atual</x:v>
      </x:c>
      <x:c r="T370" s="82" t="str">
        <x:v>Lançado</x:v>
      </x:c>
      <x:c r="U370" s="82" t="str">
        <x:v>Base code(s):</x:v>
      </x:c>
      <x:c r="V370" s="80" t="str">
        <x:v>Coleção principal (~1:64)</x:v>
      </x:c>
      <x:c r="W370" s="82" t="str">
        <x:v>https://hotwheels.fandom.com/wiki/Porsche_Panamera</x:v>
      </x:c>
      <x:c r="X370" s="82" t="str">
        <x:v>https://hotwheels.fandom.com/wiki/Porsche_Panamera</x:v>
      </x:c>
    </x:row>
    <x:row r="371">
      <x:c r="A371" s="80" t="str">
        <x:v>Não</x:v>
      </x:c>
      <x:c r="B371" s="80" t="str">
        <x:v>2 — Completar aos poucos</x:v>
      </x:c>
      <x:c r="C371" s="81" t="n">
        <x:v>2015</x:v>
      </x:c>
      <x:c r="D371" s="80" t="str">
        <x:v>'78 Porsche 935-78</x:v>
      </x:c>
      <x:c r="E371" s="80" t="str">
        <x:v>'78 Porsche 935-78</x:v>
      </x:c>
      <x:c r="F371" s="82" t="str">
        <x:v>Porsche / 8/8</x:v>
      </x:c>
      <x:c r="G371" s="80" t="str"/>
      <x:c r="H371" s="80" t="str"/>
      <x:c r="I371" s="83" t="str">
        <x:v>CGB67</x:v>
      </x:c>
      <x:c r="J371" s="80" t="str">
        <x:v>Metalflake Light Blue</x:v>
      </x:c>
      <x:c r="K371" s="82" t="str">
        <x:v>Black &amp; Red stripes, White &amp; Black '35' &amp; Black 'Porsche' on sides</x:v>
      </x:c>
      <x:c r="L371" s="82" t="str">
        <x:v>PR5</x:v>
      </x:c>
      <x:c r="M371" s="82" t="str">
        <x:v>Grey / / / Plastic</x:v>
      </x:c>
      <x:c r="N371" s="82" t="str">
        <x:v>Smoke tint</x:v>
      </x:c>
      <x:c r="O371" s="82" t="str">
        <x:v>Red</x:v>
      </x:c>
      <x:c r="P371" s="82" t="str">
        <x:v>Thailand</x:v>
      </x:c>
      <x:c r="Q371" s="82" t="str"/>
      <x:c r="R371" s="82" t="str">
        <x:v>Outra linha</x:v>
      </x:c>
      <x:c r="S371" s="82" t="str">
        <x:v>Incomum</x:v>
      </x:c>
      <x:c r="T371" s="82" t="str">
        <x:v>Lançado</x:v>
      </x:c>
      <x:c r="U371" s="82" t="str"/>
      <x:c r="V371" s="80" t="str">
        <x:v>Coleção principal (~1:64)</x:v>
      </x:c>
      <x:c r="W371" s="82" t="str">
        <x:v>https://hotwheels.fandom.com/wiki/%2778_Porsche_935-78</x:v>
      </x:c>
      <x:c r="X371" s="82" t="str">
        <x:v>https://hotwheels.fandom.com/wiki/%2778_Porsche_935-78</x:v>
      </x:c>
    </x:row>
    <x:row r="372">
      <x:c r="A372" s="80" t="str">
        <x:v>Não</x:v>
      </x:c>
      <x:c r="B372" s="80" t="str">
        <x:v>2 — Completar aos poucos</x:v>
      </x:c>
      <x:c r="C372" s="81" t="n">
        <x:v>2015</x:v>
      </x:c>
      <x:c r="D372" s="80" t="str">
        <x:v>Porsche 911 GT2</x:v>
      </x:c>
      <x:c r="E372" s="80" t="str">
        <x:v>Porsche 911 GT2</x:v>
      </x:c>
      <x:c r="F372" s="82" t="str">
        <x:v>HW Exotics 5-Pack</x:v>
      </x:c>
      <x:c r="G372" s="80" t="str"/>
      <x:c r="H372" s="80" t="str"/>
      <x:c r="I372" s="83" t="str">
        <x:v>CDT27</x:v>
      </x:c>
      <x:c r="J372" s="80" t="str">
        <x:v>Green</x:v>
      </x:c>
      <x:c r="K372" s="82" t="str">
        <x:v>Porsche badge, tail lights, GT2 on rear</x:v>
      </x:c>
      <x:c r="L372" s="82" t="str">
        <x:v>Chrome Orange MC5</x:v>
      </x:c>
      <x:c r="M372" s="82" t="str">
        <x:v>Black / / / Plastic</x:v>
      </x:c>
      <x:c r="N372" s="82" t="str">
        <x:v>Tinted (Black)</x:v>
      </x:c>
      <x:c r="O372" s="82" t="str">
        <x:v>Black</x:v>
      </x:c>
      <x:c r="P372" s="82" t="str">
        <x:v>Malaysia</x:v>
      </x:c>
      <x:c r="Q372" s="82" t="str"/>
      <x:c r="R372" s="82" t="str">
        <x:v>Temática / multipack</x:v>
      </x:c>
      <x:c r="S372" s="82" t="str">
        <x:v>Incomum</x:v>
      </x:c>
      <x:c r="T372" s="82" t="str">
        <x:v>Lançado</x:v>
      </x:c>
      <x:c r="U372" s="82" t="str">
        <x:v>Base code(s): H40, H41, H51, J11</x:v>
      </x:c>
      <x:c r="V372" s="80" t="str">
        <x:v>Coleção principal (~1:64)</x:v>
      </x:c>
      <x:c r="W372" s="82" t="str">
        <x:v>https://hotwheels.fandom.com/wiki/Porsche_911_GT2</x:v>
      </x:c>
      <x:c r="X372" s="82" t="str">
        <x:v>https://hotwheels.fandom.com/wiki/Porsche_911_GT2</x:v>
      </x:c>
    </x:row>
    <x:row r="373">
      <x:c r="A373" s="80" t="str">
        <x:v>Não</x:v>
      </x:c>
      <x:c r="B373" s="80" t="str">
        <x:v>2 — Completar aos poucos</x:v>
      </x:c>
      <x:c r="C373" s="81" t="n">
        <x:v>2015</x:v>
      </x:c>
      <x:c r="D373" s="80" t="str">
        <x:v>Porsche 911 GT2</x:v>
      </x:c>
      <x:c r="E373" s="80" t="str">
        <x:v>Porsche 911 GT2</x:v>
      </x:c>
      <x:c r="F373" s="82" t="str">
        <x:v>HW Exotics 5-Pack</x:v>
      </x:c>
      <x:c r="G373" s="80" t="str"/>
      <x:c r="H373" s="80" t="str"/>
      <x:c r="I373" s="83" t="str">
        <x:v>CDT27</x:v>
      </x:c>
      <x:c r="J373" s="80" t="str">
        <x:v>Green</x:v>
      </x:c>
      <x:c r="K373" s="82" t="str">
        <x:v>Porsche badge, tail lights, GT2 on rear</x:v>
      </x:c>
      <x:c r="L373" s="82" t="str">
        <x:v>Chrome Gold MC5</x:v>
      </x:c>
      <x:c r="M373" s="82" t="str">
        <x:v>Black / / / Plastic</x:v>
      </x:c>
      <x:c r="N373" s="82" t="str">
        <x:v>Tinted (Black)</x:v>
      </x:c>
      <x:c r="O373" s="82" t="str">
        <x:v>Black</x:v>
      </x:c>
      <x:c r="P373" s="82" t="str">
        <x:v>Malaysia</x:v>
      </x:c>
      <x:c r="Q373" s="82" t="str"/>
      <x:c r="R373" s="82" t="str">
        <x:v>Temática / multipack</x:v>
      </x:c>
      <x:c r="S373" s="82" t="str">
        <x:v>Incomum</x:v>
      </x:c>
      <x:c r="T373" s="82" t="str">
        <x:v>Lançado</x:v>
      </x:c>
      <x:c r="U373" s="82" t="str">
        <x:v>Base code(s):</x:v>
      </x:c>
      <x:c r="V373" s="80" t="str">
        <x:v>Coleção principal (~1:64)</x:v>
      </x:c>
      <x:c r="W373" s="82" t="str">
        <x:v>https://hotwheels.fandom.com/wiki/Porsche_911_GT2</x:v>
      </x:c>
      <x:c r="X373" s="82" t="str">
        <x:v>https://hotwheels.fandom.com/wiki/Porsche_911_GT2</x:v>
      </x:c>
    </x:row>
    <x:row r="374">
      <x:c r="A374" s="80" t="str">
        <x:v>Não</x:v>
      </x:c>
      <x:c r="B374" s="80" t="str">
        <x:v>2 — Completar aos poucos</x:v>
      </x:c>
      <x:c r="C374" s="81" t="n">
        <x:v>2015</x:v>
      </x:c>
      <x:c r="D374" s="80" t="str">
        <x:v>Porsche 911 GT3 RS (2011)</x:v>
      </x:c>
      <x:c r="E374" s="80" t="str">
        <x:v>Porsche 911 GT3 RS</x:v>
      </x:c>
      <x:c r="F374" s="82" t="str">
        <x:v>HW Workshop: Night Burnerz</x:v>
      </x:c>
      <x:c r="G374" s="80" t="str"/>
      <x:c r="H374" s="80" t="str">
        <x:v>196/250</x:v>
      </x:c>
      <x:c r="I374" s="83" t="str">
        <x:v>CFH86</x:v>
      </x:c>
      <x:c r="J374" s="80" t="str">
        <x:v>Pearl Yellow</x:v>
      </x:c>
      <x:c r="K374" s="82" t="str">
        <x:v>Black stripes on sides &amp; hood</x:v>
      </x:c>
      <x:c r="L374" s="82" t="str">
        <x:v>Yellow &amp; Black PR5</x:v>
      </x:c>
      <x:c r="M374" s="82" t="str">
        <x:v>Black / / / Plastic</x:v>
      </x:c>
      <x:c r="N374" s="82" t="str">
        <x:v>Clear</x:v>
      </x:c>
      <x:c r="O374" s="82" t="str">
        <x:v>Black</x:v>
      </x:c>
      <x:c r="P374" s="82" t="str">
        <x:v>Malaysia</x:v>
      </x:c>
      <x:c r="Q374" s="82" t="str"/>
      <x:c r="R374" s="82" t="str">
        <x:v>Mainline</x:v>
      </x:c>
      <x:c r="S374" s="82" t="str">
        <x:v>Incomum</x:v>
      </x:c>
      <x:c r="T374" s="82" t="str">
        <x:v>Lançado</x:v>
      </x:c>
      <x:c r="U374" s="82" t="str">
        <x:v>Updated tooling / Base code(s): G42, G44, G45, G50</x:v>
      </x:c>
      <x:c r="V374" s="80" t="str">
        <x:v>Coleção principal (~1:64)</x:v>
      </x:c>
      <x:c r="W374" s="82" t="str">
        <x:v>https://hotwheels.fandom.com/wiki/Porsche_911_GT3_RS_(2011)</x:v>
      </x:c>
      <x:c r="X374" s="82" t="str">
        <x:v>https://hotwheels.fandom.com/wiki/Porsche_911_GT3_RS_(2011)</x:v>
      </x:c>
    </x:row>
    <x:row r="375">
      <x:c r="A375" s="80" t="str">
        <x:v>Não</x:v>
      </x:c>
      <x:c r="B375" s="80" t="str">
        <x:v>2 — Completar aos poucos</x:v>
      </x:c>
      <x:c r="C375" s="81" t="n">
        <x:v>2015</x:v>
      </x:c>
      <x:c r="D375" s="80" t="str">
        <x:v>Porsche 911 GT3 RS (2011)</x:v>
      </x:c>
      <x:c r="E375" s="80" t="str">
        <x:v>Porsche 911 GT3 RS</x:v>
      </x:c>
      <x:c r="F375" s="82" t="str">
        <x:v>HW Workshop: Night Burnerz</x:v>
      </x:c>
      <x:c r="G375" s="80" t="str"/>
      <x:c r="H375" s="80" t="str">
        <x:v>196/250</x:v>
      </x:c>
      <x:c r="I375" s="83" t="str">
        <x:v>CFL78</x:v>
      </x:c>
      <x:c r="J375" s="80" t="str">
        <x:v>Red</x:v>
      </x:c>
      <x:c r="K375" s="82" t="str">
        <x:v>White stripes on sides &amp; hood</x:v>
      </x:c>
      <x:c r="L375" s="82" t="str">
        <x:v>Chrome Red &amp; Black PR5</x:v>
      </x:c>
      <x:c r="M375" s="82" t="str">
        <x:v>Black / / / Plastic</x:v>
      </x:c>
      <x:c r="N375" s="82" t="str">
        <x:v>Clear</x:v>
      </x:c>
      <x:c r="O375" s="82" t="str">
        <x:v>Black</x:v>
      </x:c>
      <x:c r="P375" s="82" t="str">
        <x:v>Malaysia</x:v>
      </x:c>
      <x:c r="Q375" s="82" t="str"/>
      <x:c r="R375" s="82" t="str">
        <x:v>Mainline</x:v>
      </x:c>
      <x:c r="S375" s="82" t="str">
        <x:v>Incomum</x:v>
      </x:c>
      <x:c r="T375" s="82" t="str">
        <x:v>Lançado</x:v>
      </x:c>
      <x:c r="U375" s="82" t="str">
        <x:v>Base code(s): G52, H04, H05, H06, H07</x:v>
      </x:c>
      <x:c r="V375" s="80" t="str">
        <x:v>Coleção principal (~1:64)</x:v>
      </x:c>
      <x:c r="W375" s="82" t="str">
        <x:v>https://hotwheels.fandom.com/wiki/Porsche_911_GT3_RS_(2011)</x:v>
      </x:c>
      <x:c r="X375" s="82" t="str">
        <x:v>https://hotwheels.fandom.com/wiki/Porsche_911_GT3_RS_(2011)</x:v>
      </x:c>
    </x:row>
    <x:row r="376">
      <x:c r="A376" s="80" t="str">
        <x:v>Não</x:v>
      </x:c>
      <x:c r="B376" s="80" t="str">
        <x:v>2 — Completar aos poucos</x:v>
      </x:c>
      <x:c r="C376" s="81" t="n">
        <x:v>2015</x:v>
      </x:c>
      <x:c r="D376" s="80" t="str">
        <x:v>Porsche 911 GT3 RS (2011)</x:v>
      </x:c>
      <x:c r="E376" s="80" t="str">
        <x:v>Porsche 911 GT3 RS</x:v>
      </x:c>
      <x:c r="F376" s="82" t="str">
        <x:v>HW Workshop: Night Burnerz</x:v>
      </x:c>
      <x:c r="G376" s="80" t="str"/>
      <x:c r="H376" s="80" t="str">
        <x:v>196/250</x:v>
      </x:c>
      <x:c r="I376" s="83" t="str">
        <x:v>CFJ87</x:v>
      </x:c>
      <x:c r="J376" s="80" t="str">
        <x:v>ZAMAC</x:v>
      </x:c>
      <x:c r="K376" s="82" t="str">
        <x:v>Red stripes on sides &amp; hood</x:v>
      </x:c>
      <x:c r="L376" s="82" t="str">
        <x:v>Chrome Red PR5</x:v>
      </x:c>
      <x:c r="M376" s="82" t="str">
        <x:v>Black / / / Plastic</x:v>
      </x:c>
      <x:c r="N376" s="82" t="str">
        <x:v>Clear</x:v>
      </x:c>
      <x:c r="O376" s="82" t="str">
        <x:v>Black</x:v>
      </x:c>
      <x:c r="P376" s="82" t="str">
        <x:v>Malaysia</x:v>
      </x:c>
      <x:c r="Q376" s="82" t="str">
        <x:v>ZAMAC, Walmart</x:v>
      </x:c>
      <x:c r="R376" s="82" t="str">
        <x:v>Mainline</x:v>
      </x:c>
      <x:c r="S376" s="82" t="str">
        <x:v>Rara</x:v>
      </x:c>
      <x:c r="T376" s="82" t="str">
        <x:v>Lançado</x:v>
      </x:c>
      <x:c r="U376" s="82" t="str">
        <x:v>Walmart Exclusive / Card not labeled as ZAMAC / Base code(s): G52</x:v>
      </x:c>
      <x:c r="V376" s="80" t="str">
        <x:v>Coleção principal (~1:64)</x:v>
      </x:c>
      <x:c r="W376" s="82" t="str">
        <x:v>https://hotwheels.fandom.com/wiki/Porsche_911_GT3_RS_(2011)</x:v>
      </x:c>
      <x:c r="X376" s="82" t="str">
        <x:v>https://hotwheels.fandom.com/wiki/Porsche_911_GT3_RS_(2011)</x:v>
      </x:c>
    </x:row>
    <x:row r="377">
      <x:c r="A377" s="80" t="str">
        <x:v>Não</x:v>
      </x:c>
      <x:c r="B377" s="80" t="str">
        <x:v>2 — Completar aos poucos</x:v>
      </x:c>
      <x:c r="C377" s="81" t="n">
        <x:v>2015</x:v>
      </x:c>
      <x:c r="D377" s="80" t="str">
        <x:v>Porsche 911 GT3 RS (2011)</x:v>
      </x:c>
      <x:c r="E377" s="80" t="str">
        <x:v>Porsche 911 GT3 RS</x:v>
      </x:c>
      <x:c r="F377" s="82" t="str">
        <x:v>Mystery Models (International) / 4/30</x:v>
      </x:c>
      <x:c r="G377" s="80" t="str"/>
      <x:c r="H377" s="80" t="str"/>
      <x:c r="I377" s="83" t="str">
        <x:v>CJX51</x:v>
      </x:c>
      <x:c r="J377" s="80" t="str">
        <x:v>Grey</x:v>
      </x:c>
      <x:c r="K377" s="82" t="str">
        <x:v>Black stripes on sides &amp; hood</x:v>
      </x:c>
      <x:c r="L377" s="82" t="str">
        <x:v>Chrome Red &amp; Black PR5</x:v>
      </x:c>
      <x:c r="M377" s="82" t="str">
        <x:v>Black / / / Plastic</x:v>
      </x:c>
      <x:c r="N377" s="82" t="str">
        <x:v>Smoke tint</x:v>
      </x:c>
      <x:c r="O377" s="82" t="str">
        <x:v>Black</x:v>
      </x:c>
      <x:c r="P377" s="82" t="str">
        <x:v>Malaysia</x:v>
      </x:c>
      <x:c r="Q377" s="82" t="str"/>
      <x:c r="R377" s="82" t="str">
        <x:v>Outra linha</x:v>
      </x:c>
      <x:c r="S377" s="82" t="str">
        <x:v>Incomum</x:v>
      </x:c>
      <x:c r="T377" s="82" t="str">
        <x:v>Lançado</x:v>
      </x:c>
      <x:c r="U377" s="82" t="str">
        <x:v>Base code(s): H33</x:v>
      </x:c>
      <x:c r="V377" s="80" t="str">
        <x:v>Coleção principal (~1:64)</x:v>
      </x:c>
      <x:c r="W377" s="82" t="str">
        <x:v>https://hotwheels.fandom.com/wiki/Porsche_911_GT3_RS_(2011)</x:v>
      </x:c>
      <x:c r="X377" s="82" t="str">
        <x:v>https://hotwheels.fandom.com/wiki/Porsche_911_GT3_RS_(2011)</x:v>
      </x:c>
    </x:row>
    <x:row r="378">
      <x:c r="A378" s="80" t="str">
        <x:v>Não</x:v>
      </x:c>
      <x:c r="B378" s="80" t="str">
        <x:v>2 — Completar aos poucos</x:v>
      </x:c>
      <x:c r="C378" s="81" t="n">
        <x:v>2015</x:v>
      </x:c>
      <x:c r="D378" s="80" t="str">
        <x:v>Porsche 914-6</x:v>
      </x:c>
      <x:c r="E378" s="80" t="str">
        <x:v>Porsche 914-6</x:v>
      </x:c>
      <x:c r="F378" s="82" t="str">
        <x:v>Porsche / 1/8</x:v>
      </x:c>
      <x:c r="G378" s="80" t="str"/>
      <x:c r="H378" s="80" t="str"/>
      <x:c r="I378" s="83" t="str">
        <x:v>CGB65</x:v>
      </x:c>
      <x:c r="J378" s="80" t="str">
        <x:v>White</x:v>
      </x:c>
      <x:c r="K378" s="82" t="str">
        <x:v>Blue stripe &amp; 'Porsche' on sides, Blue &amp; Metallic Blue stripes on hood &amp; trunk, '5' on sides, hood &amp; trunk</x:v>
      </x:c>
      <x:c r="L378" s="82" t="str">
        <x:v>5SP</x:v>
      </x:c>
      <x:c r="M378" s="82" t="str"/>
      <x:c r="N378" s="82" t="str">
        <x:v>Clear</x:v>
      </x:c>
      <x:c r="O378" s="82" t="str">
        <x:v>Black</x:v>
      </x:c>
      <x:c r="P378" s="82" t="str">
        <x:v>Thailand</x:v>
      </x:c>
      <x:c r="Q378" s="82" t="str"/>
      <x:c r="R378" s="82" t="str">
        <x:v>Outra linha</x:v>
      </x:c>
      <x:c r="S378" s="82" t="str">
        <x:v>Incomum</x:v>
      </x:c>
      <x:c r="T378" s="82" t="str">
        <x:v>Lançado</x:v>
      </x:c>
      <x:c r="U378" s="82" t="str">
        <x:v>Base code(s): G52, H06, H07, H08, H09, H10, H14, H35</x:v>
      </x:c>
      <x:c r="V378" s="80" t="str">
        <x:v>Coleção principal (~1:64)</x:v>
      </x:c>
      <x:c r="W378" s="82" t="str">
        <x:v>https://hotwheels.fandom.com/wiki/Porsche_914-6</x:v>
      </x:c>
      <x:c r="X378" s="82" t="str">
        <x:v>https://hotwheels.fandom.com/wiki/Porsche_914-6</x:v>
      </x:c>
    </x:row>
    <x:row r="379">
      <x:c r="A379" s="80" t="str">
        <x:v>Não</x:v>
      </x:c>
      <x:c r="B379" s="80" t="str">
        <x:v>2 — Completar aos poucos</x:v>
      </x:c>
      <x:c r="C379" s="81" t="n">
        <x:v>2015</x:v>
      </x:c>
      <x:c r="D379" s="80" t="str">
        <x:v>Porsche 917KH</x:v>
      </x:c>
      <x:c r="E379" s="80" t="str">
        <x:v>Porsche 917KH</x:v>
      </x:c>
      <x:c r="F379" s="82" t="str">
        <x:v>Hot Wheels Heritage: Real Riders 18/18</x:v>
      </x:c>
      <x:c r="G379" s="80" t="str"/>
      <x:c r="H379" s="80" t="str"/>
      <x:c r="I379" s="83" t="str">
        <x:v>CFN62</x:v>
      </x:c>
      <x:c r="J379" s="80" t="str">
        <x:v>Metalflake Blue</x:v>
      </x:c>
      <x:c r="K379" s="82" t="str">
        <x:v>Red &amp; White Hot Wheels Race Team Graphics w/ Black "17"</x:v>
      </x:c>
      <x:c r="L379" s="82" t="str">
        <x:v>RR10SP</x:v>
      </x:c>
      <x:c r="M379" s="82" t="str">
        <x:v>ZAMAC</x:v>
      </x:c>
      <x:c r="N379" s="82" t="str">
        <x:v>Clear</x:v>
      </x:c>
      <x:c r="O379" s="82" t="str">
        <x:v>Chrome</x:v>
      </x:c>
      <x:c r="P379" s="82" t="str">
        <x:v>Malaysia</x:v>
      </x:c>
      <x:c r="Q379" s="82" t="str"/>
      <x:c r="R379" s="82" t="str">
        <x:v>Premium</x:v>
      </x:c>
      <x:c r="S379" s="82" t="str">
        <x:v>Incomum</x:v>
      </x:c>
      <x:c r="T379" s="82" t="str">
        <x:v>Lançado</x:v>
      </x:c>
      <x:c r="U379" s="82" t="str">
        <x:v>Base code(s): H38, H39</x:v>
      </x:c>
      <x:c r="V379" s="80" t="str">
        <x:v>Coleção principal (~1:64)</x:v>
      </x:c>
      <x:c r="W379" s="82" t="str">
        <x:v>https://hotwheels.fandom.com/wiki/Porsche_917KH</x:v>
      </x:c>
      <x:c r="X379" s="82" t="str">
        <x:v>https://hotwheels.fandom.com/wiki/Porsche_917KH</x:v>
      </x:c>
    </x:row>
    <x:row r="380">
      <x:c r="A380" s="80" t="str">
        <x:v>Não</x:v>
      </x:c>
      <x:c r="B380" s="80" t="str">
        <x:v>2 — Completar aos poucos</x:v>
      </x:c>
      <x:c r="C380" s="81" t="n">
        <x:v>2015</x:v>
      </x:c>
      <x:c r="D380" s="80" t="str">
        <x:v>Porsche 917KH</x:v>
      </x:c>
      <x:c r="E380" s="80" t="str">
        <x:v>Porsche 917KH</x:v>
      </x:c>
      <x:c r="F380" s="82" t="str">
        <x:v>Porsche 5/8</x:v>
      </x:c>
      <x:c r="G380" s="80" t="str"/>
      <x:c r="H380" s="80" t="str"/>
      <x:c r="I380" s="83" t="str">
        <x:v>CGB66</x:v>
      </x:c>
      <x:c r="J380" s="80" t="str">
        <x:v>Yellow</x:v>
      </x:c>
      <x:c r="K380" s="82" t="str">
        <x:v>Black 'Porsche' &amp; race deco on sides, Black stripes, 'Porsche', '28' &amp; race deco across top</x:v>
      </x:c>
      <x:c r="L380" s="82" t="str">
        <x:v>Chrome Red &amp; Black OH5</x:v>
      </x:c>
      <x:c r="M380" s="82" t="str">
        <x:v>Grey / Plastic</x:v>
      </x:c>
      <x:c r="N380" s="82" t="str">
        <x:v>Smoke tint</x:v>
      </x:c>
      <x:c r="O380" s="82" t="str">
        <x:v>Chrome</x:v>
      </x:c>
      <x:c r="P380" s="82" t="str">
        <x:v>Thailand</x:v>
      </x:c>
      <x:c r="Q380" s="82" t="str"/>
      <x:c r="R380" s="82" t="str">
        <x:v>Outra linha</x:v>
      </x:c>
      <x:c r="S380" s="82" t="str">
        <x:v>Incomum</x:v>
      </x:c>
      <x:c r="T380" s="82" t="str">
        <x:v>Lançado</x:v>
      </x:c>
      <x:c r="U380" s="82" t="str">
        <x:v>Base code(s): H06, H07, H13, H14, H21</x:v>
      </x:c>
      <x:c r="V380" s="80" t="str">
        <x:v>Coleção principal (~1:64)</x:v>
      </x:c>
      <x:c r="W380" s="82" t="str">
        <x:v>https://hotwheels.fandom.com/wiki/Porsche_917KH</x:v>
      </x:c>
      <x:c r="X380" s="82" t="str">
        <x:v>https://hotwheels.fandom.com/wiki/Porsche_917KH</x:v>
      </x:c>
    </x:row>
    <x:row r="381">
      <x:c r="A381" s="80" t="str">
        <x:v>Não</x:v>
      </x:c>
      <x:c r="B381" s="80" t="str">
        <x:v>2 — Completar aos poucos</x:v>
      </x:c>
      <x:c r="C381" s="81" t="n">
        <x:v>2015</x:v>
      </x:c>
      <x:c r="D381" s="80" t="str">
        <x:v>Porsche 918 Spyder (2013)</x:v>
      </x:c>
      <x:c r="E381" s="80" t="str">
        <x:v>Porsche 918 Spyder</x:v>
      </x:c>
      <x:c r="F381" s="82" t="str">
        <x:v>Porsche / 2/8</x:v>
      </x:c>
      <x:c r="G381" s="80" t="str"/>
      <x:c r="H381" s="80" t="str"/>
      <x:c r="I381" s="83" t="str">
        <x:v>CGB64</x:v>
      </x:c>
      <x:c r="J381" s="80" t="str">
        <x:v>Metalflake Black</x:v>
      </x:c>
      <x:c r="K381" s="82" t="str">
        <x:v>Detailed headlights, Gold stripes on sides &amp; around headlights, '918' on sides</x:v>
      </x:c>
      <x:c r="L381" s="82" t="str">
        <x:v>Chrome &amp; Black 10SP</x:v>
      </x:c>
      <x:c r="M381" s="82" t="str">
        <x:v>Black / / / Plastic</x:v>
      </x:c>
      <x:c r="N381" s="82" t="str">
        <x:v>Tinted (Black)</x:v>
      </x:c>
      <x:c r="O381" s="82" t="str">
        <x:v>Grey</x:v>
      </x:c>
      <x:c r="P381" s="82" t="str">
        <x:v>Thailand</x:v>
      </x:c>
      <x:c r="Q381" s="82" t="str"/>
      <x:c r="R381" s="82" t="str">
        <x:v>Outra linha</x:v>
      </x:c>
      <x:c r="S381" s="82" t="str">
        <x:v>Incomum</x:v>
      </x:c>
      <x:c r="T381" s="82" t="str">
        <x:v>Lançado</x:v>
      </x:c>
      <x:c r="U381" s="82" t="str"/>
      <x:c r="V381" s="80" t="str">
        <x:v>Coleção principal (~1:64)</x:v>
      </x:c>
      <x:c r="W381" s="82" t="str">
        <x:v>https://hotwheels.fandom.com/wiki/Porsche_918_Spyder_(2013)</x:v>
      </x:c>
      <x:c r="X381" s="82" t="str">
        <x:v>https://hotwheels.fandom.com/wiki/Porsche_918_Spyder_(2013)</x:v>
      </x:c>
    </x:row>
    <x:row r="382">
      <x:c r="A382" s="80" t="str">
        <x:v>Não</x:v>
      </x:c>
      <x:c r="B382" s="80" t="str">
        <x:v>2 — Completar aos poucos</x:v>
      </x:c>
      <x:c r="C382" s="81" t="n">
        <x:v>2015</x:v>
      </x:c>
      <x:c r="D382" s="80" t="str">
        <x:v>Porsche 934 Turbo RSR</x:v>
      </x:c>
      <x:c r="E382" s="80" t="str">
        <x:v>Porsche 934 Turbo RSR</x:v>
      </x:c>
      <x:c r="F382" s="82" t="str">
        <x:v>HW Workshop: HW Garage</x:v>
      </x:c>
      <x:c r="G382" s="80" t="str"/>
      <x:c r="H382" s="80" t="str">
        <x:v>220/250</x:v>
      </x:c>
      <x:c r="I382" s="83" t="str">
        <x:v>CFJ67</x:v>
      </x:c>
      <x:c r="J382" s="80" t="str">
        <x:v>Blue</x:v>
      </x:c>
      <x:c r="K382" s="82" t="str">
        <x:v>Silver headlights, Porsche emblem on front</x:v>
      </x:c>
      <x:c r="L382" s="82" t="str">
        <x:v>Chrome rim MC5</x:v>
      </x:c>
      <x:c r="M382" s="82" t="str">
        <x:v>Black / / / Plastic</x:v>
      </x:c>
      <x:c r="N382" s="82" t="str">
        <x:v>Clear</x:v>
      </x:c>
      <x:c r="O382" s="82" t="str">
        <x:v>Black</x:v>
      </x:c>
      <x:c r="P382" s="82" t="str">
        <x:v>Malaysia</x:v>
      </x:c>
      <x:c r="Q382" s="82" t="str"/>
      <x:c r="R382" s="82" t="str">
        <x:v>Mainline</x:v>
      </x:c>
      <x:c r="S382" s="82" t="str">
        <x:v>Incomum</x:v>
      </x:c>
      <x:c r="T382" s="82" t="str">
        <x:v>Lançado</x:v>
      </x:c>
      <x:c r="U382" s="82" t="str">
        <x:v>Base code(s): G49, G50</x:v>
      </x:c>
      <x:c r="V382" s="80" t="str">
        <x:v>Coleção principal (~1:64)</x:v>
      </x:c>
      <x:c r="W382" s="82" t="str">
        <x:v>https://hotwheels.fandom.com/wiki/Porsche_934_Turbo_RSR</x:v>
      </x:c>
      <x:c r="X382" s="82" t="str">
        <x:v>https://hotwheels.fandom.com/wiki/Porsche_934_Turbo_RSR</x:v>
      </x:c>
    </x:row>
    <x:row r="383">
      <x:c r="A383" s="80" t="str">
        <x:v>Não</x:v>
      </x:c>
      <x:c r="B383" s="80" t="str">
        <x:v>2 — Completar aos poucos</x:v>
      </x:c>
      <x:c r="C383" s="81" t="n">
        <x:v>2015</x:v>
      </x:c>
      <x:c r="D383" s="80" t="str">
        <x:v>Porsche 934 Turbo RSR</x:v>
      </x:c>
      <x:c r="E383" s="80" t="str">
        <x:v>Porsche 934 Turbo RSR</x:v>
      </x:c>
      <x:c r="F383" s="82" t="str">
        <x:v>HW Workshop: HW Garage</x:v>
      </x:c>
      <x:c r="G383" s="80" t="str"/>
      <x:c r="H383" s="80" t="str">
        <x:v>220/250</x:v>
      </x:c>
      <x:c r="I383" s="83" t="str">
        <x:v>CFH62</x:v>
      </x:c>
      <x:c r="J383" s="80" t="str">
        <x:v>Metalflake Black</x:v>
      </x:c>
      <x:c r="K383" s="82" t="str">
        <x:v>Silver headlights, Porsche emblem on front</x:v>
      </x:c>
      <x:c r="L383" s="82" t="str">
        <x:v>Gold LW</x:v>
      </x:c>
      <x:c r="M383" s="82" t="str">
        <x:v>Grey Metalflake / / / Plastic</x:v>
      </x:c>
      <x:c r="N383" s="82" t="str">
        <x:v>Clear</x:v>
      </x:c>
      <x:c r="O383" s="82" t="str">
        <x:v>Grey</x:v>
      </x:c>
      <x:c r="P383" s="82" t="str">
        <x:v>Malaysia</x:v>
      </x:c>
      <x:c r="Q383" s="82" t="str"/>
      <x:c r="R383" s="82" t="str">
        <x:v>Mainline</x:v>
      </x:c>
      <x:c r="S383" s="82" t="str">
        <x:v>Incomum</x:v>
      </x:c>
      <x:c r="T383" s="82" t="str">
        <x:v>Lançado</x:v>
      </x:c>
      <x:c r="U383" s="82" t="str">
        <x:v>Base code(s): G37, G39, G40</x:v>
      </x:c>
      <x:c r="V383" s="80" t="str">
        <x:v>Coleção principal (~1:64)</x:v>
      </x:c>
      <x:c r="W383" s="82" t="str">
        <x:v>https://hotwheels.fandom.com/wiki/Porsche_934_Turbo_RSR</x:v>
      </x:c>
      <x:c r="X383" s="82" t="str">
        <x:v>https://hotwheels.fandom.com/wiki/Porsche_934_Turbo_RSR</x:v>
      </x:c>
    </x:row>
    <x:row r="384">
      <x:c r="A384" s="80" t="str">
        <x:v>Não</x:v>
      </x:c>
      <x:c r="B384" s="80" t="str">
        <x:v>2 — Completar aos poucos</x:v>
      </x:c>
      <x:c r="C384" s="81" t="n">
        <x:v>2015</x:v>
      </x:c>
      <x:c r="D384" s="80" t="str">
        <x:v>Porsche 959</x:v>
      </x:c>
      <x:c r="E384" s="80" t="str">
        <x:v>Porsche 959</x:v>
      </x:c>
      <x:c r="F384" s="82" t="str">
        <x:v>Porsche Series 3/8</x:v>
      </x:c>
      <x:c r="G384" s="80" t="str"/>
      <x:c r="H384" s="80" t="str"/>
      <x:c r="I384" s="83" t="str">
        <x:v>CGB68</x:v>
      </x:c>
      <x:c r="J384" s="80" t="str">
        <x:v>Red</x:v>
      </x:c>
      <x:c r="K384" s="82" t="str">
        <x:v>Black &amp; Silver stripes on hood &amp; roof, 'Porsche' on hood</x:v>
      </x:c>
      <x:c r="L384" s="82" t="str">
        <x:v>5SP</x:v>
      </x:c>
      <x:c r="M384" s="82" t="str">
        <x:v>Black / Plastic</x:v>
      </x:c>
      <x:c r="N384" s="82" t="str">
        <x:v>Tinted (Black)</x:v>
      </x:c>
      <x:c r="O384" s="82" t="str">
        <x:v>Black</x:v>
      </x:c>
      <x:c r="P384" s="82" t="str">
        <x:v>Thailand</x:v>
      </x:c>
      <x:c r="Q384" s="82" t="str"/>
      <x:c r="R384" s="82" t="str">
        <x:v>Outra linha</x:v>
      </x:c>
      <x:c r="S384" s="82" t="str">
        <x:v>Incomum</x:v>
      </x:c>
      <x:c r="T384" s="82" t="str">
        <x:v>Lançado</x:v>
      </x:c>
      <x:c r="U384" s="82" t="str">
        <x:v>Base code(s): H06, H07, H08, H10, H14, H35</x:v>
      </x:c>
      <x:c r="V384" s="80" t="str">
        <x:v>Coleção principal (~1:64)</x:v>
      </x:c>
      <x:c r="W384" s="82" t="str">
        <x:v>https://hotwheels.fandom.com/wiki/Porsche_959</x:v>
      </x:c>
      <x:c r="X384" s="82" t="str">
        <x:v>https://hotwheels.fandom.com/wiki/Porsche_959</x:v>
      </x:c>
    </x:row>
    <x:row r="385">
      <x:c r="A385" s="80" t="str">
        <x:v>Não</x:v>
      </x:c>
      <x:c r="B385" s="80" t="str">
        <x:v>2 — Completar aos poucos</x:v>
      </x:c>
      <x:c r="C385" s="81" t="n">
        <x:v>2015</x:v>
      </x:c>
      <x:c r="D385" s="80" t="str">
        <x:v>Porsche 993 GT2</x:v>
      </x:c>
      <x:c r="E385" s="80" t="str">
        <x:v>Porsche 993 GT2</x:v>
      </x:c>
      <x:c r="F385" s="82" t="str">
        <x:v>Porsche / 4/8</x:v>
      </x:c>
      <x:c r="G385" s="80" t="str"/>
      <x:c r="H385" s="80" t="str"/>
      <x:c r="I385" s="83" t="str">
        <x:v>CGB69</x:v>
      </x:c>
      <x:c r="J385" s="80" t="str">
        <x:v>Anodized Silver</x:v>
      </x:c>
      <x:c r="K385" s="82" t="str">
        <x:v>Black &amp; Red stripes across top, 'GT 2' on hood, '19' on hood &amp; roof</x:v>
      </x:c>
      <x:c r="L385" s="82" t="str">
        <x:v>Chrome Red &amp; Black MC5</x:v>
      </x:c>
      <x:c r="M385" s="82" t="str">
        <x:v>Black / / / Plastic</x:v>
      </x:c>
      <x:c r="N385" s="82" t="str">
        <x:v>Smoke tint</x:v>
      </x:c>
      <x:c r="O385" s="82" t="str">
        <x:v>Black</x:v>
      </x:c>
      <x:c r="P385" s="82" t="str">
        <x:v>Thailand</x:v>
      </x:c>
      <x:c r="Q385" s="82" t="str"/>
      <x:c r="R385" s="82" t="str">
        <x:v>Outra linha</x:v>
      </x:c>
      <x:c r="S385" s="82" t="str">
        <x:v>Incomum</x:v>
      </x:c>
      <x:c r="T385" s="82" t="str">
        <x:v>Lançado</x:v>
      </x:c>
      <x:c r="U385" s="82" t="str">
        <x:v>Base code(s): H02, H06, H07, H08, H14</x:v>
      </x:c>
      <x:c r="V385" s="80" t="str">
        <x:v>Coleção principal (~1:64)</x:v>
      </x:c>
      <x:c r="W385" s="82" t="str">
        <x:v>https://hotwheels.fandom.com/wiki/Porsche_993_GT2</x:v>
      </x:c>
      <x:c r="X385" s="82" t="str">
        <x:v>https://hotwheels.fandom.com/wiki/Porsche_993_GT2</x:v>
      </x:c>
    </x:row>
    <x:row r="386">
      <x:c r="A386" s="80" t="str">
        <x:v>Não</x:v>
      </x:c>
      <x:c r="B386" s="80" t="str">
        <x:v>2 — Completar aos poucos</x:v>
      </x:c>
      <x:c r="C386" s="81" t="n">
        <x:v>2015</x:v>
      </x:c>
      <x:c r="D386" s="80" t="str">
        <x:v>Porsche Boxster Spyder</x:v>
      </x:c>
      <x:c r="E386" s="80" t="str">
        <x:v>Porsche Boxster Spyder</x:v>
      </x:c>
      <x:c r="F386" s="82" t="str">
        <x:v>Porsche / 6/8</x:v>
      </x:c>
      <x:c r="G386" s="80" t="str"/>
      <x:c r="H386" s="80" t="str"/>
      <x:c r="I386" s="83" t="str">
        <x:v>CGB70</x:v>
      </x:c>
      <x:c r="J386" s="80" t="str">
        <x:v>Metalflake Blue</x:v>
      </x:c>
      <x:c r="K386" s="82" t="str">
        <x:v>White stripe &amp; 'Porsche' on sides</x:v>
      </x:c>
      <x:c r="L386" s="82" t="str">
        <x:v>Gold 10SP</x:v>
      </x:c>
      <x:c r="M386" s="82" t="str">
        <x:v>Black / / / Plastic</x:v>
      </x:c>
      <x:c r="N386" s="82" t="str">
        <x:v>Tinted (Black)</x:v>
      </x:c>
      <x:c r="O386" s="82" t="str">
        <x:v>Tan</x:v>
      </x:c>
      <x:c r="P386" s="82" t="str">
        <x:v>Thailand</x:v>
      </x:c>
      <x:c r="Q386" s="82" t="str"/>
      <x:c r="R386" s="82" t="str">
        <x:v>Outra linha</x:v>
      </x:c>
      <x:c r="S386" s="82" t="str">
        <x:v>Incomum</x:v>
      </x:c>
      <x:c r="T386" s="82" t="str">
        <x:v>Lançado</x:v>
      </x:c>
      <x:c r="U386" s="82" t="str">
        <x:v>Base Code(s): H06, H07, H08, H14, H19</x:v>
      </x:c>
      <x:c r="V386" s="80" t="str">
        <x:v>Coleção principal (~1:64)</x:v>
      </x:c>
      <x:c r="W386" s="82" t="str">
        <x:v>https://hotwheels.fandom.com/wiki/Porsche_Boxster_Spyder</x:v>
      </x:c>
      <x:c r="X386" s="82" t="str">
        <x:v>https://hotwheels.fandom.com/wiki/Porsche_Boxster_Spyder</x:v>
      </x:c>
    </x:row>
    <x:row r="387">
      <x:c r="A387" s="80" t="str">
        <x:v>Não</x:v>
      </x:c>
      <x:c r="B387" s="80" t="str">
        <x:v>2 — Completar aos poucos</x:v>
      </x:c>
      <x:c r="C387" s="81" t="n">
        <x:v>2015</x:v>
      </x:c>
      <x:c r="D387" s="80" t="str">
        <x:v>Porsche Carrera GT</x:v>
      </x:c>
      <x:c r="E387" s="80" t="str">
        <x:v>Porsche Carrera GT</x:v>
      </x:c>
      <x:c r="F387" s="82" t="str">
        <x:v>Porsche / 7/8</x:v>
      </x:c>
      <x:c r="G387" s="80" t="str"/>
      <x:c r="H387" s="80" t="str"/>
      <x:c r="I387" s="83" t="str">
        <x:v>CGB71</x:v>
      </x:c>
      <x:c r="J387" s="80" t="str">
        <x:v>Pearl Signal Orange</x:v>
      </x:c>
      <x:c r="K387" s="82" t="str">
        <x:v>Black &amp; Silver stripes, 'Porsche' on sides</x:v>
      </x:c>
      <x:c r="L387" s="82" t="str">
        <x:v>Chrome &amp; Black MC5</x:v>
      </x:c>
      <x:c r="M387" s="82" t="str">
        <x:v>Black / / / Plastic</x:v>
      </x:c>
      <x:c r="N387" s="82" t="str">
        <x:v>Smoke tint</x:v>
      </x:c>
      <x:c r="O387" s="82" t="str">
        <x:v>Black</x:v>
      </x:c>
      <x:c r="P387" s="82" t="str">
        <x:v>Thailand</x:v>
      </x:c>
      <x:c r="Q387" s="82" t="str"/>
      <x:c r="R387" s="82" t="str">
        <x:v>Outra linha</x:v>
      </x:c>
      <x:c r="S387" s="82" t="str">
        <x:v>Incomum</x:v>
      </x:c>
      <x:c r="T387" s="82" t="str">
        <x:v>Lançado</x:v>
      </x:c>
      <x:c r="U387" s="82" t="str">
        <x:v>Base code(s): H06, H07, H13, H14,H19, H21</x:v>
      </x:c>
      <x:c r="V387" s="80" t="str">
        <x:v>Coleção principal (~1:64)</x:v>
      </x:c>
      <x:c r="W387" s="82" t="str">
        <x:v>https://hotwheels.fandom.com/wiki/Porsche_Carrera_GT</x:v>
      </x:c>
      <x:c r="X387" s="82" t="str">
        <x:v>https://hotwheels.fandom.com/wiki/Porsche_Carrera_GT</x:v>
      </x:c>
    </x:row>
    <x:row r="388">
      <x:c r="A388" s="80" t="str">
        <x:v>Não</x:v>
      </x:c>
      <x:c r="B388" s="80" t="str">
        <x:v>2 — Completar aos poucos</x:v>
      </x:c>
      <x:c r="C388" s="81" t="n">
        <x:v>2015</x:v>
      </x:c>
      <x:c r="D388" s="80" t="str">
        <x:v>Porsche Panamera</x:v>
      </x:c>
      <x:c r="E388" s="80" t="str">
        <x:v>Porsche Panamera</x:v>
      </x:c>
      <x:c r="F388" s="82" t="str">
        <x:v>HW Workshop: Thrill Racers</x:v>
      </x:c>
      <x:c r="G388" s="80" t="str"/>
      <x:c r="H388" s="80" t="str">
        <x:v>186 / / / 250</x:v>
      </x:c>
      <x:c r="I388" s="83" t="str">
        <x:v>CFH85</x:v>
      </x:c>
      <x:c r="J388" s="80" t="str">
        <x:v>White</x:v>
      </x:c>
      <x:c r="K388" s="82" t="str">
        <x:v>Trim details</x:v>
      </x:c>
      <x:c r="L388" s="82" t="str">
        <x:v>Chrome Rim PR5</x:v>
      </x:c>
      <x:c r="M388" s="82" t="str">
        <x:v>Black / / / Plastic</x:v>
      </x:c>
      <x:c r="N388" s="82" t="str">
        <x:v>Blue tint</x:v>
      </x:c>
      <x:c r="O388" s="82" t="str">
        <x:v>Grey</x:v>
      </x:c>
      <x:c r="P388" s="82" t="str">
        <x:v>Malaysia</x:v>
      </x:c>
      <x:c r="Q388" s="82" t="str"/>
      <x:c r="R388" s="82" t="str">
        <x:v>Mainline</x:v>
      </x:c>
      <x:c r="S388" s="82" t="str">
        <x:v>Incomum</x:v>
      </x:c>
      <x:c r="T388" s="82" t="str">
        <x:v>Lançado</x:v>
      </x:c>
      <x:c r="U388" s="82" t="str">
        <x:v>Base code(s): G33, G37, G39</x:v>
      </x:c>
      <x:c r="V388" s="80" t="str">
        <x:v>Coleção principal (~1:64)</x:v>
      </x:c>
      <x:c r="W388" s="82" t="str">
        <x:v>https://hotwheels.fandom.com/wiki/Porsche_Panamera</x:v>
      </x:c>
      <x:c r="X388" s="82" t="str">
        <x:v>https://hotwheels.fandom.com/wiki/Porsche_Panamera</x:v>
      </x:c>
    </x:row>
    <x:row r="389">
      <x:c r="A389" s="80" t="str">
        <x:v>Não</x:v>
      </x:c>
      <x:c r="B389" s="80" t="str">
        <x:v>2 — Completar aos poucos</x:v>
      </x:c>
      <x:c r="C389" s="81" t="n">
        <x:v>2015</x:v>
      </x:c>
      <x:c r="D389" s="80" t="str">
        <x:v>Porsche Panamera</x:v>
      </x:c>
      <x:c r="E389" s="80" t="str">
        <x:v>Porsche Panamera</x:v>
      </x:c>
      <x:c r="F389" s="82" t="str">
        <x:v>HW Workshop: Thrill Racers</x:v>
      </x:c>
      <x:c r="G389" s="80" t="str"/>
      <x:c r="H389" s="80" t="str">
        <x:v>186 / / / 250</x:v>
      </x:c>
      <x:c r="I389" s="83" t="str">
        <x:v>CFH85</x:v>
      </x:c>
      <x:c r="J389" s="80" t="str">
        <x:v>White</x:v>
      </x:c>
      <x:c r="K389" s="82" t="str">
        <x:v>Trim details</x:v>
      </x:c>
      <x:c r="L389" s="82" t="str">
        <x:v>Chrome Rim MC5</x:v>
      </x:c>
      <x:c r="M389" s="82" t="str">
        <x:v>Black / / / Plastic</x:v>
      </x:c>
      <x:c r="N389" s="82" t="str">
        <x:v>Blue tint</x:v>
      </x:c>
      <x:c r="O389" s="82" t="str">
        <x:v>Grey</x:v>
      </x:c>
      <x:c r="P389" s="82" t="str">
        <x:v>Malaysia</x:v>
      </x:c>
      <x:c r="Q389" s="82" t="str"/>
      <x:c r="R389" s="82" t="str">
        <x:v>Mainline</x:v>
      </x:c>
      <x:c r="S389" s="82" t="str">
        <x:v>Incomum</x:v>
      </x:c>
      <x:c r="T389" s="82" t="str">
        <x:v>Lançado</x:v>
      </x:c>
      <x:c r="U389" s="82" t="str">
        <x:v>Base code(s):</x:v>
      </x:c>
      <x:c r="V389" s="80" t="str">
        <x:v>Coleção principal (~1:64)</x:v>
      </x:c>
      <x:c r="W389" s="82" t="str">
        <x:v>https://hotwheels.fandom.com/wiki/Porsche_Panamera</x:v>
      </x:c>
      <x:c r="X389" s="82" t="str">
        <x:v>https://hotwheels.fandom.com/wiki/Porsche_Panamera</x:v>
      </x:c>
    </x:row>
    <x:row r="390">
      <x:c r="A390" s="80" t="str">
        <x:v>Não</x:v>
      </x:c>
      <x:c r="B390" s="80" t="str">
        <x:v>2 — Completar aos poucos</x:v>
      </x:c>
      <x:c r="C390" s="81" t="n">
        <x:v>2014</x:v>
      </x:c>
      <x:c r="D390" s="80" t="str">
        <x:v>Porsche 911 GT2</x:v>
      </x:c>
      <x:c r="E390" s="80" t="str">
        <x:v>Porsche 911 GT2</x:v>
      </x:c>
      <x:c r="F390" s="82" t="str">
        <x:v>Multipack Exclusive</x:v>
      </x:c>
      <x:c r="G390" s="80" t="str"/>
      <x:c r="H390" s="80" t="str"/>
      <x:c r="I390" s="83" t="str">
        <x:v>X6999</x:v>
      </x:c>
      <x:c r="J390" s="80" t="str">
        <x:v>Metalflake Black</x:v>
      </x:c>
      <x:c r="K390" s="82" t="str">
        <x:v>Porsche badge, tail lights, GT2 on hatch</x:v>
      </x:c>
      <x:c r="L390" s="82" t="str">
        <x:v>J5</x:v>
      </x:c>
      <x:c r="M390" s="82" t="str">
        <x:v>Black / / / Plastic</x:v>
      </x:c>
      <x:c r="N390" s="82" t="str">
        <x:v>Clear</x:v>
      </x:c>
      <x:c r="O390" s="82" t="str">
        <x:v>Tan</x:v>
      </x:c>
      <x:c r="P390" s="82" t="str">
        <x:v>Malaysia</x:v>
      </x:c>
      <x:c r="Q390" s="82" t="str"/>
      <x:c r="R390" s="82" t="str">
        <x:v>Temática / multipack</x:v>
      </x:c>
      <x:c r="S390" s="82" t="str">
        <x:v>Incomum</x:v>
      </x:c>
      <x:c r="T390" s="82" t="str">
        <x:v>Lançado</x:v>
      </x:c>
      <x:c r="U390" s="82" t="str">
        <x:v>Base code(s):</x:v>
      </x:c>
      <x:c r="V390" s="80" t="str">
        <x:v>Coleção principal (~1:64)</x:v>
      </x:c>
      <x:c r="W390" s="82" t="str">
        <x:v>https://hotwheels.fandom.com/wiki/Porsche_911_GT2</x:v>
      </x:c>
      <x:c r="X390" s="82" t="str">
        <x:v>https://hotwheels.fandom.com/wiki/Porsche_911_GT2</x:v>
      </x:c>
    </x:row>
    <x:row r="391">
      <x:c r="A391" s="80" t="str">
        <x:v>Não</x:v>
      </x:c>
      <x:c r="B391" s="80" t="str">
        <x:v>2 — Completar aos poucos</x:v>
      </x:c>
      <x:c r="C391" s="81" t="n">
        <x:v>2014</x:v>
      </x:c>
      <x:c r="D391" s="80" t="str">
        <x:v>Porsche 911 GT2</x:v>
      </x:c>
      <x:c r="E391" s="80" t="str">
        <x:v>Porsche 911 GT2</x:v>
      </x:c>
      <x:c r="F391" s="82" t="str">
        <x:v>Multipack Exclusive</x:v>
      </x:c>
      <x:c r="G391" s="80" t="str"/>
      <x:c r="H391" s="80" t="str"/>
      <x:c r="I391" s="83" t="str">
        <x:v>X6999</x:v>
      </x:c>
      <x:c r="J391" s="80" t="str">
        <x:v>Metalflake Silver</x:v>
      </x:c>
      <x:c r="K391" s="82" t="str">
        <x:v>Porsche badge, tail lights, GT2 on rear</x:v>
      </x:c>
      <x:c r="L391" s="82" t="str">
        <x:v>J5</x:v>
      </x:c>
      <x:c r="M391" s="82" t="str">
        <x:v>Black / / / Plastic</x:v>
      </x:c>
      <x:c r="N391" s="82" t="str">
        <x:v>Clear</x:v>
      </x:c>
      <x:c r="O391" s="82" t="str">
        <x:v>Tan</x:v>
      </x:c>
      <x:c r="P391" s="82" t="str">
        <x:v>Malaysia</x:v>
      </x:c>
      <x:c r="Q391" s="82" t="str"/>
      <x:c r="R391" s="82" t="str">
        <x:v>Temática / multipack</x:v>
      </x:c>
      <x:c r="S391" s="82" t="str">
        <x:v>Incomum</x:v>
      </x:c>
      <x:c r="T391" s="82" t="str">
        <x:v>Lançado</x:v>
      </x:c>
      <x:c r="U391" s="82" t="str">
        <x:v>Base code(s): G45</x:v>
      </x:c>
      <x:c r="V391" s="80" t="str">
        <x:v>Coleção principal (~1:64)</x:v>
      </x:c>
      <x:c r="W391" s="82" t="str">
        <x:v>https://hotwheels.fandom.com/wiki/Porsche_911_GT2</x:v>
      </x:c>
      <x:c r="X391" s="82" t="str">
        <x:v>https://hotwheels.fandom.com/wiki/Porsche_911_GT2</x:v>
      </x:c>
    </x:row>
    <x:row r="392">
      <x:c r="A392" s="80" t="str">
        <x:v>Não</x:v>
      </x:c>
      <x:c r="B392" s="80" t="str">
        <x:v>2 — Completar aos poucos</x:v>
      </x:c>
      <x:c r="C392" s="81" t="n">
        <x:v>2014</x:v>
      </x:c>
      <x:c r="D392" s="80" t="str">
        <x:v>Porsche 918 Spyder (2013)</x:v>
      </x:c>
      <x:c r="E392" s="80" t="str">
        <x:v>Porsche 918 Spyder</x:v>
      </x:c>
      <x:c r="F392" s="82" t="str">
        <x:v>HW Exotics 5-Pack</x:v>
      </x:c>
      <x:c r="G392" s="80" t="str"/>
      <x:c r="H392" s="80" t="str"/>
      <x:c r="I392" s="83" t="str">
        <x:v>BFB36</x:v>
      </x:c>
      <x:c r="J392" s="80" t="str">
        <x:v>Pearl Light Blue</x:v>
      </x:c>
      <x:c r="K392" s="82" t="str">
        <x:v>Detailed headlights, Porsche emblem on front, Black stripes on hood</x:v>
      </x:c>
      <x:c r="L392" s="82" t="str">
        <x:v>Chrome &amp; Black PR5</x:v>
      </x:c>
      <x:c r="M392" s="82" t="str">
        <x:v>Grey / / / Plastic</x:v>
      </x:c>
      <x:c r="N392" s="82" t="str">
        <x:v>Tinted (Black)</x:v>
      </x:c>
      <x:c r="O392" s="82" t="str">
        <x:v>Black</x:v>
      </x:c>
      <x:c r="P392" s="82" t="str">
        <x:v>Thailand</x:v>
      </x:c>
      <x:c r="Q392" s="82" t="str"/>
      <x:c r="R392" s="82" t="str">
        <x:v>Temática / multipack</x:v>
      </x:c>
      <x:c r="S392" s="82" t="str">
        <x:v>Incomum</x:v>
      </x:c>
      <x:c r="T392" s="82" t="str">
        <x:v>Lançado</x:v>
      </x:c>
      <x:c r="U392" s="82" t="str"/>
      <x:c r="V392" s="80" t="str">
        <x:v>Coleção principal (~1:64)</x:v>
      </x:c>
      <x:c r="W392" s="82" t="str">
        <x:v>https://hotwheels.fandom.com/wiki/Porsche_918_Spyder_(2013)</x:v>
      </x:c>
      <x:c r="X392" s="82" t="str">
        <x:v>https://hotwheels.fandom.com/wiki/Porsche_918_Spyder_(2013)</x:v>
      </x:c>
    </x:row>
    <x:row r="393">
      <x:c r="A393" s="80" t="str">
        <x:v>Não</x:v>
      </x:c>
      <x:c r="B393" s="80" t="str">
        <x:v>2 — Completar aos poucos</x:v>
      </x:c>
      <x:c r="C393" s="81" t="n">
        <x:v>2014</x:v>
      </x:c>
      <x:c r="D393" s="80" t="str">
        <x:v>Porsche 934 Turbo RSR</x:v>
      </x:c>
      <x:c r="E393" s="80" t="str">
        <x:v>Porsche 934 Turbo RSR</x:v>
      </x:c>
      <x:c r="F393" s="82" t="str">
        <x:v>HW City: Speed Team</x:v>
      </x:c>
      <x:c r="G393" s="80" t="str"/>
      <x:c r="H393" s="80" t="str">
        <x:v>074/250</x:v>
      </x:c>
      <x:c r="I393" s="83" t="str">
        <x:v>CFH17</x:v>
      </x:c>
      <x:c r="J393" s="80" t="str">
        <x:v>Orange</x:v>
      </x:c>
      <x:c r="K393" s="82" t="str">
        <x:v>Silver headlights, Porsche emblem on hood</x:v>
      </x:c>
      <x:c r="L393" s="82" t="str">
        <x:v>LW</x:v>
      </x:c>
      <x:c r="M393" s="82" t="str">
        <x:v>Dark Grey / / / Plastic</x:v>
      </x:c>
      <x:c r="N393" s="82" t="str">
        <x:v>Clear</x:v>
      </x:c>
      <x:c r="O393" s="82" t="str">
        <x:v>Black</x:v>
      </x:c>
      <x:c r="P393" s="82" t="str">
        <x:v>Malaysia</x:v>
      </x:c>
      <x:c r="Q393" s="82" t="str"/>
      <x:c r="R393" s="82" t="str">
        <x:v>Mainline</x:v>
      </x:c>
      <x:c r="S393" s="82" t="str">
        <x:v>Incomum</x:v>
      </x:c>
      <x:c r="T393" s="82" t="str">
        <x:v>Lançado</x:v>
      </x:c>
      <x:c r="U393" s="82" t="str">
        <x:v>New Model / mesh or smooth grill / Base codes: G27, G28, G29</x:v>
      </x:c>
      <x:c r="V393" s="80" t="str">
        <x:v>Coleção principal (~1:64)</x:v>
      </x:c>
      <x:c r="W393" s="82" t="str">
        <x:v>https://hotwheels.fandom.com/wiki/Porsche_934_Turbo_RSR</x:v>
      </x:c>
      <x:c r="X393" s="82" t="str">
        <x:v>https://hotwheels.fandom.com/wiki/Porsche_934_Turbo_RSR</x:v>
      </x:c>
    </x:row>
    <x:row r="394">
      <x:c r="A394" s="80" t="str">
        <x:v>Não</x:v>
      </x:c>
      <x:c r="B394" s="80" t="str">
        <x:v>2 — Completar aos poucos</x:v>
      </x:c>
      <x:c r="C394" s="81" t="n">
        <x:v>2014</x:v>
      </x:c>
      <x:c r="D394" s="80" t="str">
        <x:v>Porsche 993 GT2</x:v>
      </x:c>
      <x:c r="E394" s="80" t="str">
        <x:v>Porsche 993 GT2</x:v>
      </x:c>
      <x:c r="F394" s="82" t="str">
        <x:v>HW City: Night Burnerz</x:v>
      </x:c>
      <x:c r="G394" s="80" t="str"/>
      <x:c r="H394" s="80" t="str">
        <x:v>027/250</x:v>
      </x:c>
      <x:c r="I394" s="83" t="str">
        <x:v>BFF84</x:v>
      </x:c>
      <x:c r="J394" s="80" t="str">
        <x:v>Matte White</x:v>
      </x:c>
      <x:c r="K394" s="82" t="str">
        <x:v>Black stripes on sides, Porsche emblem &amp; Silver pins on hood</x:v>
      </x:c>
      <x:c r="L394" s="82" t="str">
        <x:v>Copper J5</x:v>
      </x:c>
      <x:c r="M394" s="82" t="str">
        <x:v>Grey / / / Plastic</x:v>
      </x:c>
      <x:c r="N394" s="82" t="str">
        <x:v>Blue tint</x:v>
      </x:c>
      <x:c r="O394" s="82" t="str">
        <x:v>Grey</x:v>
      </x:c>
      <x:c r="P394" s="82" t="str">
        <x:v>Malaysia</x:v>
      </x:c>
      <x:c r="Q394" s="82" t="str"/>
      <x:c r="R394" s="82" t="str">
        <x:v>Mainline</x:v>
      </x:c>
      <x:c r="S394" s="82" t="str">
        <x:v>Incomum</x:v>
      </x:c>
      <x:c r="T394" s="82" t="str">
        <x:v>Lançado</x:v>
      </x:c>
      <x:c r="U394" s="82" t="str">
        <x:v>Base code(s): G10, G11, G12, G14, G15, G18</x:v>
      </x:c>
      <x:c r="V394" s="80" t="str">
        <x:v>Coleção principal (~1:64)</x:v>
      </x:c>
      <x:c r="W394" s="82" t="str">
        <x:v>https://hotwheels.fandom.com/wiki/Porsche_993_GT2</x:v>
      </x:c>
      <x:c r="X394" s="82" t="str">
        <x:v>https://hotwheels.fandom.com/wiki/Porsche_993_GT2</x:v>
      </x:c>
    </x:row>
    <x:row r="395">
      <x:c r="A395" s="80" t="str">
        <x:v>Não</x:v>
      </x:c>
      <x:c r="B395" s="80" t="str">
        <x:v>2 — Completar aos poucos</x:v>
      </x:c>
      <x:c r="C395" s="81" t="n">
        <x:v>2014</x:v>
      </x:c>
      <x:c r="D395" s="80" t="str">
        <x:v>Porsche 993 GT2</x:v>
      </x:c>
      <x:c r="E395" s="80" t="str">
        <x:v>Porsche 993 GT2</x:v>
      </x:c>
      <x:c r="F395" s="82" t="str">
        <x:v>HW City: Night Burnerz</x:v>
      </x:c>
      <x:c r="G395" s="80" t="str"/>
      <x:c r="H395" s="80" t="str">
        <x:v>027/250</x:v>
      </x:c>
      <x:c r="I395" s="83" t="str">
        <x:v>BFC48</x:v>
      </x:c>
      <x:c r="J395" s="80" t="str">
        <x:v>Red</x:v>
      </x:c>
      <x:c r="K395" s="82" t="str">
        <x:v>Porsche Crest, Silver pins on hood</x:v>
      </x:c>
      <x:c r="L395" s="82" t="str">
        <x:v>Chrome &amp; Black J5</x:v>
      </x:c>
      <x:c r="M395" s="82" t="str">
        <x:v>Black / / / Plastic</x:v>
      </x:c>
      <x:c r="N395" s="82" t="str">
        <x:v>Clear</x:v>
      </x:c>
      <x:c r="O395" s="82" t="str">
        <x:v>Black</x:v>
      </x:c>
      <x:c r="P395" s="82" t="str">
        <x:v>Malaysia</x:v>
      </x:c>
      <x:c r="Q395" s="82" t="str"/>
      <x:c r="R395" s="82" t="str">
        <x:v>Mainline</x:v>
      </x:c>
      <x:c r="S395" s="82" t="str">
        <x:v>Incomum</x:v>
      </x:c>
      <x:c r="T395" s="82" t="str">
        <x:v>Lançado</x:v>
      </x:c>
      <x:c r="U395" s="82" t="str">
        <x:v>New in Mainline / Base code(s): F49, F50, F52, G02, G03, G05</x:v>
      </x:c>
      <x:c r="V395" s="80" t="str">
        <x:v>Coleção principal (~1:64)</x:v>
      </x:c>
      <x:c r="W395" s="82" t="str">
        <x:v>https://hotwheels.fandom.com/wiki/Porsche_993_GT2</x:v>
      </x:c>
      <x:c r="X395" s="82" t="str">
        <x:v>https://hotwheels.fandom.com/wiki/Porsche_993_GT2</x:v>
      </x:c>
    </x:row>
    <x:row r="396">
      <x:c r="A396" s="80" t="str">
        <x:v>Não</x:v>
      </x:c>
      <x:c r="B396" s="80" t="str">
        <x:v>2 — Completar aos poucos</x:v>
      </x:c>
      <x:c r="C396" s="81" t="n">
        <x:v>2014</x:v>
      </x:c>
      <x:c r="D396" s="80" t="str">
        <x:v>Porsche Cayman S</x:v>
      </x:c>
      <x:c r="E396" s="80" t="str">
        <x:v>Porsche Cayman S</x:v>
      </x:c>
      <x:c r="F396" s="82" t="str">
        <x:v>Multipack Exclusive</x:v>
      </x:c>
      <x:c r="G396" s="80" t="str"/>
      <x:c r="H396" s="80" t="str"/>
      <x:c r="I396" s="83" t="str">
        <x:v>X6999</x:v>
      </x:c>
      <x:c r="J396" s="80" t="str">
        <x:v>Metalflake Silver</x:v>
      </x:c>
      <x:c r="K396" s="82" t="str">
        <x:v>Headlights &amp; taillights</x:v>
      </x:c>
      <x:c r="L396" s="82" t="str">
        <x:v>OH5</x:v>
      </x:c>
      <x:c r="M396" s="82" t="str">
        <x:v>Black / Plastic</x:v>
      </x:c>
      <x:c r="N396" s="82" t="str">
        <x:v>Clear</x:v>
      </x:c>
      <x:c r="O396" s="82" t="str">
        <x:v>Tan</x:v>
      </x:c>
      <x:c r="P396" s="82" t="str">
        <x:v>Malaysia</x:v>
      </x:c>
      <x:c r="Q396" s="82" t="str"/>
      <x:c r="R396" s="82" t="str">
        <x:v>Temática / multipack</x:v>
      </x:c>
      <x:c r="S396" s="82" t="str">
        <x:v>Incomum</x:v>
      </x:c>
      <x:c r="T396" s="82" t="str">
        <x:v>Lançado</x:v>
      </x:c>
      <x:c r="U396" s="82" t="str">
        <x:v>this is the Silver that has/had Multi diff colour interiors incuding the RED Satin &amp; Light rose Base code(s): F50</x:v>
      </x:c>
      <x:c r="V396" s="80" t="str">
        <x:v>Coleção principal (~1:64)</x:v>
      </x:c>
      <x:c r="W396" s="82" t="str">
        <x:v>https://hotwheels.fandom.com/wiki/Porsche_Cayman_S</x:v>
      </x:c>
      <x:c r="X396" s="82" t="str">
        <x:v>https://hotwheels.fandom.com/wiki/Porsche_Cayman_S</x:v>
      </x:c>
    </x:row>
    <x:row r="397">
      <x:c r="A397" s="80" t="str">
        <x:v>Não</x:v>
      </x:c>
      <x:c r="B397" s="80" t="str">
        <x:v>2 — Completar aos poucos</x:v>
      </x:c>
      <x:c r="C397" s="81" t="n">
        <x:v>2014</x:v>
      </x:c>
      <x:c r="D397" s="80" t="str">
        <x:v>Porsche Panamera</x:v>
      </x:c>
      <x:c r="E397" s="80" t="str">
        <x:v>Porsche Panamera</x:v>
      </x:c>
      <x:c r="F397" s="82" t="str">
        <x:v>HW City: Speed Team</x:v>
      </x:c>
      <x:c r="G397" s="80" t="str"/>
      <x:c r="H397" s="80" t="str">
        <x:v>040 / / / 250</x:v>
      </x:c>
      <x:c r="I397" s="83" t="str">
        <x:v>BDC82</x:v>
      </x:c>
      <x:c r="J397" s="80" t="str">
        <x:v>Blue</x:v>
      </x:c>
      <x:c r="K397" s="82" t="str">
        <x:v>Detailed trim &amp; headlights; "PORSCHE" &amp; "Panamera Turbo S" on rear; "HWNM 2014" on white rear license plate</x:v>
      </x:c>
      <x:c r="L397" s="82" t="str">
        <x:v>PR5</x:v>
      </x:c>
      <x:c r="M397" s="82" t="str">
        <x:v>Black / / / Plastic</x:v>
      </x:c>
      <x:c r="N397" s="82" t="str">
        <x:v>Smoke tint</x:v>
      </x:c>
      <x:c r="O397" s="82" t="str">
        <x:v>Black</x:v>
      </x:c>
      <x:c r="P397" s="82" t="str">
        <x:v>Malaysia</x:v>
      </x:c>
      <x:c r="Q397" s="82" t="str"/>
      <x:c r="R397" s="82" t="str">
        <x:v>Mainline</x:v>
      </x:c>
      <x:c r="S397" s="82" t="str">
        <x:v>Incomum</x:v>
      </x:c>
      <x:c r="T397" s="82" t="str">
        <x:v>Lançado</x:v>
      </x:c>
      <x:c r="U397" s="82" t="str">
        <x:v>New Model / Base code(s): F38, F40, F41</x:v>
      </x:c>
      <x:c r="V397" s="80" t="str">
        <x:v>Coleção principal (~1:64)</x:v>
      </x:c>
      <x:c r="W397" s="82" t="str">
        <x:v>https://hotwheels.fandom.com/wiki/Porsche_Panamera</x:v>
      </x:c>
      <x:c r="X397" s="82" t="str">
        <x:v>https://hotwheels.fandom.com/wiki/Porsche_Panamera</x:v>
      </x:c>
    </x:row>
    <x:row r="398">
      <x:c r="A398" s="80" t="str">
        <x:v>Não</x:v>
      </x:c>
      <x:c r="B398" s="80" t="str">
        <x:v>2 — Completar aos poucos</x:v>
      </x:c>
      <x:c r="C398" s="81" t="n">
        <x:v>2014</x:v>
      </x:c>
      <x:c r="D398" s="80" t="str">
        <x:v>Porsche Panamera</x:v>
      </x:c>
      <x:c r="E398" s="80" t="str">
        <x:v>Porsche Panamera</x:v>
      </x:c>
      <x:c r="F398" s="82" t="str">
        <x:v>HW City: Speed Team</x:v>
      </x:c>
      <x:c r="G398" s="80" t="str"/>
      <x:c r="H398" s="80" t="str">
        <x:v>040 / / / 250</x:v>
      </x:c>
      <x:c r="I398" s="83" t="str">
        <x:v>BFF93</x:v>
      </x:c>
      <x:c r="J398" s="80" t="str">
        <x:v>Red</x:v>
      </x:c>
      <x:c r="K398" s="82" t="str">
        <x:v>Trim details</x:v>
      </x:c>
      <x:c r="L398" s="82" t="str">
        <x:v>PR5</x:v>
      </x:c>
      <x:c r="M398" s="82" t="str">
        <x:v>Black / / / Plastic</x:v>
      </x:c>
      <x:c r="N398" s="82" t="str">
        <x:v>Smoke tint</x:v>
      </x:c>
      <x:c r="O398" s="82" t="str">
        <x:v>Brown</x:v>
      </x:c>
      <x:c r="P398" s="82" t="str">
        <x:v>Malaysia</x:v>
      </x:c>
      <x:c r="Q398" s="82" t="str"/>
      <x:c r="R398" s="82" t="str">
        <x:v>Mainline</x:v>
      </x:c>
      <x:c r="S398" s="82" t="str">
        <x:v>Incomum</x:v>
      </x:c>
      <x:c r="T398" s="82" t="str">
        <x:v>Lançado</x:v>
      </x:c>
      <x:c r="U398" s="82" t="str">
        <x:v>New Model / Base code(s) F44, F46, F48, F49</x:v>
      </x:c>
      <x:c r="V398" s="80" t="str">
        <x:v>Coleção principal (~1:64)</x:v>
      </x:c>
      <x:c r="W398" s="82" t="str">
        <x:v>https://hotwheels.fandom.com/wiki/Porsche_Panamera</x:v>
      </x:c>
      <x:c r="X398" s="82" t="str">
        <x:v>https://hotwheels.fandom.com/wiki/Porsche_Panamera</x:v>
      </x:c>
    </x:row>
    <x:row r="399">
      <x:c r="A399" s="80" t="str">
        <x:v>Não</x:v>
      </x:c>
      <x:c r="B399" s="80" t="str">
        <x:v>2 — Completar aos poucos</x:v>
      </x:c>
      <x:c r="C399" s="81" t="n">
        <x:v>2013</x:v>
      </x:c>
      <x:c r="D399" s="80" t="str">
        <x:v>'78 Porsche 935-78</x:v>
      </x:c>
      <x:c r="E399" s="80" t="str">
        <x:v>'78 Porsche 935-78</x:v>
      </x:c>
      <x:c r="F399" s="82" t="str">
        <x:v>Flying Customs</x:v>
      </x:c>
      <x:c r="G399" s="80" t="str"/>
      <x:c r="H399" s="80" t="str"/>
      <x:c r="I399" s="83" t="str">
        <x:v>X8205</x:v>
      </x:c>
      <x:c r="J399" s="80" t="str">
        <x:v>Metalflake Orange</x:v>
      </x:c>
      <x:c r="K399" s="82" t="str">
        <x:v>Light Blue &amp; Yellow stripes, Light Blue &amp; White '78' on sides &amp; hood</x:v>
      </x:c>
      <x:c r="L399" s="82" t="str">
        <x:v>BWs</x:v>
      </x:c>
      <x:c r="M399" s="82" t="str">
        <x:v>Unpainted / / / Metal</x:v>
      </x:c>
      <x:c r="N399" s="82" t="str">
        <x:v>Smoke tint</x:v>
      </x:c>
      <x:c r="O399" s="82" t="str">
        <x:v>Black</x:v>
      </x:c>
      <x:c r="P399" s="82" t="str">
        <x:v>Thailand</x:v>
      </x:c>
      <x:c r="Q399" s="82" t="str"/>
      <x:c r="R399" s="82" t="str">
        <x:v>Outra linha</x:v>
      </x:c>
      <x:c r="S399" s="82" t="str">
        <x:v>Incomum</x:v>
      </x:c>
      <x:c r="T399" s="82" t="str">
        <x:v>Lançado</x:v>
      </x:c>
      <x:c r="U399" s="82" t="str"/>
      <x:c r="V399" s="80" t="str">
        <x:v>Coleção principal (~1:64)</x:v>
      </x:c>
      <x:c r="W399" s="82" t="str">
        <x:v>https://hotwheels.fandom.com/wiki/%2778_Porsche_935-78</x:v>
      </x:c>
      <x:c r="X399" s="82" t="str">
        <x:v>https://hotwheels.fandom.com/wiki/%2778_Porsche_935-78</x:v>
      </x:c>
    </x:row>
    <x:row r="400">
      <x:c r="A400" s="80" t="str">
        <x:v>Não</x:v>
      </x:c>
      <x:c r="B400" s="80" t="str">
        <x:v>2 — Completar aos poucos</x:v>
      </x:c>
      <x:c r="C400" s="81" t="n">
        <x:v>2013</x:v>
      </x:c>
      <x:c r="D400" s="80" t="str">
        <x:v>Porsche 911 GT3 RS (2011)</x:v>
      </x:c>
      <x:c r="E400" s="80" t="str">
        <x:v>Porsche 911 GT3 RS</x:v>
      </x:c>
      <x:c r="F400" s="82" t="str">
        <x:v>HW Showroom: Asphalt Assault</x:v>
      </x:c>
      <x:c r="G400" s="80" t="str"/>
      <x:c r="H400" s="80" t="str">
        <x:v>157/250</x:v>
      </x:c>
      <x:c r="I400" s="83" t="str">
        <x:v>X1956</x:v>
      </x:c>
      <x:c r="J400" s="80" t="str">
        <x:v>Black</x:v>
      </x:c>
      <x:c r="K400" s="82" t="str">
        <x:v>Detailed headlights, Porsche emblem on front, Orange stripe w/ 'GT3 RS' on sides</x:v>
      </x:c>
      <x:c r="L400" s="82" t="str">
        <x:v>Chrome Orange PR5</x:v>
      </x:c>
      <x:c r="M400" s="82" t="str">
        <x:v>Black / / / Plastic</x:v>
      </x:c>
      <x:c r="N400" s="82" t="str">
        <x:v>Smoke tint</x:v>
      </x:c>
      <x:c r="O400" s="82" t="str">
        <x:v>Grey</x:v>
      </x:c>
      <x:c r="P400" s="82" t="str">
        <x:v>Malaysia</x:v>
      </x:c>
      <x:c r="Q400" s="82" t="str"/>
      <x:c r="R400" s="82" t="str">
        <x:v>Mainline</x:v>
      </x:c>
      <x:c r="S400" s="82" t="str">
        <x:v>Incomum</x:v>
      </x:c>
      <x:c r="T400" s="82" t="str">
        <x:v>Lançado</x:v>
      </x:c>
      <x:c r="U400" s="82" t="str">
        <x:v>Base code(s): F21, F22, F23, F25</x:v>
      </x:c>
      <x:c r="V400" s="80" t="str">
        <x:v>Coleção principal (~1:64)</x:v>
      </x:c>
      <x:c r="W400" s="82" t="str">
        <x:v>https://hotwheels.fandom.com/wiki/Porsche_911_GT3_RS_(2011)</x:v>
      </x:c>
      <x:c r="X400" s="82" t="str">
        <x:v>https://hotwheels.fandom.com/wiki/Porsche_911_GT3_RS_(2011)</x:v>
      </x:c>
    </x:row>
    <x:row r="401">
      <x:c r="A401" s="80" t="str">
        <x:v>Não</x:v>
      </x:c>
      <x:c r="B401" s="80" t="str">
        <x:v>2 — Completar aos poucos</x:v>
      </x:c>
      <x:c r="C401" s="81" t="n">
        <x:v>2013</x:v>
      </x:c>
      <x:c r="D401" s="80" t="str">
        <x:v>Porsche 911 GT3 RS (2011)</x:v>
      </x:c>
      <x:c r="E401" s="80" t="str">
        <x:v>Porsche 911 GT3 RS</x:v>
      </x:c>
      <x:c r="F401" s="82" t="str">
        <x:v>HW Showroom: Asphalt Assault</x:v>
      </x:c>
      <x:c r="G401" s="80" t="str"/>
      <x:c r="H401" s="80" t="str">
        <x:v>157/250</x:v>
      </x:c>
      <x:c r="I401" s="83" t="str">
        <x:v>X1785</x:v>
      </x:c>
      <x:c r="J401" s="80" t="str">
        <x:v>Orange</x:v>
      </x:c>
      <x:c r="K401" s="82" t="str">
        <x:v>Tampo'd headlights, Black stripe w/ 'GT3 RS' on sides, Porsche emblem on hood</x:v>
      </x:c>
      <x:c r="L401" s="82" t="str">
        <x:v>Black PR5</x:v>
      </x:c>
      <x:c r="M401" s="82" t="str">
        <x:v>Black / / / Plastic</x:v>
      </x:c>
      <x:c r="N401" s="82" t="str">
        <x:v>Smoke tint</x:v>
      </x:c>
      <x:c r="O401" s="82" t="str">
        <x:v>Black</x:v>
      </x:c>
      <x:c r="P401" s="82" t="str">
        <x:v>Malaysia</x:v>
      </x:c>
      <x:c r="Q401" s="82" t="str"/>
      <x:c r="R401" s="82" t="str">
        <x:v>Mainline</x:v>
      </x:c>
      <x:c r="S401" s="82" t="str">
        <x:v>Incomum</x:v>
      </x:c>
      <x:c r="T401" s="82" t="str">
        <x:v>Lançado</x:v>
      </x:c>
      <x:c r="U401" s="82" t="str">
        <x:v>Base code(s): E50, E51, E52, F02, F04</x:v>
      </x:c>
      <x:c r="V401" s="80" t="str">
        <x:v>Coleção principal (~1:64)</x:v>
      </x:c>
      <x:c r="W401" s="82" t="str">
        <x:v>https://hotwheels.fandom.com/wiki/Porsche_911_GT3_RS_(2011)</x:v>
      </x:c>
      <x:c r="X401" s="82" t="str">
        <x:v>https://hotwheels.fandom.com/wiki/Porsche_911_GT3_RS_(2011)</x:v>
      </x:c>
    </x:row>
    <x:row r="402">
      <x:c r="A402" s="80" t="str">
        <x:v>Não</x:v>
      </x:c>
      <x:c r="B402" s="80" t="str">
        <x:v>2 — Completar aos poucos</x:v>
      </x:c>
      <x:c r="C402" s="81" t="n">
        <x:v>2013</x:v>
      </x:c>
      <x:c r="D402" s="80" t="str">
        <x:v>Porsche 914-6</x:v>
      </x:c>
      <x:c r="E402" s="80" t="str">
        <x:v>Porsche 914-6</x:v>
      </x:c>
      <x:c r="F402" s="82" t="str">
        <x:v>Flying Customs</x:v>
      </x:c>
      <x:c r="G402" s="80" t="str"/>
      <x:c r="H402" s="80" t="str"/>
      <x:c r="I402" s="83" t="str">
        <x:v>X8204</x:v>
      </x:c>
      <x:c r="J402" s="80" t="str">
        <x:v>Anodized Blue</x:v>
      </x:c>
      <x:c r="K402" s="82" t="str">
        <x:v>Orange &amp; Red stripes, '14'</x:v>
      </x:c>
      <x:c r="L402" s="82" t="str">
        <x:v>UH</x:v>
      </x:c>
      <x:c r="M402" s="82" t="str"/>
      <x:c r="N402" s="82" t="str">
        <x:v>Clear</x:v>
      </x:c>
      <x:c r="O402" s="82" t="str">
        <x:v>Black</x:v>
      </x:c>
      <x:c r="P402" s="82" t="str">
        <x:v>Thailand</x:v>
      </x:c>
      <x:c r="Q402" s="82" t="str"/>
      <x:c r="R402" s="82" t="str">
        <x:v>Outra linha</x:v>
      </x:c>
      <x:c r="S402" s="82" t="str">
        <x:v>Incomum</x:v>
      </x:c>
      <x:c r="T402" s="82" t="str">
        <x:v>Lançado</x:v>
      </x:c>
      <x:c r="U402" s="82" t="str">
        <x:v>Base code(s): F07, F08, F09, F10, F12</x:v>
      </x:c>
      <x:c r="V402" s="80" t="str">
        <x:v>Coleção principal (~1:64)</x:v>
      </x:c>
      <x:c r="W402" s="82" t="str">
        <x:v>https://hotwheels.fandom.com/wiki/Porsche_914-6</x:v>
      </x:c>
      <x:c r="X402" s="82" t="str">
        <x:v>https://hotwheels.fandom.com/wiki/Porsche_914-6</x:v>
      </x:c>
    </x:row>
    <x:row r="403">
      <x:c r="A403" s="80" t="str">
        <x:v>Não</x:v>
      </x:c>
      <x:c r="B403" s="80" t="str">
        <x:v>2 — Completar aos poucos</x:v>
      </x:c>
      <x:c r="C403" s="81" t="n">
        <x:v>2013</x:v>
      </x:c>
      <x:c r="D403" s="80" t="str">
        <x:v>Porsche 918 Spyder (2013)</x:v>
      </x:c>
      <x:c r="E403" s="80" t="str">
        <x:v>Porsche 918 Spyder</x:v>
      </x:c>
      <x:c r="F403" s="82" t="str">
        <x:v>HW Showroom: HW All Stars</x:v>
      </x:c>
      <x:c r="G403" s="80" t="str"/>
      <x:c r="H403" s="80" t="str">
        <x:v>175/250</x:v>
      </x:c>
      <x:c r="I403" s="83" t="str">
        <x:v>X1615</x:v>
      </x:c>
      <x:c r="J403" s="80" t="str">
        <x:v>Metalflake Silver</x:v>
      </x:c>
      <x:c r="K403" s="82" t="str">
        <x:v>Detailed headlights, Porsche emblem on front, '918 Spyder' on rear</x:v>
      </x:c>
      <x:c r="L403" s="82" t="str">
        <x:v>10SP</x:v>
      </x:c>
      <x:c r="M403" s="82" t="str">
        <x:v>Grey / / / Plastic</x:v>
      </x:c>
      <x:c r="N403" s="82" t="str">
        <x:v>Clear</x:v>
      </x:c>
      <x:c r="O403" s="82" t="str">
        <x:v>Grey</x:v>
      </x:c>
      <x:c r="P403" s="82" t="str">
        <x:v>Malaysia</x:v>
      </x:c>
      <x:c r="Q403" s="82" t="str"/>
      <x:c r="R403" s="82" t="str">
        <x:v>Mainline</x:v>
      </x:c>
      <x:c r="S403" s="82" t="str">
        <x:v>Incomum</x:v>
      </x:c>
      <x:c r="T403" s="82" t="str">
        <x:v>Lançado</x:v>
      </x:c>
      <x:c r="U403" s="82" t="str"/>
      <x:c r="V403" s="80" t="str">
        <x:v>Coleção principal (~1:64)</x:v>
      </x:c>
      <x:c r="W403" s="82" t="str">
        <x:v>https://hotwheels.fandom.com/wiki/Porsche_918_Spyder_(2013)</x:v>
      </x:c>
      <x:c r="X403" s="82" t="str">
        <x:v>https://hotwheels.fandom.com/wiki/Porsche_918_Spyder_(2013)</x:v>
      </x:c>
    </x:row>
    <x:row r="404">
      <x:c r="A404" s="80" t="str">
        <x:v>Não</x:v>
      </x:c>
      <x:c r="B404" s="80" t="str">
        <x:v>2 — Completar aos poucos</x:v>
      </x:c>
      <x:c r="C404" s="81" t="n">
        <x:v>2013</x:v>
      </x:c>
      <x:c r="D404" s="80" t="str">
        <x:v>Porsche 918 Spyder (2013)</x:v>
      </x:c>
      <x:c r="E404" s="80" t="str">
        <x:v>Porsche 918 Spyder</x:v>
      </x:c>
      <x:c r="F404" s="82" t="str">
        <x:v>HW Showroom: HW All Stars</x:v>
      </x:c>
      <x:c r="G404" s="80" t="str"/>
      <x:c r="H404" s="80" t="str">
        <x:v>175/250</x:v>
      </x:c>
      <x:c r="I404" s="83" t="str">
        <x:v>X1994</x:v>
      </x:c>
      <x:c r="J404" s="80" t="str">
        <x:v>Red</x:v>
      </x:c>
      <x:c r="K404" s="82" t="str">
        <x:v>Detailed headlights, Porsche emblem on front, '918 Spyder' on rear</x:v>
      </x:c>
      <x:c r="L404" s="82" t="str">
        <x:v>PR5</x:v>
      </x:c>
      <x:c r="M404" s="82" t="str">
        <x:v>Grey / / / Plastic</x:v>
      </x:c>
      <x:c r="N404" s="82" t="str">
        <x:v>Clear</x:v>
      </x:c>
      <x:c r="O404" s="82" t="str">
        <x:v>Grey</x:v>
      </x:c>
      <x:c r="P404" s="82" t="str">
        <x:v>Malaysia</x:v>
      </x:c>
      <x:c r="Q404" s="82" t="str"/>
      <x:c r="R404" s="82" t="str">
        <x:v>Mainline</x:v>
      </x:c>
      <x:c r="S404" s="82" t="str">
        <x:v>Incomum</x:v>
      </x:c>
      <x:c r="T404" s="82" t="str">
        <x:v>Lançado</x:v>
      </x:c>
      <x:c r="U404" s="82" t="str"/>
      <x:c r="V404" s="80" t="str">
        <x:v>Coleção principal (~1:64)</x:v>
      </x:c>
      <x:c r="W404" s="82" t="str">
        <x:v>https://hotwheels.fandom.com/wiki/Porsche_918_Spyder_(2013)</x:v>
      </x:c>
      <x:c r="X404" s="82" t="str">
        <x:v>https://hotwheels.fandom.com/wiki/Porsche_918_Spyder_(2013)</x:v>
      </x:c>
    </x:row>
    <x:row r="405">
      <x:c r="A405" s="80" t="str">
        <x:v>Não</x:v>
      </x:c>
      <x:c r="B405" s="80" t="str">
        <x:v>2 — Completar aos poucos</x:v>
      </x:c>
      <x:c r="C405" s="81" t="n">
        <x:v>2013</x:v>
      </x:c>
      <x:c r="D405" s="80" t="str">
        <x:v>Porsche 993 GT2</x:v>
      </x:c>
      <x:c r="E405" s="80" t="str">
        <x:v>Porsche 993 GT2</x:v>
      </x:c>
      <x:c r="F405" s="82" t="str">
        <x:v>Hot Wheels Boulevard</x:v>
      </x:c>
      <x:c r="G405" s="80" t="str"/>
      <x:c r="H405" s="80" t="str"/>
      <x:c r="I405" s="83" t="str">
        <x:v>X8240</x:v>
      </x:c>
      <x:c r="J405" s="80" t="str">
        <x:v>Yellow</x:v>
      </x:c>
      <x:c r="K405" s="82" t="str">
        <x:v>Porsche Crest on hood, detailed taillights</x:v>
      </x:c>
      <x:c r="L405" s="82" t="str">
        <x:v>Chrome &amp; Gold RR10SP</x:v>
      </x:c>
      <x:c r="M405" s="82" t="str">
        <x:v>ZAMAC</x:v>
      </x:c>
      <x:c r="N405" s="82" t="str">
        <x:v>Clear</x:v>
      </x:c>
      <x:c r="O405" s="82" t="str">
        <x:v>Black</x:v>
      </x:c>
      <x:c r="P405" s="82" t="str">
        <x:v>Malaysia</x:v>
      </x:c>
      <x:c r="Q405" s="82" t="str"/>
      <x:c r="R405" s="82" t="str">
        <x:v>Premium</x:v>
      </x:c>
      <x:c r="S405" s="82" t="str">
        <x:v>Incomum</x:v>
      </x:c>
      <x:c r="T405" s="82" t="str">
        <x:v>Lançado</x:v>
      </x:c>
      <x:c r="U405" s="82" t="str">
        <x:v>Base code(s): F13, F14, F15</x:v>
      </x:c>
      <x:c r="V405" s="80" t="str">
        <x:v>Coleção principal (~1:64)</x:v>
      </x:c>
      <x:c r="W405" s="82" t="str">
        <x:v>https://hotwheels.fandom.com/wiki/Porsche_993_GT2</x:v>
      </x:c>
      <x:c r="X405" s="82" t="str">
        <x:v>https://hotwheels.fandom.com/wiki/Porsche_993_GT2</x:v>
      </x:c>
    </x:row>
    <x:row r="406">
      <x:c r="A406" s="80" t="str">
        <x:v>Não</x:v>
      </x:c>
      <x:c r="B406" s="80" t="str">
        <x:v>2 — Completar aos poucos</x:v>
      </x:c>
      <x:c r="C406" s="81" t="n">
        <x:v>2013</x:v>
      </x:c>
      <x:c r="D406" s="80" t="str">
        <x:v>Porsche Carrera GT</x:v>
      </x:c>
      <x:c r="E406" s="80" t="str">
        <x:v>Porsche Carrera GT</x:v>
      </x:c>
      <x:c r="F406" s="82" t="str">
        <x:v>HW City: Street Power</x:v>
      </x:c>
      <x:c r="G406" s="80" t="str"/>
      <x:c r="H406" s="80" t="str">
        <x:v>004/250</x:v>
      </x:c>
      <x:c r="I406" s="83" t="str">
        <x:v>X1664</x:v>
      </x:c>
      <x:c r="J406" s="80" t="str">
        <x:v>Guards Red</x:v>
      </x:c>
      <x:c r="K406" s="82" t="str">
        <x:v>Detailed headlights, Porsche emblem on front, Silver 'Carrera GT' on rear, White 'Porsche' on front windshield</x:v>
      </x:c>
      <x:c r="L406" s="82" t="str">
        <x:v>PR5</x:v>
      </x:c>
      <x:c r="M406" s="82" t="str">
        <x:v>Black / / / Plastic</x:v>
      </x:c>
      <x:c r="N406" s="82" t="str">
        <x:v>Clear</x:v>
      </x:c>
      <x:c r="O406" s="82" t="str">
        <x:v>Black</x:v>
      </x:c>
      <x:c r="P406" s="82" t="str">
        <x:v>Malaysia</x:v>
      </x:c>
      <x:c r="Q406" s="82" t="str"/>
      <x:c r="R406" s="82" t="str">
        <x:v>Mainline</x:v>
      </x:c>
      <x:c r="S406" s="82" t="str">
        <x:v>Incomum</x:v>
      </x:c>
      <x:c r="T406" s="82" t="str">
        <x:v>Lançado</x:v>
      </x:c>
      <x:c r="U406" s="82" t="str">
        <x:v>Base code(s): E26, E29, E33, E35, E36</x:v>
      </x:c>
      <x:c r="V406" s="80" t="str">
        <x:v>Coleção principal (~1:64)</x:v>
      </x:c>
      <x:c r="W406" s="82" t="str">
        <x:v>https://hotwheels.fandom.com/wiki/Porsche_Carrera_GT</x:v>
      </x:c>
      <x:c r="X406" s="82" t="str">
        <x:v>https://hotwheels.fandom.com/wiki/Porsche_Carrera_GT</x:v>
      </x:c>
    </x:row>
    <x:row r="407">
      <x:c r="A407" s="80" t="str">
        <x:v>Não</x:v>
      </x:c>
      <x:c r="B407" s="80" t="str">
        <x:v>2 — Completar aos poucos</x:v>
      </x:c>
      <x:c r="C407" s="81" t="n">
        <x:v>2013</x:v>
      </x:c>
      <x:c r="D407" s="80" t="str">
        <x:v>Porsche Carrera GT</x:v>
      </x:c>
      <x:c r="E407" s="80" t="str">
        <x:v>Porsche Carrera GT</x:v>
      </x:c>
      <x:c r="F407" s="82" t="str">
        <x:v>HW City: Street Power</x:v>
      </x:c>
      <x:c r="G407" s="80" t="str"/>
      <x:c r="H407" s="80" t="str">
        <x:v>004/250</x:v>
      </x:c>
      <x:c r="I407" s="83" t="str">
        <x:v>X1863</x:v>
      </x:c>
      <x:c r="J407" s="80" t="str">
        <x:v>Pearl Signal Green</x:v>
      </x:c>
      <x:c r="K407" s="82" t="str">
        <x:v>Detailed headlights, Porsche emblem on front, Silver 'Carrera GT' on rear, White 'Porsche' on front windshield</x:v>
      </x:c>
      <x:c r="L407" s="82" t="str">
        <x:v>Chrome Green &amp; Black MC5</x:v>
      </x:c>
      <x:c r="M407" s="82" t="str">
        <x:v>Black / / / Plastic</x:v>
      </x:c>
      <x:c r="N407" s="82" t="str">
        <x:v>Clear</x:v>
      </x:c>
      <x:c r="O407" s="82" t="str">
        <x:v>Black</x:v>
      </x:c>
      <x:c r="P407" s="82" t="str">
        <x:v>Malaysia</x:v>
      </x:c>
      <x:c r="Q407" s="82" t="str"/>
      <x:c r="R407" s="82" t="str">
        <x:v>Mainline</x:v>
      </x:c>
      <x:c r="S407" s="82" t="str">
        <x:v>Incomum</x:v>
      </x:c>
      <x:c r="T407" s="82" t="str">
        <x:v>Lançado</x:v>
      </x:c>
      <x:c r="U407" s="82" t="str">
        <x:v>Base code(s): E41, E42, E43, E45, E46</x:v>
      </x:c>
      <x:c r="V407" s="80" t="str">
        <x:v>Coleção principal (~1:64)</x:v>
      </x:c>
      <x:c r="W407" s="82" t="str">
        <x:v>https://hotwheels.fandom.com/wiki/Porsche_Carrera_GT</x:v>
      </x:c>
      <x:c r="X407" s="82" t="str">
        <x:v>https://hotwheels.fandom.com/wiki/Porsche_Carrera_GT</x:v>
      </x:c>
    </x:row>
    <x:row r="408">
      <x:c r="A408" s="80" t="str">
        <x:v>Não</x:v>
      </x:c>
      <x:c r="B408" s="80" t="str">
        <x:v>2 — Completar aos poucos</x:v>
      </x:c>
      <x:c r="C408" s="81" t="n">
        <x:v>2012</x:v>
      </x:c>
      <x:c r="D408" s="80" t="str">
        <x:v>'78 Porsche 935-78</x:v>
      </x:c>
      <x:c r="E408" s="80" t="str">
        <x:v>'78 Porsche 935-78</x:v>
      </x:c>
      <x:c r="F408" s="82" t="str">
        <x:v>Hot Wheels Racing: Road Racer</x:v>
      </x:c>
      <x:c r="G408" s="80" t="str"/>
      <x:c r="H408" s="80" t="str"/>
      <x:c r="I408" s="83" t="str">
        <x:v>W8302</x:v>
      </x:c>
      <x:c r="J408" s="80" t="str">
        <x:v>Metalflake Silver</x:v>
      </x:c>
      <x:c r="K408" s="82" t="str">
        <x:v>Yellow &amp; Red stripes on sides, hood &amp; roof, '35' on sides &amp; hood</x:v>
      </x:c>
      <x:c r="L408" s="82" t="str">
        <x:v>Red chrome rim RRE</x:v>
      </x:c>
      <x:c r="M408" s="82" t="str">
        <x:v>Black / / / Metal</x:v>
      </x:c>
      <x:c r="N408" s="82" t="str">
        <x:v>Clear</x:v>
      </x:c>
      <x:c r="O408" s="82" t="str">
        <x:v>Grey</x:v>
      </x:c>
      <x:c r="P408" s="82" t="str">
        <x:v>Thailand</x:v>
      </x:c>
      <x:c r="Q408" s="82" t="str"/>
      <x:c r="R408" s="82" t="str">
        <x:v>Outra linha</x:v>
      </x:c>
      <x:c r="S408" s="82" t="str">
        <x:v>Incomum</x:v>
      </x:c>
      <x:c r="T408" s="82" t="str">
        <x:v>Lançado</x:v>
      </x:c>
      <x:c r="U408" s="82" t="str"/>
      <x:c r="V408" s="80" t="str">
        <x:v>Coleção principal (~1:64)</x:v>
      </x:c>
      <x:c r="W408" s="82" t="str">
        <x:v>https://hotwheels.fandom.com/wiki/%2778_Porsche_935-78</x:v>
      </x:c>
      <x:c r="X408" s="82" t="str">
        <x:v>https://hotwheels.fandom.com/wiki/%2778_Porsche_935-78</x:v>
      </x:c>
    </x:row>
    <x:row r="409">
      <x:c r="A409" s="80" t="str">
        <x:v>Não</x:v>
      </x:c>
      <x:c r="B409" s="80" t="str">
        <x:v>2 — Completar aos poucos</x:v>
      </x:c>
      <x:c r="C409" s="81" t="n">
        <x:v>2012</x:v>
      </x:c>
      <x:c r="D409" s="80" t="str">
        <x:v>Porsche 911 GT2</x:v>
      </x:c>
      <x:c r="E409" s="80" t="str">
        <x:v>Porsche 911 GT2</x:v>
      </x:c>
      <x:c r="F409" s="82" t="str">
        <x:v>HW All Stars / 4/10</x:v>
      </x:c>
      <x:c r="G409" s="80" t="str"/>
      <x:c r="H409" s="80" t="str">
        <x:v>124/247</x:v>
      </x:c>
      <x:c r="I409" s="83" t="str">
        <x:v>V5427</x:v>
      </x:c>
      <x:c r="J409" s="80" t="str">
        <x:v>Metallic Blue</x:v>
      </x:c>
      <x:c r="K409" s="82" t="str">
        <x:v>Porsche badge, tail lights, GT2 on rear</x:v>
      </x:c>
      <x:c r="L409" s="82" t="str">
        <x:v>J5</x:v>
      </x:c>
      <x:c r="M409" s="82" t="str">
        <x:v>Black / / / Plastic</x:v>
      </x:c>
      <x:c r="N409" s="82" t="str">
        <x:v>Clear</x:v>
      </x:c>
      <x:c r="O409" s="82" t="str">
        <x:v>Tan</x:v>
      </x:c>
      <x:c r="P409" s="82" t="str">
        <x:v>Malaysia</x:v>
      </x:c>
      <x:c r="Q409" s="82" t="str"/>
      <x:c r="R409" s="82" t="str">
        <x:v>Mainline</x:v>
      </x:c>
      <x:c r="S409" s="82" t="str">
        <x:v>Incomum</x:v>
      </x:c>
      <x:c r="T409" s="82" t="str">
        <x:v>Lançado</x:v>
      </x:c>
      <x:c r="U409" s="82" t="str">
        <x:v>Black spoiler / Base code(s): E07, E13, E14, E16</x:v>
      </x:c>
      <x:c r="V409" s="80" t="str">
        <x:v>Coleção principal (~1:64)</x:v>
      </x:c>
      <x:c r="W409" s="82" t="str">
        <x:v>https://hotwheels.fandom.com/wiki/Porsche_911_GT2</x:v>
      </x:c>
      <x:c r="X409" s="82" t="str">
        <x:v>https://hotwheels.fandom.com/wiki/Porsche_911_GT2</x:v>
      </x:c>
    </x:row>
    <x:row r="410">
      <x:c r="A410" s="80" t="str">
        <x:v>Não</x:v>
      </x:c>
      <x:c r="B410" s="80" t="str">
        <x:v>2 — Completar aos poucos</x:v>
      </x:c>
      <x:c r="C410" s="81" t="n">
        <x:v>2012</x:v>
      </x:c>
      <x:c r="D410" s="80" t="str">
        <x:v>Porsche 911 GT2</x:v>
      </x:c>
      <x:c r="E410" s="80" t="str">
        <x:v>Porsche 911 GT2</x:v>
      </x:c>
      <x:c r="F410" s="82" t="str">
        <x:v>HW All Stars / 4/10</x:v>
      </x:c>
      <x:c r="G410" s="80" t="str"/>
      <x:c r="H410" s="80" t="str">
        <x:v>124/247</x:v>
      </x:c>
      <x:c r="I410" s="83" t="str">
        <x:v>W4447</x:v>
      </x:c>
      <x:c r="J410" s="80" t="str">
        <x:v>Yellow</x:v>
      </x:c>
      <x:c r="K410" s="82" t="str">
        <x:v>Porsche emblem on front, 'GT2' &amp; tampo'd taillights on rear</x:v>
      </x:c>
      <x:c r="L410" s="82" t="str">
        <x:v>Chrome lip, black PR5</x:v>
      </x:c>
      <x:c r="M410" s="82" t="str">
        <x:v>Dark Grey / / / Plastic</x:v>
      </x:c>
      <x:c r="N410" s="82" t="str">
        <x:v>Tinted (Black)</x:v>
      </x:c>
      <x:c r="O410" s="82" t="str">
        <x:v>Black</x:v>
      </x:c>
      <x:c r="P410" s="82" t="str">
        <x:v>Malaysia</x:v>
      </x:c>
      <x:c r="Q410" s="82" t="str">
        <x:v>Walmart</x:v>
      </x:c>
      <x:c r="R410" s="82" t="str">
        <x:v>Mainline</x:v>
      </x:c>
      <x:c r="S410" s="82" t="str">
        <x:v>Rara</x:v>
      </x:c>
      <x:c r="T410" s="82" t="str">
        <x:v>Lançado</x:v>
      </x:c>
      <x:c r="U410" s="82" t="str">
        <x:v>Walmart Exclusive / Base code(s): E12, E17</x:v>
      </x:c>
      <x:c r="V410" s="80" t="str">
        <x:v>Coleção principal (~1:64)</x:v>
      </x:c>
      <x:c r="W410" s="82" t="str">
        <x:v>https://hotwheels.fandom.com/wiki/Porsche_911_GT2</x:v>
      </x:c>
      <x:c r="X410" s="82" t="str">
        <x:v>https://hotwheels.fandom.com/wiki/Porsche_911_GT2</x:v>
      </x:c>
    </x:row>
    <x:row r="411">
      <x:c r="A411" s="80" t="str">
        <x:v>Não</x:v>
      </x:c>
      <x:c r="B411" s="80" t="str">
        <x:v>2 — Completar aos poucos</x:v>
      </x:c>
      <x:c r="C411" s="81" t="n">
        <x:v>2012</x:v>
      </x:c>
      <x:c r="D411" s="80" t="str">
        <x:v>Porsche 911 GT2</x:v>
      </x:c>
      <x:c r="E411" s="80" t="str">
        <x:v>Porsche 911 GT2</x:v>
      </x:c>
      <x:c r="F411" s="82" t="str">
        <x:v>Speed Machines</x:v>
      </x:c>
      <x:c r="G411" s="80" t="str"/>
      <x:c r="H411" s="80" t="str"/>
      <x:c r="I411" s="83" t="str">
        <x:v>W2316</x:v>
      </x:c>
      <x:c r="J411" s="80" t="str">
        <x:v>Black &amp; Orange</x:v>
      </x:c>
      <x:c r="K411" s="82" t="str">
        <x:v>Gold "630"</x:v>
      </x:c>
      <x:c r="L411" s="82" t="str">
        <x:v>Orange Rim, Black CM6</x:v>
      </x:c>
      <x:c r="M411" s="82" t="str">
        <x:v>Black / / / Plastic</x:v>
      </x:c>
      <x:c r="N411" s="82" t="str">
        <x:v>Clear</x:v>
      </x:c>
      <x:c r="O411" s="82" t="str">
        <x:v>Gray</x:v>
      </x:c>
      <x:c r="P411" s="82" t="str">
        <x:v>Thailand</x:v>
      </x:c>
      <x:c r="Q411" s="82" t="str"/>
      <x:c r="R411" s="82" t="str">
        <x:v>Premium</x:v>
      </x:c>
      <x:c r="S411" s="82" t="str">
        <x:v>Incomum</x:v>
      </x:c>
      <x:c r="T411" s="82" t="str">
        <x:v>Lançado</x:v>
      </x:c>
      <x:c r="U411" s="82" t="str">
        <x:v>Base code(s):</x:v>
      </x:c>
      <x:c r="V411" s="80" t="str">
        <x:v>Coleção principal (~1:64)</x:v>
      </x:c>
      <x:c r="W411" s="82" t="str">
        <x:v>https://hotwheels.fandom.com/wiki/Porsche_911_GT2</x:v>
      </x:c>
      <x:c r="X411" s="82" t="str">
        <x:v>https://hotwheels.fandom.com/wiki/Porsche_911_GT2</x:v>
      </x:c>
    </x:row>
    <x:row r="412">
      <x:c r="A412" s="80" t="str">
        <x:v>Não</x:v>
      </x:c>
      <x:c r="B412" s="80" t="str">
        <x:v>2 — Completar aos poucos</x:v>
      </x:c>
      <x:c r="C412" s="81" t="n">
        <x:v>2012</x:v>
      </x:c>
      <x:c r="D412" s="80" t="str">
        <x:v>Porsche 914-6</x:v>
      </x:c>
      <x:c r="E412" s="80" t="str">
        <x:v>Porsche 914-6</x:v>
      </x:c>
      <x:c r="F412" s="82" t="str">
        <x:v>Hot Wheels Boulevard 30-Car Set</x:v>
      </x:c>
      <x:c r="G412" s="80" t="str"/>
      <x:c r="H412" s="80" t="str"/>
      <x:c r="I412" s="83" t="str">
        <x:v>W9600</x:v>
      </x:c>
      <x:c r="J412" s="80" t="str">
        <x:v>Green</x:v>
      </x:c>
      <x:c r="K412" s="82" t="str">
        <x:v>White &amp; Red Stripes on top, 'Porsche' on sides</x:v>
      </x:c>
      <x:c r="L412" s="82" t="str">
        <x:v>LW5</x:v>
      </x:c>
      <x:c r="M412" s="82" t="str"/>
      <x:c r="N412" s="82" t="str">
        <x:v>Clear</x:v>
      </x:c>
      <x:c r="O412" s="82" t="str">
        <x:v>Black</x:v>
      </x:c>
      <x:c r="P412" s="82" t="str">
        <x:v>Malaysia</x:v>
      </x:c>
      <x:c r="Q412" s="82" t="str">
        <x:v>Walmart</x:v>
      </x:c>
      <x:c r="R412" s="82" t="str">
        <x:v>Premium</x:v>
      </x:c>
      <x:c r="S412" s="82" t="str">
        <x:v>Rara</x:v>
      </x:c>
      <x:c r="T412" s="82" t="str">
        <x:v>Lançado</x:v>
      </x:c>
      <x:c r="U412" s="82" t="str">
        <x:v>Walmart Exclusive / Base code(s): E28</x:v>
      </x:c>
      <x:c r="V412" s="80" t="str">
        <x:v>Coleção principal (~1:64)</x:v>
      </x:c>
      <x:c r="W412" s="82" t="str">
        <x:v>https://hotwheels.fandom.com/wiki/Porsche_914-6</x:v>
      </x:c>
      <x:c r="X412" s="82" t="str">
        <x:v>https://hotwheels.fandom.com/wiki/Porsche_914-6</x:v>
      </x:c>
    </x:row>
    <x:row r="413">
      <x:c r="A413" s="80" t="str">
        <x:v>Não</x:v>
      </x:c>
      <x:c r="B413" s="80" t="str">
        <x:v>2 — Completar aos poucos</x:v>
      </x:c>
      <x:c r="C413" s="81" t="n">
        <x:v>2012</x:v>
      </x:c>
      <x:c r="D413" s="80" t="str">
        <x:v>Porsche 914-6</x:v>
      </x:c>
      <x:c r="E413" s="80" t="str">
        <x:v>Porsche 914-6</x:v>
      </x:c>
      <x:c r="F413" s="82" t="str">
        <x:v>Hot Wheels Boulevard: Underdogs</x:v>
      </x:c>
      <x:c r="G413" s="80" t="str"/>
      <x:c r="H413" s="80" t="str"/>
      <x:c r="I413" s="83" t="str">
        <x:v>W4622</x:v>
      </x:c>
      <x:c r="J413" s="80" t="str">
        <x:v>Orange</x:v>
      </x:c>
      <x:c r="K413" s="82" t="str">
        <x:v>Black &amp; Red racing stripes on hood &amp; sides. White circle with black '72'</x:v>
      </x:c>
      <x:c r="L413" s="82" t="str">
        <x:v>RR8SP</x:v>
      </x:c>
      <x:c r="M413" s="82" t="str"/>
      <x:c r="N413" s="82" t="str">
        <x:v>Clear</x:v>
      </x:c>
      <x:c r="O413" s="82" t="str">
        <x:v>Black</x:v>
      </x:c>
      <x:c r="P413" s="82" t="str">
        <x:v>Malaysia</x:v>
      </x:c>
      <x:c r="Q413" s="82" t="str"/>
      <x:c r="R413" s="82" t="str">
        <x:v>Premium</x:v>
      </x:c>
      <x:c r="S413" s="82" t="str">
        <x:v>Incomum</x:v>
      </x:c>
      <x:c r="T413" s="82" t="str">
        <x:v>Lançado</x:v>
      </x:c>
      <x:c r="U413" s="82" t="str">
        <x:v>Base code(s): E16, E19</x:v>
      </x:c>
      <x:c r="V413" s="80" t="str">
        <x:v>Coleção principal (~1:64)</x:v>
      </x:c>
      <x:c r="W413" s="82" t="str">
        <x:v>https://hotwheels.fandom.com/wiki/Porsche_914-6</x:v>
      </x:c>
      <x:c r="X413" s="82" t="str">
        <x:v>https://hotwheels.fandom.com/wiki/Porsche_914-6</x:v>
      </x:c>
    </x:row>
    <x:row r="414">
      <x:c r="A414" s="80" t="str">
        <x:v>Não</x:v>
      </x:c>
      <x:c r="B414" s="80" t="str">
        <x:v>2 — Completar aos poucos</x:v>
      </x:c>
      <x:c r="C414" s="81" t="n">
        <x:v>2012</x:v>
      </x:c>
      <x:c r="D414" s="80" t="str">
        <x:v>Porsche 917</x:v>
      </x:c>
      <x:c r="E414" s="80" t="str">
        <x:v>Porsche 917</x:v>
      </x:c>
      <x:c r="F414" s="82" t="str">
        <x:v>The Hot Ones</x:v>
      </x:c>
      <x:c r="G414" s="80" t="str"/>
      <x:c r="H414" s="80" t="str"/>
      <x:c r="I414" s="83" t="str">
        <x:v>W3801</x:v>
      </x:c>
      <x:c r="J414" s="80" t="str">
        <x:v>Yellow</x:v>
      </x:c>
      <x:c r="K414" s="82" t="str">
        <x:v>Black &amp; red racing stripes "Porsche" "7"</x:v>
      </x:c>
      <x:c r="L414" s="82" t="str">
        <x:v>Red HO</x:v>
      </x:c>
      <x:c r="M414" s="82" t="str">
        <x:v>Unpainted / Metal</x:v>
      </x:c>
      <x:c r="N414" s="82" t="str">
        <x:v>Yellow tint</x:v>
      </x:c>
      <x:c r="O414" s="82" t="str">
        <x:v>Grey</x:v>
      </x:c>
      <x:c r="P414" s="82" t="str">
        <x:v>Thailand</x:v>
      </x:c>
      <x:c r="Q414" s="82" t="str"/>
      <x:c r="R414" s="82" t="str">
        <x:v>Outra linha</x:v>
      </x:c>
      <x:c r="S414" s="82" t="str">
        <x:v>Incomum</x:v>
      </x:c>
      <x:c r="T414" s="82" t="str">
        <x:v>Lançado</x:v>
      </x:c>
      <x:c r="U414" s="82" t="str">
        <x:v>Base code(s): D51, E01, E02, E04, E03, E06</x:v>
      </x:c>
      <x:c r="V414" s="80" t="str">
        <x:v>Coleção principal (~1:64)</x:v>
      </x:c>
      <x:c r="W414" s="82" t="str">
        <x:v>https://hotwheels.fandom.com/wiki/Porsche_917</x:v>
      </x:c>
      <x:c r="X414" s="82" t="str">
        <x:v>https://hotwheels.fandom.com/wiki/Porsche_917</x:v>
      </x:c>
    </x:row>
    <x:row r="415">
      <x:c r="A415" s="80" t="str">
        <x:v>Não</x:v>
      </x:c>
      <x:c r="B415" s="80" t="str">
        <x:v>2 — Completar aos poucos</x:v>
      </x:c>
      <x:c r="C415" s="81" t="n">
        <x:v>2012</x:v>
      </x:c>
      <x:c r="D415" s="80" t="str">
        <x:v>Porsche 930</x:v>
      </x:c>
      <x:c r="E415" s="80" t="str">
        <x:v>Porsche 930</x:v>
      </x:c>
      <x:c r="F415" s="82" t="str">
        <x:v>The Hot Ones</x:v>
      </x:c>
      <x:c r="G415" s="80" t="str"/>
      <x:c r="H415" s="80" t="str"/>
      <x:c r="I415" s="83" t="str">
        <x:v>W3810</x:v>
      </x:c>
      <x:c r="J415" s="80" t="str">
        <x:v>Yellow</x:v>
      </x:c>
      <x:c r="K415" s="82" t="str">
        <x:v>Black graphics, outlined in red, on hood and roof</x:v>
      </x:c>
      <x:c r="L415" s="82" t="str">
        <x:v>UH</x:v>
      </x:c>
      <x:c r="M415" s="82" t="str">
        <x:v>Unpainted / Metal</x:v>
      </x:c>
      <x:c r="N415" s="82" t="str">
        <x:v>Clear</x:v>
      </x:c>
      <x:c r="O415" s="82" t="str">
        <x:v>Black</x:v>
      </x:c>
      <x:c r="P415" s="82" t="str">
        <x:v>Thailand</x:v>
      </x:c>
      <x:c r="Q415" s="82" t="str"/>
      <x:c r="R415" s="82" t="str">
        <x:v>Outra linha</x:v>
      </x:c>
      <x:c r="S415" s="82" t="str">
        <x:v>Incomum</x:v>
      </x:c>
      <x:c r="T415" s="82" t="str">
        <x:v>Lançado</x:v>
      </x:c>
      <x:c r="U415" s="82" t="str">
        <x:v>Base code(s): E29, E30</x:v>
      </x:c>
      <x:c r="V415" s="80" t="str">
        <x:v>Coleção principal (~1:64)</x:v>
      </x:c>
      <x:c r="W415" s="82" t="str">
        <x:v>https://hotwheels.fandom.com/wiki/Porsche_930</x:v>
      </x:c>
      <x:c r="X415" s="82" t="str">
        <x:v>https://hotwheels.fandom.com/wiki/Porsche_930</x:v>
      </x:c>
    </x:row>
    <x:row r="416">
      <x:c r="A416" s="80" t="str">
        <x:v>Não</x:v>
      </x:c>
      <x:c r="B416" s="80" t="str">
        <x:v>2 — Completar aos poucos</x:v>
      </x:c>
      <x:c r="C416" s="81" t="n">
        <x:v>2012</x:v>
      </x:c>
      <x:c r="D416" s="80" t="str">
        <x:v>Porsche Boxster Spyder</x:v>
      </x:c>
      <x:c r="E416" s="80" t="str">
        <x:v>Porsche Boxster Spyder</x:v>
      </x:c>
      <x:c r="F416" s="82" t="str">
        <x:v>2012 New Models / 26/50</x:v>
      </x:c>
      <x:c r="G416" s="80" t="str"/>
      <x:c r="H416" s="80" t="str">
        <x:v>026/247</x:v>
      </x:c>
      <x:c r="I416" s="83" t="str">
        <x:v>V5634</x:v>
      </x:c>
      <x:c r="J416" s="80" t="str">
        <x:v>Red</x:v>
      </x:c>
      <x:c r="K416" s="82" t="str">
        <x:v>Black stripe &amp; 'Porsche' on sides, Porsche emblem on hood, tampo'd headlights</x:v>
      </x:c>
      <x:c r="L416" s="82" t="str">
        <x:v>J5</x:v>
      </x:c>
      <x:c r="M416" s="82" t="str">
        <x:v>Black / / / Plastic</x:v>
      </x:c>
      <x:c r="N416" s="82" t="str">
        <x:v>Clear</x:v>
      </x:c>
      <x:c r="O416" s="82" t="str">
        <x:v>Black</x:v>
      </x:c>
      <x:c r="P416" s="82" t="str">
        <x:v>Malaysia</x:v>
      </x:c>
      <x:c r="Q416" s="82" t="str"/>
      <x:c r="R416" s="82" t="str">
        <x:v>Mainline</x:v>
      </x:c>
      <x:c r="S416" s="82" t="str">
        <x:v>Incomum</x:v>
      </x:c>
      <x:c r="T416" s="82" t="str">
        <x:v>Lançado</x:v>
      </x:c>
      <x:c r="U416" s="82" t="str">
        <x:v>Base Code(s): E26, E27, E28, E32</x:v>
      </x:c>
      <x:c r="V416" s="80" t="str">
        <x:v>Coleção principal (~1:64)</x:v>
      </x:c>
      <x:c r="W416" s="82" t="str">
        <x:v>https://hotwheels.fandom.com/wiki/Porsche_Boxster_Spyder</x:v>
      </x:c>
      <x:c r="X416" s="82" t="str">
        <x:v>https://hotwheels.fandom.com/wiki/Porsche_Boxster_Spyder</x:v>
      </x:c>
    </x:row>
    <x:row r="417">
      <x:c r="A417" s="80" t="str">
        <x:v>Não</x:v>
      </x:c>
      <x:c r="B417" s="80" t="str">
        <x:v>2 — Completar aos poucos</x:v>
      </x:c>
      <x:c r="C417" s="81" t="n">
        <x:v>2012</x:v>
      </x:c>
      <x:c r="D417" s="80" t="str">
        <x:v>Porsche Boxster Spyder</x:v>
      </x:c>
      <x:c r="E417" s="80" t="str">
        <x:v>Porsche Boxster Spyder</x:v>
      </x:c>
      <x:c r="F417" s="82" t="str">
        <x:v>2012 New Models / 26/50</x:v>
      </x:c>
      <x:c r="G417" s="80" t="str"/>
      <x:c r="H417" s="80" t="str">
        <x:v>026/247</x:v>
      </x:c>
      <x:c r="I417" s="83" t="str">
        <x:v>V5314</x:v>
      </x:c>
      <x:c r="J417" s="80" t="str">
        <x:v>White</x:v>
      </x:c>
      <x:c r="K417" s="82" t="str">
        <x:v>Black stripe &amp; 'Porsche' on sides, Porsche emblem on hood, tampo'd headlights</x:v>
      </x:c>
      <x:c r="L417" s="82" t="str">
        <x:v>J5</x:v>
      </x:c>
      <x:c r="M417" s="82" t="str">
        <x:v>Black / / / Plastic</x:v>
      </x:c>
      <x:c r="N417" s="82" t="str">
        <x:v>Clear</x:v>
      </x:c>
      <x:c r="O417" s="82" t="str">
        <x:v>Black</x:v>
      </x:c>
      <x:c r="P417" s="82" t="str">
        <x:v>Malaysia</x:v>
      </x:c>
      <x:c r="Q417" s="82" t="str"/>
      <x:c r="R417" s="82" t="str">
        <x:v>Mainline</x:v>
      </x:c>
      <x:c r="S417" s="82" t="str">
        <x:v>Incomum</x:v>
      </x:c>
      <x:c r="T417" s="82" t="str">
        <x:v>Lançado</x:v>
      </x:c>
      <x:c r="U417" s="82" t="str">
        <x:v>Base Code(s): E12, E14, E15, E16, E17, E18, E19, E20, E21, E22</x:v>
      </x:c>
      <x:c r="V417" s="80" t="str">
        <x:v>Coleção principal (~1:64)</x:v>
      </x:c>
      <x:c r="W417" s="82" t="str">
        <x:v>https://hotwheels.fandom.com/wiki/Porsche_Boxster_Spyder</x:v>
      </x:c>
      <x:c r="X417" s="82" t="str">
        <x:v>https://hotwheels.fandom.com/wiki/Porsche_Boxster_Spyder</x:v>
      </x:c>
    </x:row>
    <x:row r="418">
      <x:c r="A418" s="80" t="str">
        <x:v>Não</x:v>
      </x:c>
      <x:c r="B418" s="80" t="str">
        <x:v>2 — Completar aos poucos</x:v>
      </x:c>
      <x:c r="C418" s="81" t="n">
        <x:v>2012</x:v>
      </x:c>
      <x:c r="D418" s="80" t="str">
        <x:v>Porsche Boxster Spyder</x:v>
      </x:c>
      <x:c r="E418" s="80" t="str">
        <x:v>Porsche Boxster Spyder</x:v>
      </x:c>
      <x:c r="F418" s="82" t="str">
        <x:v>2012 New Models / 26/50</x:v>
      </x:c>
      <x:c r="G418" s="80" t="str"/>
      <x:c r="H418" s="80" t="str">
        <x:v>026/247</x:v>
      </x:c>
      <x:c r="I418" s="83" t="str">
        <x:v>V5614</x:v>
      </x:c>
      <x:c r="J418" s="80" t="str">
        <x:v>White</x:v>
      </x:c>
      <x:c r="K418" s="82" t="str">
        <x:v>Black Stripe &amp; 'Porsche' on sides, Porsche Badge on hood With painted Headlights</x:v>
      </x:c>
      <x:c r="L418" s="82" t="str">
        <x:v>J5</x:v>
      </x:c>
      <x:c r="M418" s="82" t="str">
        <x:v>Black / / / Plastic</x:v>
      </x:c>
      <x:c r="N418" s="82" t="str">
        <x:v>Tinted (Pink)</x:v>
      </x:c>
      <x:c r="O418" s="82" t="str">
        <x:v>Black</x:v>
      </x:c>
      <x:c r="P418" s="82" t="str">
        <x:v>Malaysia</x:v>
      </x:c>
      <x:c r="Q418" s="82" t="str"/>
      <x:c r="R418" s="82" t="str">
        <x:v>Mainline</x:v>
      </x:c>
      <x:c r="S418" s="82" t="str">
        <x:v>Incomum</x:v>
      </x:c>
      <x:c r="T418" s="82" t="str">
        <x:v>Lançado</x:v>
      </x:c>
      <x:c r="U418" s="82" t="str">
        <x:v>Base Code(s): E14, E15, E16, E17, E18</x:v>
      </x:c>
      <x:c r="V418" s="80" t="str">
        <x:v>Coleção principal (~1:64)</x:v>
      </x:c>
      <x:c r="W418" s="82" t="str">
        <x:v>https://hotwheels.fandom.com/wiki/Porsche_Boxster_Spyder</x:v>
      </x:c>
      <x:c r="X418" s="82" t="str">
        <x:v>https://hotwheels.fandom.com/wiki/Porsche_Boxster_Spyder</x:v>
      </x:c>
    </x:row>
    <x:row r="419">
      <x:c r="A419" s="80" t="str">
        <x:v>Não</x:v>
      </x:c>
      <x:c r="B419" s="80" t="str">
        <x:v>2 — Completar aos poucos</x:v>
      </x:c>
      <x:c r="C419" s="81" t="n">
        <x:v>2012</x:v>
      </x:c>
      <x:c r="D419" s="80" t="str">
        <x:v>Porsche Carrera GT</x:v>
      </x:c>
      <x:c r="E419" s="80" t="str">
        <x:v>Porsche Carrera GT</x:v>
      </x:c>
      <x:c r="F419" s="82" t="str">
        <x:v>Multipack Exclusive</x:v>
      </x:c>
      <x:c r="G419" s="80" t="str"/>
      <x:c r="H419" s="80" t="str"/>
      <x:c r="I419" s="83" t="str">
        <x:v>54886</x:v>
      </x:c>
      <x:c r="J419" s="80" t="str">
        <x:v>Metaflake Seal Grey</x:v>
      </x:c>
      <x:c r="K419" s="82" t="str">
        <x:v>Porsche emblem on front, Silver 'Carrera GT' on rear</x:v>
      </x:c>
      <x:c r="L419" s="82" t="str">
        <x:v>PR5</x:v>
      </x:c>
      <x:c r="M419" s="82" t="str">
        <x:v>Black / / / Plastic</x:v>
      </x:c>
      <x:c r="N419" s="82" t="str">
        <x:v>Clear</x:v>
      </x:c>
      <x:c r="O419" s="82" t="str">
        <x:v>Burgundy</x:v>
      </x:c>
      <x:c r="P419" s="82" t="str">
        <x:v>Malaysia</x:v>
      </x:c>
      <x:c r="Q419" s="82" t="str"/>
      <x:c r="R419" s="82" t="str">
        <x:v>Temática / multipack</x:v>
      </x:c>
      <x:c r="S419" s="82" t="str">
        <x:v>Incomum</x:v>
      </x:c>
      <x:c r="T419" s="82" t="str">
        <x:v>Lançado</x:v>
      </x:c>
      <x:c r="U419" s="82" t="str">
        <x:v>Base code(s): E10</x:v>
      </x:c>
      <x:c r="V419" s="80" t="str">
        <x:v>Coleção principal (~1:64)</x:v>
      </x:c>
      <x:c r="W419" s="82" t="str">
        <x:v>https://hotwheels.fandom.com/wiki/Porsche_Carrera_GT</x:v>
      </x:c>
      <x:c r="X419" s="82" t="str">
        <x:v>https://hotwheels.fandom.com/wiki/Porsche_Carrera_GT</x:v>
      </x:c>
    </x:row>
    <x:row r="420">
      <x:c r="A420" s="80" t="str">
        <x:v>Não</x:v>
      </x:c>
      <x:c r="B420" s="80" t="str">
        <x:v>2 — Completar aos poucos</x:v>
      </x:c>
      <x:c r="C420" s="81" t="n">
        <x:v>2011</x:v>
      </x:c>
      <x:c r="D420" s="80" t="str">
        <x:v>Porsche 911 GT2</x:v>
      </x:c>
      <x:c r="E420" s="80" t="str">
        <x:v>Porsche 911 GT2</x:v>
      </x:c>
      <x:c r="F420" s="82" t="str">
        <x:v>Nightburnerz / 9/10</x:v>
      </x:c>
      <x:c r="G420" s="80" t="str"/>
      <x:c r="H420" s="80" t="str">
        <x:v>119/244</x:v>
      </x:c>
      <x:c r="I420" s="83" t="str">
        <x:v>V5223</x:v>
      </x:c>
      <x:c r="J420" s="80" t="str">
        <x:v>Metallic White</x:v>
      </x:c>
      <x:c r="K420" s="82" t="str">
        <x:v>Porsche badge, tail lights, GT2 on rear</x:v>
      </x:c>
      <x:c r="L420" s="82" t="str">
        <x:v>Chrome lip, black J5</x:v>
      </x:c>
      <x:c r="M420" s="82" t="str">
        <x:v>Black / / / Plastic</x:v>
      </x:c>
      <x:c r="N420" s="82" t="str">
        <x:v>Blue tint</x:v>
      </x:c>
      <x:c r="O420" s="82" t="str">
        <x:v>Black</x:v>
      </x:c>
      <x:c r="P420" s="82" t="str">
        <x:v>Malaysia</x:v>
      </x:c>
      <x:c r="Q420" s="82" t="str"/>
      <x:c r="R420" s="82" t="str">
        <x:v>Mainline</x:v>
      </x:c>
      <x:c r="S420" s="82" t="str">
        <x:v>Incomum</x:v>
      </x:c>
      <x:c r="T420" s="82" t="str">
        <x:v>Lançado</x:v>
      </x:c>
      <x:c r="U420" s="82" t="str">
        <x:v>Also released on Team Hot Wheels Top Rides card / Wing in "White" or "Pearl White" / Base code(s): D37, D42, D44, D49</x:v>
      </x:c>
      <x:c r="V420" s="80" t="str">
        <x:v>Coleção principal (~1:64)</x:v>
      </x:c>
      <x:c r="W420" s="82" t="str">
        <x:v>https://hotwheels.fandom.com/wiki/Porsche_911_GT2</x:v>
      </x:c>
      <x:c r="X420" s="82" t="str">
        <x:v>https://hotwheels.fandom.com/wiki/Porsche_911_GT2</x:v>
      </x:c>
    </x:row>
    <x:row r="421">
      <x:c r="A421" s="80" t="str">
        <x:v>Não</x:v>
      </x:c>
      <x:c r="B421" s="80" t="str">
        <x:v>2 — Completar aos poucos</x:v>
      </x:c>
      <x:c r="C421" s="81" t="n">
        <x:v>2011</x:v>
      </x:c>
      <x:c r="D421" s="80" t="str">
        <x:v>Porsche 911 GT2</x:v>
      </x:c>
      <x:c r="E421" s="80" t="str">
        <x:v>Porsche 911 GT2</x:v>
      </x:c>
      <x:c r="F421" s="82" t="str">
        <x:v>Nightburnerz / 9/10</x:v>
      </x:c>
      <x:c r="G421" s="80" t="str"/>
      <x:c r="H421" s="80" t="str">
        <x:v>119/244</x:v>
      </x:c>
      <x:c r="I421" s="83" t="str">
        <x:v>T9826</x:v>
      </x:c>
      <x:c r="J421" s="80" t="str">
        <x:v>Red</x:v>
      </x:c>
      <x:c r="K421" s="82" t="str">
        <x:v>Porsche badge, tail lights, GT2 on rear</x:v>
      </x:c>
      <x:c r="L421" s="82" t="str">
        <x:v>Chrome lip, black J5</x:v>
      </x:c>
      <x:c r="M421" s="82" t="str">
        <x:v>Black / / / Plastic</x:v>
      </x:c>
      <x:c r="N421" s="82" t="str">
        <x:v>Clear</x:v>
      </x:c>
      <x:c r="O421" s="82" t="str">
        <x:v>Black</x:v>
      </x:c>
      <x:c r="P421" s="82" t="str">
        <x:v>Malaysia</x:v>
      </x:c>
      <x:c r="Q421" s="82" t="str"/>
      <x:c r="R421" s="82" t="str">
        <x:v>Mainline</x:v>
      </x:c>
      <x:c r="S421" s="82" t="str">
        <x:v>Incomum</x:v>
      </x:c>
      <x:c r="T421" s="82" t="str">
        <x:v>Lançado</x:v>
      </x:c>
      <x:c r="U421" s="82" t="str">
        <x:v>Base code(s): D28, D30, D31</x:v>
      </x:c>
      <x:c r="V421" s="80" t="str">
        <x:v>Coleção principal (~1:64)</x:v>
      </x:c>
      <x:c r="W421" s="82" t="str">
        <x:v>https://hotwheels.fandom.com/wiki/Porsche_911_GT2</x:v>
      </x:c>
      <x:c r="X421" s="82" t="str">
        <x:v>https://hotwheels.fandom.com/wiki/Porsche_911_GT2</x:v>
      </x:c>
    </x:row>
    <x:row r="422">
      <x:c r="A422" s="80" t="str">
        <x:v>Não</x:v>
      </x:c>
      <x:c r="B422" s="80" t="str">
        <x:v>2 — Completar aos poucos</x:v>
      </x:c>
      <x:c r="C422" s="81" t="n">
        <x:v>2011</x:v>
      </x:c>
      <x:c r="D422" s="80" t="str">
        <x:v>Porsche 911 GT3 RS (2011)</x:v>
      </x:c>
      <x:c r="E422" s="80" t="str">
        <x:v>Porsche 911 GT3 RS</x:v>
      </x:c>
      <x:c r="F422" s="82" t="str">
        <x:v>2011 New Models / 36/50</x:v>
      </x:c>
      <x:c r="G422" s="80" t="str"/>
      <x:c r="H422" s="80" t="str">
        <x:v>036/244</x:v>
      </x:c>
      <x:c r="I422" s="83" t="str">
        <x:v>T9936</x:v>
      </x:c>
      <x:c r="J422" s="80" t="str">
        <x:v>Metalflake Dark Blue</x:v>
      </x:c>
      <x:c r="K422" s="82" t="str">
        <x:v>Red stripe on sides, 'GT3RS' on hood</x:v>
      </x:c>
      <x:c r="L422" s="82" t="str">
        <x:v>Chrome Red PR5</x:v>
      </x:c>
      <x:c r="M422" s="82" t="str">
        <x:v>Black / / / Plastic</x:v>
      </x:c>
      <x:c r="N422" s="82" t="str">
        <x:v>Red tint</x:v>
      </x:c>
      <x:c r="O422" s="82" t="str">
        <x:v>Black</x:v>
      </x:c>
      <x:c r="P422" s="82" t="str">
        <x:v>Malaysia</x:v>
      </x:c>
      <x:c r="Q422" s="82" t="str"/>
      <x:c r="R422" s="82" t="str">
        <x:v>Mainline</x:v>
      </x:c>
      <x:c r="S422" s="82" t="str">
        <x:v>Incomum</x:v>
      </x:c>
      <x:c r="T422" s="82" t="str">
        <x:v>Lançado</x:v>
      </x:c>
      <x:c r="U422" s="82" t="str">
        <x:v>Base code(s): D28, D30 D31, D32, D33, D36, D47</x:v>
      </x:c>
      <x:c r="V422" s="80" t="str">
        <x:v>Coleção principal (~1:64)</x:v>
      </x:c>
      <x:c r="W422" s="82" t="str">
        <x:v>https://hotwheels.fandom.com/wiki/Porsche_911_GT3_RS_(2011)</x:v>
      </x:c>
      <x:c r="X422" s="82" t="str">
        <x:v>https://hotwheels.fandom.com/wiki/Porsche_911_GT3_RS_(2011)</x:v>
      </x:c>
    </x:row>
    <x:row r="423">
      <x:c r="A423" s="80" t="str">
        <x:v>Não</x:v>
      </x:c>
      <x:c r="B423" s="80" t="str">
        <x:v>2 — Completar aos poucos</x:v>
      </x:c>
      <x:c r="C423" s="81" t="n">
        <x:v>2011</x:v>
      </x:c>
      <x:c r="D423" s="80" t="str">
        <x:v>Porsche 911 GT3 RS (2011)</x:v>
      </x:c>
      <x:c r="E423" s="80" t="str">
        <x:v>Porsche 911 GT3 RS</x:v>
      </x:c>
      <x:c r="F423" s="82" t="str">
        <x:v>2011 New Models / 36/50</x:v>
      </x:c>
      <x:c r="G423" s="80" t="str"/>
      <x:c r="H423" s="80" t="str">
        <x:v>036/244</x:v>
      </x:c>
      <x:c r="I423" s="83" t="str">
        <x:v>T9706</x:v>
      </x:c>
      <x:c r="J423" s="80" t="str">
        <x:v>Metalflake Steel Blue</x:v>
      </x:c>
      <x:c r="K423" s="82" t="str">
        <x:v>Red stripe on sides, 'GT3RS' lettering on hood, Detailed headlights</x:v>
      </x:c>
      <x:c r="L423" s="82" t="str">
        <x:v>Chrome Red PR5</x:v>
      </x:c>
      <x:c r="M423" s="82" t="str">
        <x:v>Black / / / Plastic</x:v>
      </x:c>
      <x:c r="N423" s="82" t="str">
        <x:v>Smoke tint</x:v>
      </x:c>
      <x:c r="O423" s="82" t="str">
        <x:v>Black</x:v>
      </x:c>
      <x:c r="P423" s="82" t="str">
        <x:v>Malaysia</x:v>
      </x:c>
      <x:c r="Q423" s="82" t="str"/>
      <x:c r="R423" s="82" t="str">
        <x:v>Mainline</x:v>
      </x:c>
      <x:c r="S423" s="82" t="str">
        <x:v>Incomum</x:v>
      </x:c>
      <x:c r="T423" s="82" t="str">
        <x:v>Lançado</x:v>
      </x:c>
      <x:c r="U423" s="82" t="str">
        <x:v>Base code(s): C50. C51, C52, D02, D03</x:v>
      </x:c>
      <x:c r="V423" s="80" t="str">
        <x:v>Coleção principal (~1:64)</x:v>
      </x:c>
      <x:c r="W423" s="82" t="str">
        <x:v>https://hotwheels.fandom.com/wiki/Porsche_911_GT3_RS_(2011)</x:v>
      </x:c>
      <x:c r="X423" s="82" t="str">
        <x:v>https://hotwheels.fandom.com/wiki/Porsche_911_GT3_RS_(2011)</x:v>
      </x:c>
    </x:row>
    <x:row r="424">
      <x:c r="A424" s="80" t="str">
        <x:v>Não</x:v>
      </x:c>
      <x:c r="B424" s="80" t="str">
        <x:v>2 — Completar aos poucos</x:v>
      </x:c>
      <x:c r="C424" s="81" t="n">
        <x:v>2011</x:v>
      </x:c>
      <x:c r="D424" s="80" t="str">
        <x:v>Porsche 911 GT3 RS (2011)</x:v>
      </x:c>
      <x:c r="E424" s="80" t="str">
        <x:v>Porsche 911 GT3 RS</x:v>
      </x:c>
      <x:c r="F424" s="82" t="str">
        <x:v>2011 New Models / 36/50</x:v>
      </x:c>
      <x:c r="G424" s="80" t="str"/>
      <x:c r="H424" s="80" t="str">
        <x:v>036/244</x:v>
      </x:c>
      <x:c r="I424" s="83" t="str">
        <x:v>T9993</x:v>
      </x:c>
      <x:c r="J424" s="80" t="str">
        <x:v>Pearl White</x:v>
      </x:c>
      <x:c r="K424" s="82" t="str">
        <x:v>Red stripe, "GT3 RS" lettering, Detailed headlights</x:v>
      </x:c>
      <x:c r="L424" s="82" t="str">
        <x:v>Chrome Red PR5</x:v>
      </x:c>
      <x:c r="M424" s="82" t="str">
        <x:v>Black / / / Plastic</x:v>
      </x:c>
      <x:c r="N424" s="82" t="str">
        <x:v>Smoke tint</x:v>
      </x:c>
      <x:c r="O424" s="82" t="str">
        <x:v>Black</x:v>
      </x:c>
      <x:c r="P424" s="82" t="str">
        <x:v>Malaysia</x:v>
      </x:c>
      <x:c r="Q424" s="82" t="str"/>
      <x:c r="R424" s="82" t="str">
        <x:v>Mainline</x:v>
      </x:c>
      <x:c r="S424" s="82" t="str">
        <x:v>Incomum</x:v>
      </x:c>
      <x:c r="T424" s="82" t="str">
        <x:v>Lançado</x:v>
      </x:c>
      <x:c r="U424" s="82" t="str">
        <x:v>Base code(s): D05, D08, D09, D11, D14, D16</x:v>
      </x:c>
      <x:c r="V424" s="80" t="str">
        <x:v>Coleção principal (~1:64)</x:v>
      </x:c>
      <x:c r="W424" s="82" t="str">
        <x:v>https://hotwheels.fandom.com/wiki/Porsche_911_GT3_RS_(2011)</x:v>
      </x:c>
      <x:c r="X424" s="82" t="str">
        <x:v>https://hotwheels.fandom.com/wiki/Porsche_911_GT3_RS_(2011)</x:v>
      </x:c>
    </x:row>
    <x:row r="425">
      <x:c r="A425" s="80" t="str">
        <x:v>Não</x:v>
      </x:c>
      <x:c r="B425" s="80" t="str">
        <x:v>2 — Completar aos poucos</x:v>
      </x:c>
      <x:c r="C425" s="81" t="n">
        <x:v>2011</x:v>
      </x:c>
      <x:c r="D425" s="80" t="str">
        <x:v>Porsche 917</x:v>
      </x:c>
      <x:c r="E425" s="80" t="str">
        <x:v>Porsche 917</x:v>
      </x:c>
      <x:c r="F425" s="82" t="str">
        <x:v>The Hot Ones</x:v>
      </x:c>
      <x:c r="G425" s="80" t="str"/>
      <x:c r="H425" s="80" t="str"/>
      <x:c r="I425" s="83" t="str">
        <x:v>W1561</x:v>
      </x:c>
      <x:c r="J425" s="80" t="str">
        <x:v>Metallic Red</x:v>
      </x:c>
      <x:c r="K425" s="82" t="str">
        <x:v>Red PORSCHE over black stripes on top sides. Yellow #9 on front end with stripes</x:v>
      </x:c>
      <x:c r="L425" s="82" t="str">
        <x:v>BW</x:v>
      </x:c>
      <x:c r="M425" s="82" t="str">
        <x:v>Unpainted / Metal</x:v>
      </x:c>
      <x:c r="N425" s="82" t="str">
        <x:v>Blue tint</x:v>
      </x:c>
      <x:c r="O425" s="82" t="str">
        <x:v>Grey</x:v>
      </x:c>
      <x:c r="P425" s="82" t="str">
        <x:v>Thailand</x:v>
      </x:c>
      <x:c r="Q425" s="82" t="str"/>
      <x:c r="R425" s="82" t="str">
        <x:v>Outra linha</x:v>
      </x:c>
      <x:c r="S425" s="82" t="str">
        <x:v>Incomum</x:v>
      </x:c>
      <x:c r="T425" s="82" t="str">
        <x:v>Lançado</x:v>
      </x:c>
      <x:c r="U425" s="82" t="str">
        <x:v>Base code(s): D36</x:v>
      </x:c>
      <x:c r="V425" s="80" t="str">
        <x:v>Coleção principal (~1:64)</x:v>
      </x:c>
      <x:c r="W425" s="82" t="str">
        <x:v>https://hotwheels.fandom.com/wiki/Porsche_917</x:v>
      </x:c>
      <x:c r="X425" s="82" t="str">
        <x:v>https://hotwheels.fandom.com/wiki/Porsche_917</x:v>
      </x:c>
    </x:row>
    <x:row r="426">
      <x:c r="A426" s="80" t="str">
        <x:v>Não</x:v>
      </x:c>
      <x:c r="B426" s="80" t="str">
        <x:v>2 — Completar aos poucos</x:v>
      </x:c>
      <x:c r="C426" s="81" t="n">
        <x:v>2011</x:v>
      </x:c>
      <x:c r="D426" s="80" t="str">
        <x:v>Porsche Cayman S</x:v>
      </x:c>
      <x:c r="E426" s="80" t="str">
        <x:v>Porsche Cayman S</x:v>
      </x:c>
      <x:c r="F426" s="82" t="str">
        <x:v>Multipack Exclusive</x:v>
      </x:c>
      <x:c r="G426" s="80" t="str"/>
      <x:c r="H426" s="80" t="str"/>
      <x:c r="I426" s="83" t="str">
        <x:v>X6999</x:v>
      </x:c>
      <x:c r="J426" s="80" t="str">
        <x:v>Metalflake Blue</x:v>
      </x:c>
      <x:c r="K426" s="82" t="str">
        <x:v>Headlights, Porsche Badge &amp; taillights</x:v>
      </x:c>
      <x:c r="L426" s="82" t="str">
        <x:v>OH5</x:v>
      </x:c>
      <x:c r="M426" s="82" t="str">
        <x:v>Grey Metalflake / Plastic</x:v>
      </x:c>
      <x:c r="N426" s="82" t="str">
        <x:v>Clear</x:v>
      </x:c>
      <x:c r="O426" s="82" t="str">
        <x:v>Black</x:v>
      </x:c>
      <x:c r="P426" s="82" t="str">
        <x:v>Malaysia</x:v>
      </x:c>
      <x:c r="Q426" s="82" t="str"/>
      <x:c r="R426" s="82" t="str">
        <x:v>Temática / multipack</x:v>
      </x:c>
      <x:c r="S426" s="82" t="str">
        <x:v>Incomum</x:v>
      </x:c>
      <x:c r="T426" s="82" t="str">
        <x:v>Lançado</x:v>
      </x:c>
      <x:c r="U426" s="82" t="str">
        <x:v>Base code(s): D24, D30, D31, D32, D48</x:v>
      </x:c>
      <x:c r="V426" s="80" t="str">
        <x:v>Coleção principal (~1:64)</x:v>
      </x:c>
      <x:c r="W426" s="82" t="str">
        <x:v>https://hotwheels.fandom.com/wiki/Porsche_Cayman_S</x:v>
      </x:c>
      <x:c r="X426" s="82" t="str">
        <x:v>https://hotwheels.fandom.com/wiki/Porsche_Cayman_S</x:v>
      </x:c>
    </x:row>
    <x:row r="427">
      <x:c r="A427" s="80" t="str">
        <x:v>Não</x:v>
      </x:c>
      <x:c r="B427" s="80" t="str">
        <x:v>2 — Completar aos poucos</x:v>
      </x:c>
      <x:c r="C427" s="81" t="n">
        <x:v>2011</x:v>
      </x:c>
      <x:c r="D427" s="80" t="str">
        <x:v>Porsche Cayman S</x:v>
      </x:c>
      <x:c r="E427" s="80" t="str">
        <x:v>Porsche Cayman S</x:v>
      </x:c>
      <x:c r="F427" s="82" t="str">
        <x:v>Multipack Exclusive</x:v>
      </x:c>
      <x:c r="G427" s="80" t="str"/>
      <x:c r="H427" s="80" t="str"/>
      <x:c r="I427" s="83" t="str">
        <x:v>X6999</x:v>
      </x:c>
      <x:c r="J427" s="80" t="str">
        <x:v>Metalflake Blue</x:v>
      </x:c>
      <x:c r="K427" s="82" t="str">
        <x:v>Headlights, Porsche Badge &amp; taillights</x:v>
      </x:c>
      <x:c r="L427" s="82" t="str">
        <x:v>OH5</x:v>
      </x:c>
      <x:c r="M427" s="82" t="str">
        <x:v>Grey Metalflake / Plastic</x:v>
      </x:c>
      <x:c r="N427" s="82" t="str">
        <x:v>Pink tint</x:v>
      </x:c>
      <x:c r="O427" s="82" t="str">
        <x:v>Black</x:v>
      </x:c>
      <x:c r="P427" s="82" t="str">
        <x:v>Malaysia</x:v>
      </x:c>
      <x:c r="Q427" s="82" t="str"/>
      <x:c r="R427" s="82" t="str">
        <x:v>Temática / multipack</x:v>
      </x:c>
      <x:c r="S427" s="82" t="str">
        <x:v>Incomum</x:v>
      </x:c>
      <x:c r="T427" s="82" t="str">
        <x:v>Lançado</x:v>
      </x:c>
      <x:c r="U427" s="82" t="str">
        <x:v>Base code(s): D48</x:v>
      </x:c>
      <x:c r="V427" s="80" t="str">
        <x:v>Coleção principal (~1:64)</x:v>
      </x:c>
      <x:c r="W427" s="82" t="str">
        <x:v>https://hotwheels.fandom.com/wiki/Porsche_Cayman_S</x:v>
      </x:c>
      <x:c r="X427" s="82" t="str">
        <x:v>https://hotwheels.fandom.com/wiki/Porsche_Cayman_S</x:v>
      </x:c>
    </x:row>
    <x:row r="428">
      <x:c r="A428" s="80" t="str">
        <x:v>Não</x:v>
      </x:c>
      <x:c r="B428" s="80" t="str">
        <x:v>2 — Completar aos poucos</x:v>
      </x:c>
      <x:c r="C428" s="81" t="n">
        <x:v>2011</x:v>
      </x:c>
      <x:c r="D428" s="80" t="str">
        <x:v>Porsche Cayman S</x:v>
      </x:c>
      <x:c r="E428" s="80" t="str">
        <x:v>Porsche Cayman S</x:v>
      </x:c>
      <x:c r="F428" s="82" t="str">
        <x:v>Speed Machines</x:v>
      </x:c>
      <x:c r="G428" s="80" t="str"/>
      <x:c r="H428" s="80" t="str"/>
      <x:c r="I428" s="83" t="str">
        <x:v>T4429</x:v>
      </x:c>
      <x:c r="J428" s="80" t="str">
        <x:v>White</x:v>
      </x:c>
      <x:c r="K428" s="82" t="str">
        <x:v>Black stripes on sides &amp; across top, 'Porsche Design' on sides &amp; hood</x:v>
      </x:c>
      <x:c r="L428" s="82" t="str">
        <x:v>Chrome rim, Black CM6</x:v>
      </x:c>
      <x:c r="M428" s="82" t="str">
        <x:v>Dark Grey / Plastic</x:v>
      </x:c>
      <x:c r="N428" s="82" t="str">
        <x:v>Clear</x:v>
      </x:c>
      <x:c r="O428" s="82" t="str">
        <x:v>Dark Grey</x:v>
      </x:c>
      <x:c r="P428" s="82" t="str">
        <x:v>Malaysia</x:v>
      </x:c>
      <x:c r="Q428" s="82" t="str"/>
      <x:c r="R428" s="82" t="str">
        <x:v>Premium</x:v>
      </x:c>
      <x:c r="S428" s="82" t="str">
        <x:v>Incomum</x:v>
      </x:c>
      <x:c r="T428" s="82" t="str">
        <x:v>Lançado</x:v>
      </x:c>
      <x:c r="U428" s="82" t="str">
        <x:v>Base code(s):</x:v>
      </x:c>
      <x:c r="V428" s="80" t="str">
        <x:v>Coleção principal (~1:64)</x:v>
      </x:c>
      <x:c r="W428" s="82" t="str">
        <x:v>https://hotwheels.fandom.com/wiki/Porsche_Cayman_S</x:v>
      </x:c>
      <x:c r="X428" s="82" t="str">
        <x:v>https://hotwheels.fandom.com/wiki/Porsche_Cayman_S</x:v>
      </x:c>
    </x:row>
    <x:row r="429">
      <x:c r="A429" s="80" t="str">
        <x:v>Não</x:v>
      </x:c>
      <x:c r="B429" s="80" t="str">
        <x:v>2 — Completar aos poucos</x:v>
      </x:c>
      <x:c r="C429" s="81" t="n">
        <x:v>2010</x:v>
      </x:c>
      <x:c r="D429" s="80" t="str">
        <x:v>Porsche 911 GT1-98</x:v>
      </x:c>
      <x:c r="E429" s="80" t="str">
        <x:v>Porsche 911 GT1-98</x:v>
      </x:c>
      <x:c r="F429" s="82" t="str">
        <x:v>Speed Machines</x:v>
      </x:c>
      <x:c r="G429" s="80" t="str"/>
      <x:c r="H429" s="80" t="str"/>
      <x:c r="I429" s="83" t="str">
        <x:v>R8491</x:v>
      </x:c>
      <x:c r="J429" s="80" t="str">
        <x:v>White</x:v>
      </x:c>
      <x:c r="K429" s="82" t="str">
        <x:v>detail. tampos, White "Porsche" on rear spoiler</x:v>
      </x:c>
      <x:c r="L429" s="82" t="str">
        <x:v>Chrome rim, Gold CM6</x:v>
      </x:c>
      <x:c r="M429" s="82" t="str">
        <x:v>Black / Plastic</x:v>
      </x:c>
      <x:c r="N429" s="82" t="str">
        <x:v>Heavy smoke tint</x:v>
      </x:c>
      <x:c r="O429" s="82" t="str">
        <x:v>Black</x:v>
      </x:c>
      <x:c r="P429" s="82" t="str">
        <x:v>Malaysia</x:v>
      </x:c>
      <x:c r="Q429" s="82" t="str"/>
      <x:c r="R429" s="82" t="str">
        <x:v>Premium</x:v>
      </x:c>
      <x:c r="S429" s="82" t="str">
        <x:v>Incomum</x:v>
      </x:c>
      <x:c r="T429" s="82" t="str">
        <x:v>Lançado</x:v>
      </x:c>
      <x:c r="U429" s="82" t="str">
        <x:v>Base code(s): B40, B46</x:v>
      </x:c>
      <x:c r="V429" s="80" t="str">
        <x:v>Coleção principal (~1:64)</x:v>
      </x:c>
      <x:c r="W429" s="82" t="str">
        <x:v>https://hotwheels.fandom.com/wiki/Porsche_911_GT1-98</x:v>
      </x:c>
      <x:c r="X429" s="82" t="str">
        <x:v>https://hotwheels.fandom.com/wiki/Porsche_911_GT1-98</x:v>
      </x:c>
    </x:row>
    <x:row r="430">
      <x:c r="A430" s="80" t="str">
        <x:v>Não</x:v>
      </x:c>
      <x:c r="B430" s="80" t="str">
        <x:v>2 — Completar aos poucos</x:v>
      </x:c>
      <x:c r="C430" s="81" t="n">
        <x:v>2010</x:v>
      </x:c>
      <x:c r="D430" s="80" t="str">
        <x:v>Porsche 911 GT2</x:v>
      </x:c>
      <x:c r="E430" s="80" t="str">
        <x:v>Porsche 911 GT2</x:v>
      </x:c>
      <x:c r="F430" s="82" t="str">
        <x:v>2010 New Models / 14/44</x:v>
      </x:c>
      <x:c r="G430" s="80" t="str"/>
      <x:c r="H430" s="80" t="str">
        <x:v>014/240</x:v>
      </x:c>
      <x:c r="I430" s="83" t="str">
        <x:v>R0930</x:v>
      </x:c>
      <x:c r="J430" s="80" t="str">
        <x:v>Black</x:v>
      </x:c>
      <x:c r="K430" s="82" t="str">
        <x:v>Porsche badge on hood, tail lights, GT2 on rear</x:v>
      </x:c>
      <x:c r="L430" s="82" t="str">
        <x:v>PR5</x:v>
      </x:c>
      <x:c r="M430" s="82" t="str">
        <x:v>Grey / / / Plastic</x:v>
      </x:c>
      <x:c r="N430" s="82" t="str">
        <x:v>Clear</x:v>
      </x:c>
      <x:c r="O430" s="82" t="str">
        <x:v>Gray</x:v>
      </x:c>
      <x:c r="P430" s="82" t="str">
        <x:v>Malaysia</x:v>
      </x:c>
      <x:c r="Q430" s="82" t="str"/>
      <x:c r="R430" s="82" t="str">
        <x:v>Mainline</x:v>
      </x:c>
      <x:c r="S430" s="82" t="str">
        <x:v>Incomum</x:v>
      </x:c>
      <x:c r="T430" s="82" t="str">
        <x:v>Lançado</x:v>
      </x:c>
      <x:c r="U430" s="82" t="str">
        <x:v>Base code(s): C27, C28, C29, C30, C33</x:v>
      </x:c>
      <x:c r="V430" s="80" t="str">
        <x:v>Coleção principal (~1:64)</x:v>
      </x:c>
      <x:c r="W430" s="82" t="str">
        <x:v>https://hotwheels.fandom.com/wiki/Porsche_911_GT2</x:v>
      </x:c>
      <x:c r="X430" s="82" t="str">
        <x:v>https://hotwheels.fandom.com/wiki/Porsche_911_GT2</x:v>
      </x:c>
    </x:row>
    <x:row r="431">
      <x:c r="A431" s="80" t="str">
        <x:v>Não</x:v>
      </x:c>
      <x:c r="B431" s="80" t="str">
        <x:v>2 — Completar aos poucos</x:v>
      </x:c>
      <x:c r="C431" s="81" t="n">
        <x:v>2010</x:v>
      </x:c>
      <x:c r="D431" s="80" t="str">
        <x:v>Porsche 911 GT2</x:v>
      </x:c>
      <x:c r="E431" s="80" t="str">
        <x:v>Porsche 911 GT2</x:v>
      </x:c>
      <x:c r="F431" s="82" t="str">
        <x:v>2010 New Models / 14/44</x:v>
      </x:c>
      <x:c r="G431" s="80" t="str"/>
      <x:c r="H431" s="80" t="str">
        <x:v>014/240</x:v>
      </x:c>
      <x:c r="I431" s="83" t="str">
        <x:v>R0930</x:v>
      </x:c>
      <x:c r="J431" s="80" t="str">
        <x:v>Metallic Grey</x:v>
      </x:c>
      <x:c r="K431" s="82" t="str">
        <x:v>Porsche badge, tail lights, GT2 on rear</x:v>
      </x:c>
      <x:c r="L431" s="82" t="str">
        <x:v>PR5</x:v>
      </x:c>
      <x:c r="M431" s="82" t="str">
        <x:v>Black / / / Plastic</x:v>
      </x:c>
      <x:c r="N431" s="82" t="str">
        <x:v>Clear</x:v>
      </x:c>
      <x:c r="O431" s="82" t="str">
        <x:v>Black</x:v>
      </x:c>
      <x:c r="P431" s="82" t="str">
        <x:v>Malaysia</x:v>
      </x:c>
      <x:c r="Q431" s="82" t="str"/>
      <x:c r="R431" s="82" t="str">
        <x:v>Mainline</x:v>
      </x:c>
      <x:c r="S431" s="82" t="str">
        <x:v>Incomum</x:v>
      </x:c>
      <x:c r="T431" s="82" t="str">
        <x:v>Lançado</x:v>
      </x:c>
      <x:c r="U431" s="82" t="str">
        <x:v>Released on 2011 card / Base code(s): C35, C38, C40, C42, C48, C51</x:v>
      </x:c>
      <x:c r="V431" s="80" t="str">
        <x:v>Coleção principal (~1:64)</x:v>
      </x:c>
      <x:c r="W431" s="82" t="str">
        <x:v>https://hotwheels.fandom.com/wiki/Porsche_911_GT2</x:v>
      </x:c>
      <x:c r="X431" s="82" t="str">
        <x:v>https://hotwheels.fandom.com/wiki/Porsche_911_GT2</x:v>
      </x:c>
    </x:row>
    <x:row r="432">
      <x:c r="A432" s="80" t="str">
        <x:v>Não</x:v>
      </x:c>
      <x:c r="B432" s="80" t="str">
        <x:v>2 — Completar aos poucos</x:v>
      </x:c>
      <x:c r="C432" s="81" t="n">
        <x:v>2010</x:v>
      </x:c>
      <x:c r="D432" s="80" t="str">
        <x:v>Porsche 911 GT2</x:v>
      </x:c>
      <x:c r="E432" s="80" t="str">
        <x:v>Porsche 911 GT2</x:v>
      </x:c>
      <x:c r="F432" s="82" t="str">
        <x:v>2010 New Models / 14/44</x:v>
      </x:c>
      <x:c r="G432" s="80" t="str"/>
      <x:c r="H432" s="80" t="str">
        <x:v>014/240</x:v>
      </x:c>
      <x:c r="I432" s="83" t="str">
        <x:v>R0930</x:v>
      </x:c>
      <x:c r="J432" s="80" t="str">
        <x:v>Metallic Grey</x:v>
      </x:c>
      <x:c r="K432" s="82" t="str">
        <x:v>Porsche badge, tail lights, GT2 on rear</x:v>
      </x:c>
      <x:c r="L432" s="82" t="str">
        <x:v>PR5</x:v>
      </x:c>
      <x:c r="M432" s="82" t="str">
        <x:v>Black / / / Plastic</x:v>
      </x:c>
      <x:c r="N432" s="82" t="str">
        <x:v>Pink</x:v>
      </x:c>
      <x:c r="O432" s="82" t="str">
        <x:v>Black</x:v>
      </x:c>
      <x:c r="P432" s="82" t="str">
        <x:v>Malaysia</x:v>
      </x:c>
      <x:c r="Q432" s="82" t="str"/>
      <x:c r="R432" s="82" t="str">
        <x:v>Mainline</x:v>
      </x:c>
      <x:c r="S432" s="82" t="str">
        <x:v>Incomum</x:v>
      </x:c>
      <x:c r="T432" s="82" t="str">
        <x:v>Lançado</x:v>
      </x:c>
      <x:c r="U432" s="82" t="str">
        <x:v>Base code(s):</x:v>
      </x:c>
      <x:c r="V432" s="80" t="str">
        <x:v>Coleção principal (~1:64)</x:v>
      </x:c>
      <x:c r="W432" s="82" t="str">
        <x:v>https://hotwheels.fandom.com/wiki/Porsche_911_GT2</x:v>
      </x:c>
      <x:c r="X432" s="82" t="str">
        <x:v>https://hotwheels.fandom.com/wiki/Porsche_911_GT2</x:v>
      </x:c>
    </x:row>
    <x:row r="433">
      <x:c r="A433" s="80" t="str">
        <x:v>Não</x:v>
      </x:c>
      <x:c r="B433" s="80" t="str">
        <x:v>2 — Completar aos poucos</x:v>
      </x:c>
      <x:c r="C433" s="81" t="n">
        <x:v>2010</x:v>
      </x:c>
      <x:c r="D433" s="80" t="str">
        <x:v>Porsche 911 GT3 Cup</x:v>
      </x:c>
      <x:c r="E433" s="80" t="str">
        <x:v>Porsche 911 GT3 Cup</x:v>
      </x:c>
      <x:c r="F433" s="82" t="str">
        <x:v>Speed Machines</x:v>
      </x:c>
      <x:c r="G433" s="80" t="str"/>
      <x:c r="H433" s="80" t="str"/>
      <x:c r="I433" s="83" t="str">
        <x:v>R8500</x:v>
      </x:c>
      <x:c r="J433" s="80" t="str">
        <x:v>Metallic Black</x:v>
      </x:c>
      <x:c r="K433" s="82" t="str">
        <x:v>Orange stripe, Light and trim details</x:v>
      </x:c>
      <x:c r="L433" s="82" t="str">
        <x:v>Orange Chrome rim, Black CM6</x:v>
      </x:c>
      <x:c r="M433" s="82" t="str">
        <x:v>Black / Plastic</x:v>
      </x:c>
      <x:c r="N433" s="82" t="str">
        <x:v>Clear</x:v>
      </x:c>
      <x:c r="O433" s="82" t="str">
        <x:v>Orange</x:v>
      </x:c>
      <x:c r="P433" s="82" t="str">
        <x:v>Malaysia</x:v>
      </x:c>
      <x:c r="Q433" s="82" t="str"/>
      <x:c r="R433" s="82" t="str">
        <x:v>Premium</x:v>
      </x:c>
      <x:c r="S433" s="82" t="str">
        <x:v>Incomum</x:v>
      </x:c>
      <x:c r="T433" s="82" t="str">
        <x:v>Lançado</x:v>
      </x:c>
      <x:c r="U433" s="82" t="str">
        <x:v>namedPorsche 911 GT3 RoadBase code(s): B51, B52, C06</x:v>
      </x:c>
      <x:c r="V433" s="80" t="str">
        <x:v>Coleção principal (~1:64)</x:v>
      </x:c>
      <x:c r="W433" s="82" t="str">
        <x:v>https://hotwheels.fandom.com/wiki/Porsche_911_GT3_Cup</x:v>
      </x:c>
      <x:c r="X433" s="82" t="str">
        <x:v>https://hotwheels.fandom.com/wiki/Porsche_911_GT3_Cup</x:v>
      </x:c>
    </x:row>
    <x:row r="434">
      <x:c r="A434" s="80" t="str">
        <x:v>Não</x:v>
      </x:c>
      <x:c r="B434" s="80" t="str">
        <x:v>2 — Completar aos poucos</x:v>
      </x:c>
      <x:c r="C434" s="81" t="n">
        <x:v>2010</x:v>
      </x:c>
      <x:c r="D434" s="80" t="str">
        <x:v>Porsche Carrera GT</x:v>
      </x:c>
      <x:c r="E434" s="80" t="str">
        <x:v>Porsche Carrera GT</x:v>
      </x:c>
      <x:c r="F434" s="82" t="str">
        <x:v>Speed Machines</x:v>
      </x:c>
      <x:c r="G434" s="80" t="str"/>
      <x:c r="H434" s="80" t="str"/>
      <x:c r="I434" s="83" t="str">
        <x:v>R8497</x:v>
      </x:c>
      <x:c r="J434" s="80" t="str">
        <x:v>Pearl Fayence Yellow</x:v>
      </x:c>
      <x:c r="K434" s="82" t="str">
        <x:v>Porsche emblem on front, White 'Porsche' on front windshield, 'Carrera GT' on rear</x:v>
      </x:c>
      <x:c r="L434" s="82" t="str">
        <x:v>Chrome &amp; Black CM6</x:v>
      </x:c>
      <x:c r="M434" s="82" t="str">
        <x:v>Black / / / Plastic</x:v>
      </x:c>
      <x:c r="N434" s="82" t="str">
        <x:v>Smoke tint</x:v>
      </x:c>
      <x:c r="O434" s="82" t="str">
        <x:v>Black</x:v>
      </x:c>
      <x:c r="P434" s="82" t="str">
        <x:v>Malaysia</x:v>
      </x:c>
      <x:c r="Q434" s="82" t="str"/>
      <x:c r="R434" s="82" t="str">
        <x:v>Premium</x:v>
      </x:c>
      <x:c r="S434" s="82" t="str">
        <x:v>Incomum</x:v>
      </x:c>
      <x:c r="T434" s="82" t="str">
        <x:v>Lançado</x:v>
      </x:c>
      <x:c r="U434" s="82" t="str">
        <x:v>Base code(s): B49</x:v>
      </x:c>
      <x:c r="V434" s="80" t="str">
        <x:v>Coleção principal (~1:64)</x:v>
      </x:c>
      <x:c r="W434" s="82" t="str">
        <x:v>https://hotwheels.fandom.com/wiki/Porsche_Carrera_GT</x:v>
      </x:c>
      <x:c r="X434" s="82" t="str">
        <x:v>https://hotwheels.fandom.com/wiki/Porsche_Carrera_GT</x:v>
      </x:c>
    </x:row>
    <x:row r="435">
      <x:c r="A435" s="80" t="str">
        <x:v>Não</x:v>
      </x:c>
      <x:c r="B435" s="80" t="str">
        <x:v>2 — Completar aos poucos</x:v>
      </x:c>
      <x:c r="C435" s="81" t="n">
        <x:v>2010</x:v>
      </x:c>
      <x:c r="D435" s="80" t="str">
        <x:v>Porsche Carrera GT</x:v>
      </x:c>
      <x:c r="E435" s="80" t="str">
        <x:v>Porsche Carrera GT</x:v>
      </x:c>
      <x:c r="F435" s="82" t="str">
        <x:v>Speed Machines</x:v>
      </x:c>
      <x:c r="G435" s="80" t="str"/>
      <x:c r="H435" s="80" t="str"/>
      <x:c r="I435" s="83" t="str">
        <x:v>T4428</x:v>
      </x:c>
      <x:c r="J435" s="80" t="str">
        <x:v>Sand White</x:v>
      </x:c>
      <x:c r="K435" s="82" t="str">
        <x:v>Porsche emblem on front, White 'Porsche' on front windshield, 'Carrera GT' on rear</x:v>
      </x:c>
      <x:c r="L435" s="82" t="str">
        <x:v>Chrome &amp; Gray CM6</x:v>
      </x:c>
      <x:c r="M435" s="82" t="str">
        <x:v>Black / / / Plastic</x:v>
      </x:c>
      <x:c r="N435" s="82" t="str">
        <x:v>Clear</x:v>
      </x:c>
      <x:c r="O435" s="82" t="str">
        <x:v>Black</x:v>
      </x:c>
      <x:c r="P435" s="82" t="str">
        <x:v>Malaysia</x:v>
      </x:c>
      <x:c r="Q435" s="82" t="str"/>
      <x:c r="R435" s="82" t="str">
        <x:v>Premium</x:v>
      </x:c>
      <x:c r="S435" s="82" t="str">
        <x:v>Incomum</x:v>
      </x:c>
      <x:c r="T435" s="82" t="str">
        <x:v>Lançado</x:v>
      </x:c>
      <x:c r="U435" s="82" t="str">
        <x:v>Base code(s):</x:v>
      </x:c>
      <x:c r="V435" s="80" t="str">
        <x:v>Coleção principal (~1:64)</x:v>
      </x:c>
      <x:c r="W435" s="82" t="str">
        <x:v>https://hotwheels.fandom.com/wiki/Porsche_Carrera_GT</x:v>
      </x:c>
      <x:c r="X435" s="82" t="str">
        <x:v>https://hotwheels.fandom.com/wiki/Porsche_Carrera_GT</x:v>
      </x:c>
    </x:row>
    <x:row r="436">
      <x:c r="A436" s="80" t="str">
        <x:v>Não</x:v>
      </x:c>
      <x:c r="B436" s="80" t="str">
        <x:v>2 — Completar aos poucos</x:v>
      </x:c>
      <x:c r="C436" s="81" t="n">
        <x:v>2010</x:v>
      </x:c>
      <x:c r="D436" s="80" t="str">
        <x:v>Porsche Cayman S</x:v>
      </x:c>
      <x:c r="E436" s="80" t="str">
        <x:v>Porsche Cayman S</x:v>
      </x:c>
      <x:c r="F436" s="82" t="str">
        <x:v>Speed Machines</x:v>
      </x:c>
      <x:c r="G436" s="80" t="str"/>
      <x:c r="H436" s="80" t="str"/>
      <x:c r="I436" s="83" t="str">
        <x:v>R8498</x:v>
      </x:c>
      <x:c r="J436" s="80" t="str">
        <x:v>Metallic Black</x:v>
      </x:c>
      <x:c r="K436" s="82" t="str">
        <x:v>Porsche emblem on front, Silver 'Cayman S' on rear</x:v>
      </x:c>
      <x:c r="L436" s="82" t="str">
        <x:v>Chrome rim, Black CM6</x:v>
      </x:c>
      <x:c r="M436" s="82" t="str">
        <x:v>Black / Plastic</x:v>
      </x:c>
      <x:c r="N436" s="82" t="str">
        <x:v>Smoke tint</x:v>
      </x:c>
      <x:c r="O436" s="82" t="str">
        <x:v>Black</x:v>
      </x:c>
      <x:c r="P436" s="82" t="str">
        <x:v>Malaysia</x:v>
      </x:c>
      <x:c r="Q436" s="82" t="str"/>
      <x:c r="R436" s="82" t="str">
        <x:v>Premium</x:v>
      </x:c>
      <x:c r="S436" s="82" t="str">
        <x:v>Incomum</x:v>
      </x:c>
      <x:c r="T436" s="82" t="str">
        <x:v>Lançado</x:v>
      </x:c>
      <x:c r="U436" s="82" t="str">
        <x:v>Base code(s): C05, C06</x:v>
      </x:c>
      <x:c r="V436" s="80" t="str">
        <x:v>Coleção principal (~1:64)</x:v>
      </x:c>
      <x:c r="W436" s="82" t="str">
        <x:v>https://hotwheels.fandom.com/wiki/Porsche_Cayman_S</x:v>
      </x:c>
      <x:c r="X436" s="82" t="str">
        <x:v>https://hotwheels.fandom.com/wiki/Porsche_Cayman_S</x:v>
      </x:c>
    </x:row>
    <x:row r="437">
      <x:c r="A437" s="80" t="str">
        <x:v>Não</x:v>
      </x:c>
      <x:c r="B437" s="80" t="str">
        <x:v>2 — Completar aos poucos</x:v>
      </x:c>
      <x:c r="C437" s="81" t="n">
        <x:v>2009</x:v>
      </x:c>
      <x:c r="D437" s="80" t="str">
        <x:v>Porsche 959</x:v>
      </x:c>
      <x:c r="E437" s="80" t="str">
        <x:v>Porsche 959</x:v>
      </x:c>
      <x:c r="F437" s="82" t="str">
        <x:v>Valentine's Day 3/6</x:v>
      </x:c>
      <x:c r="G437" s="80" t="str"/>
      <x:c r="H437" s="80" t="str"/>
      <x:c r="I437" s="83" t="str">
        <x:v>N8296</x:v>
      </x:c>
      <x:c r="J437" s="80" t="str">
        <x:v>Metallic Red</x:v>
      </x:c>
      <x:c r="K437" s="82" t="str">
        <x:v>Light and trim details</x:v>
      </x:c>
      <x:c r="L437" s="82" t="str">
        <x:v>5SP</x:v>
      </x:c>
      <x:c r="M437" s="82" t="str">
        <x:v>Black / Metal</x:v>
      </x:c>
      <x:c r="N437" s="82" t="str">
        <x:v>Purple Tinted</x:v>
      </x:c>
      <x:c r="O437" s="82" t="str">
        <x:v>Black</x:v>
      </x:c>
      <x:c r="P437" s="82" t="str">
        <x:v>Malaysia</x:v>
      </x:c>
      <x:c r="Q437" s="82" t="str">
        <x:v>Target / Red Edition</x:v>
      </x:c>
      <x:c r="R437" s="82" t="str">
        <x:v>Outra linha</x:v>
      </x:c>
      <x:c r="S437" s="82" t="str">
        <x:v>Rara</x:v>
      </x:c>
      <x:c r="T437" s="82" t="str">
        <x:v>Lançado</x:v>
      </x:c>
      <x:c r="U437" s="82" t="str">
        <x:v>Target Exclusive Found in single card or 6 pack. Base Code(s): A41</x:v>
      </x:c>
      <x:c r="V437" s="80" t="str">
        <x:v>Coleção principal (~1:64)</x:v>
      </x:c>
      <x:c r="W437" s="82" t="str">
        <x:v>https://hotwheels.fandom.com/wiki/Porsche_959</x:v>
      </x:c>
      <x:c r="X437" s="82" t="str">
        <x:v>https://hotwheels.fandom.com/wiki/Porsche_959</x:v>
      </x:c>
    </x:row>
    <x:row r="438">
      <x:c r="A438" s="80" t="str">
        <x:v>Não</x:v>
      </x:c>
      <x:c r="B438" s="80" t="str">
        <x:v>2 — Completar aos poucos</x:v>
      </x:c>
      <x:c r="C438" s="81" t="n">
        <x:v>2009</x:v>
      </x:c>
      <x:c r="D438" s="80" t="str">
        <x:v>Porsche 959</x:v>
      </x:c>
      <x:c r="E438" s="80" t="str">
        <x:v>Porsche 959</x:v>
      </x:c>
      <x:c r="F438" s="82" t="str">
        <x:v>Valentine's Day 4/8</x:v>
      </x:c>
      <x:c r="G438" s="80" t="str"/>
      <x:c r="H438" s="80" t="str"/>
      <x:c r="I438" s="83" t="str">
        <x:v>N8577</x:v>
      </x:c>
      <x:c r="J438" s="80" t="str">
        <x:v>White</x:v>
      </x:c>
      <x:c r="K438" s="82" t="str">
        <x:v>Light and trim details</x:v>
      </x:c>
      <x:c r="L438" s="82" t="str">
        <x:v>5SP</x:v>
      </x:c>
      <x:c r="M438" s="82" t="str">
        <x:v>Black / Metal</x:v>
      </x:c>
      <x:c r="N438" s="82" t="str">
        <x:v>Purple Tinted</x:v>
      </x:c>
      <x:c r="O438" s="82" t="str">
        <x:v>Red</x:v>
      </x:c>
      <x:c r="P438" s="82" t="str">
        <x:v>Malaysia</x:v>
      </x:c>
      <x:c r="Q438" s="82" t="str">
        <x:v>Walmart</x:v>
      </x:c>
      <x:c r="R438" s="82" t="str">
        <x:v>Outra linha</x:v>
      </x:c>
      <x:c r="S438" s="82" t="str">
        <x:v>Rara</x:v>
      </x:c>
      <x:c r="T438" s="82" t="str">
        <x:v>Lançado</x:v>
      </x:c>
      <x:c r="U438" s="82" t="str">
        <x:v>Wal-Mart Exclusive Base code(s): A48</x:v>
      </x:c>
      <x:c r="V438" s="80" t="str">
        <x:v>Coleção principal (~1:64)</x:v>
      </x:c>
      <x:c r="W438" s="82" t="str">
        <x:v>https://hotwheels.fandom.com/wiki/Porsche_959</x:v>
      </x:c>
      <x:c r="X438" s="82" t="str">
        <x:v>https://hotwheels.fandom.com/wiki/Porsche_959</x:v>
      </x:c>
    </x:row>
    <x:row r="439">
      <x:c r="A439" s="80" t="str">
        <x:v>Não</x:v>
      </x:c>
      <x:c r="B439" s="80" t="str">
        <x:v>2 — Completar aos poucos</x:v>
      </x:c>
      <x:c r="C439" s="81" t="n">
        <x:v>2009</x:v>
      </x:c>
      <x:c r="D439" s="80" t="str">
        <x:v>Porsche Carrera GT</x:v>
      </x:c>
      <x:c r="E439" s="80" t="str">
        <x:v>Porsche Carrera GT</x:v>
      </x:c>
      <x:c r="F439" s="82" t="str">
        <x:v>Dream Garage / 9/10</x:v>
      </x:c>
      <x:c r="G439" s="80" t="str"/>
      <x:c r="H439" s="80" t="str">
        <x:v>155/190</x:v>
      </x:c>
      <x:c r="I439" s="83" t="str">
        <x:v>P2475</x:v>
      </x:c>
      <x:c r="J439" s="80" t="str">
        <x:v>Fayence Yellow</x:v>
      </x:c>
      <x:c r="K439" s="82" t="str">
        <x:v>Porsche emblem on front, Black 'Carrera GT' on rear</x:v>
      </x:c>
      <x:c r="L439" s="82" t="str">
        <x:v>PR5</x:v>
      </x:c>
      <x:c r="M439" s="82" t="str">
        <x:v>Black / / / Plastic</x:v>
      </x:c>
      <x:c r="N439" s="82" t="str">
        <x:v>Red tint</x:v>
      </x:c>
      <x:c r="O439" s="82" t="str">
        <x:v>Maroon</x:v>
      </x:c>
      <x:c r="P439" s="82" t="str">
        <x:v>Malaysia</x:v>
      </x:c>
      <x:c r="Q439" s="82" t="str"/>
      <x:c r="R439" s="82" t="str">
        <x:v>Mainline</x:v>
      </x:c>
      <x:c r="S439" s="82" t="str">
        <x:v>Incomum</x:v>
      </x:c>
      <x:c r="T439" s="82" t="str">
        <x:v>Lançado</x:v>
      </x:c>
      <x:c r="U439" s="82" t="str">
        <x:v>Base code(s): B24, B26, B32, B34, B36</x:v>
      </x:c>
      <x:c r="V439" s="80" t="str">
        <x:v>Coleção principal (~1:64)</x:v>
      </x:c>
      <x:c r="W439" s="82" t="str">
        <x:v>https://hotwheels.fandom.com/wiki/Porsche_Carrera_GT</x:v>
      </x:c>
      <x:c r="X439" s="82" t="str">
        <x:v>https://hotwheels.fandom.com/wiki/Porsche_Carrera_GT</x:v>
      </x:c>
    </x:row>
    <x:row r="440">
      <x:c r="A440" s="80" t="str">
        <x:v>Não</x:v>
      </x:c>
      <x:c r="B440" s="80" t="str">
        <x:v>2 — Completar aos poucos</x:v>
      </x:c>
      <x:c r="C440" s="81" t="n">
        <x:v>2009</x:v>
      </x:c>
      <x:c r="D440" s="80" t="str">
        <x:v>Porsche Carrera GT</x:v>
      </x:c>
      <x:c r="E440" s="80" t="str">
        <x:v>Porsche Carrera GT</x:v>
      </x:c>
      <x:c r="F440" s="82" t="str">
        <x:v>Dream Garage / 9/10</x:v>
      </x:c>
      <x:c r="G440" s="80" t="str"/>
      <x:c r="H440" s="80" t="str">
        <x:v>155/190</x:v>
      </x:c>
      <x:c r="I440" s="83" t="str">
        <x:v>P2475</x:v>
      </x:c>
      <x:c r="J440" s="80" t="str">
        <x:v>Seal Grey</x:v>
      </x:c>
      <x:c r="K440" s="82" t="str">
        <x:v>Porsche emblem on front, Black 'Carrera GT' on rear</x:v>
      </x:c>
      <x:c r="L440" s="82" t="str">
        <x:v>PR5</x:v>
      </x:c>
      <x:c r="M440" s="82" t="str">
        <x:v>Black / / / Plastic</x:v>
      </x:c>
      <x:c r="N440" s="82" t="str">
        <x:v>Smoke tint</x:v>
      </x:c>
      <x:c r="O440" s="82" t="str">
        <x:v>Burgundy</x:v>
      </x:c>
      <x:c r="P440" s="82" t="str">
        <x:v>Malaysia</x:v>
      </x:c>
      <x:c r="Q440" s="82" t="str"/>
      <x:c r="R440" s="82" t="str">
        <x:v>Mainline</x:v>
      </x:c>
      <x:c r="S440" s="82" t="str">
        <x:v>Incomum</x:v>
      </x:c>
      <x:c r="T440" s="82" t="str">
        <x:v>Lançado</x:v>
      </x:c>
      <x:c r="U440" s="82" t="str">
        <x:v>Base code(s): B02, B03, B17</x:v>
      </x:c>
      <x:c r="V440" s="80" t="str">
        <x:v>Coleção principal (~1:64)</x:v>
      </x:c>
      <x:c r="W440" s="82" t="str">
        <x:v>https://hotwheels.fandom.com/wiki/Porsche_Carrera_GT</x:v>
      </x:c>
      <x:c r="X440" s="82" t="str">
        <x:v>https://hotwheels.fandom.com/wiki/Porsche_Carrera_GT</x:v>
      </x:c>
    </x:row>
    <x:row r="441">
      <x:c r="A441" s="80" t="str">
        <x:v>Não</x:v>
      </x:c>
      <x:c r="B441" s="80" t="str">
        <x:v>2 — Completar aos poucos</x:v>
      </x:c>
      <x:c r="C441" s="81" t="n">
        <x:v>2008</x:v>
      </x:c>
      <x:c r="D441" s="80" t="str">
        <x:v>Porsche Carrera GT</x:v>
      </x:c>
      <x:c r="E441" s="80" t="str">
        <x:v>Porsche Carrera GT</x:v>
      </x:c>
      <x:c r="F441" s="82" t="str">
        <x:v>Hot Wheels 10-Pack</x:v>
      </x:c>
      <x:c r="G441" s="80" t="str"/>
      <x:c r="H441" s="80" t="str"/>
      <x:c r="I441" s="83" t="str">
        <x:v>N8256</x:v>
      </x:c>
      <x:c r="J441" s="80" t="str">
        <x:v>Basalt Black</x:v>
      </x:c>
      <x:c r="K441" s="82" t="str">
        <x:v>Porsche logo on front. detailed headlights, taillights</x:v>
      </x:c>
      <x:c r="L441" s="82" t="str">
        <x:v>PR5</x:v>
      </x:c>
      <x:c r="M441" s="82" t="str">
        <x:v>Black / / / Plastic</x:v>
      </x:c>
      <x:c r="N441" s="82" t="str">
        <x:v>Clear</x:v>
      </x:c>
      <x:c r="O441" s="82" t="str">
        <x:v>Red</x:v>
      </x:c>
      <x:c r="P441" s="82" t="str">
        <x:v>Thailand</x:v>
      </x:c>
      <x:c r="Q441" s="82" t="str">
        <x:v>Walmart</x:v>
      </x:c>
      <x:c r="R441" s="82" t="str">
        <x:v>Outra linha</x:v>
      </x:c>
      <x:c r="S441" s="82" t="str">
        <x:v>Rara</x:v>
      </x:c>
      <x:c r="T441" s="82" t="str">
        <x:v>Lançado</x:v>
      </x:c>
      <x:c r="U441" s="82" t="str">
        <x:v>Wal-Mart Exclusive</x:v>
      </x:c>
      <x:c r="V441" s="80" t="str">
        <x:v>Coleção principal (~1:64)</x:v>
      </x:c>
      <x:c r="W441" s="82" t="str">
        <x:v>https://hotwheels.fandom.com/wiki/Porsche_Carrera_GT</x:v>
      </x:c>
      <x:c r="X441" s="82" t="str">
        <x:v>https://hotwheels.fandom.com/wiki/Porsche_Carrera_GT</x:v>
      </x:c>
    </x:row>
    <x:row r="442">
      <x:c r="A442" s="80" t="str">
        <x:v>Não</x:v>
      </x:c>
      <x:c r="B442" s="80" t="str">
        <x:v>2 — Completar aos poucos</x:v>
      </x:c>
      <x:c r="C442" s="81" t="n">
        <x:v>2008</x:v>
      </x:c>
      <x:c r="D442" s="80" t="str">
        <x:v>Porsche Carrera GT</x:v>
      </x:c>
      <x:c r="E442" s="80" t="str">
        <x:v>Porsche Carrera GT</x:v>
      </x:c>
      <x:c r="F442" s="82" t="str">
        <x:v>Team: Exotics / 3/4</x:v>
      </x:c>
      <x:c r="G442" s="80" t="str"/>
      <x:c r="H442" s="80" t="str">
        <x:v>115/196</x:v>
      </x:c>
      <x:c r="I442" s="83" t="str">
        <x:v>M6873</x:v>
      </x:c>
      <x:c r="J442" s="80" t="str">
        <x:v>Basalt Black</x:v>
      </x:c>
      <x:c r="K442" s="82" t="str">
        <x:v>Porsche logo on front. detailed headlights, taillights</x:v>
      </x:c>
      <x:c r="L442" s="82" t="str">
        <x:v>PR5</x:v>
      </x:c>
      <x:c r="M442" s="82" t="str">
        <x:v>Black / / / Plastic</x:v>
      </x:c>
      <x:c r="N442" s="82" t="str">
        <x:v>Clear</x:v>
      </x:c>
      <x:c r="O442" s="82" t="str">
        <x:v>Red</x:v>
      </x:c>
      <x:c r="P442" s="82" t="str">
        <x:v>Malaysia</x:v>
      </x:c>
      <x:c r="Q442" s="82" t="str"/>
      <x:c r="R442" s="82" t="str">
        <x:v>Mainline</x:v>
      </x:c>
      <x:c r="S442" s="82" t="str">
        <x:v>Incomum</x:v>
      </x:c>
      <x:c r="T442" s="82" t="str">
        <x:v>Lançado</x:v>
      </x:c>
      <x:c r="U442" s="82" t="str"/>
      <x:c r="V442" s="80" t="str">
        <x:v>Coleção principal (~1:64)</x:v>
      </x:c>
      <x:c r="W442" s="82" t="str">
        <x:v>https://hotwheels.fandom.com/wiki/Porsche_Carrera_GT</x:v>
      </x:c>
      <x:c r="X442" s="82" t="str">
        <x:v>https://hotwheels.fandom.com/wiki/Porsche_Carrera_GT</x:v>
      </x:c>
    </x:row>
    <x:row r="443">
      <x:c r="A443" s="80" t="str">
        <x:v>Não</x:v>
      </x:c>
      <x:c r="B443" s="80" t="str">
        <x:v>2 — Completar aos poucos</x:v>
      </x:c>
      <x:c r="C443" s="81" t="n">
        <x:v>2007</x:v>
      </x:c>
      <x:c r="D443" s="80" t="str">
        <x:v>Porsche 911 GT3 Cup</x:v>
      </x:c>
      <x:c r="E443" s="80" t="str">
        <x:v>Porsche 911 GT3 Cup</x:v>
      </x:c>
      <x:c r="F443" s="82" t="str">
        <x:v>All Stars</x:v>
      </x:c>
      <x:c r="G443" s="80" t="str"/>
      <x:c r="H443" s="80" t="str">
        <x:v>146/180</x:v>
      </x:c>
      <x:c r="I443" s="83" t="str">
        <x:v>L3105</x:v>
      </x:c>
      <x:c r="J443" s="80" t="str">
        <x:v>Black</x:v>
      </x:c>
      <x:c r="K443" s="82" t="str">
        <x:v>Blue &amp; Red Strip on side</x:v>
      </x:c>
      <x:c r="L443" s="82" t="str">
        <x:v>Chrome PR5</x:v>
      </x:c>
      <x:c r="M443" s="82" t="str">
        <x:v>Black / Plastic</x:v>
      </x:c>
      <x:c r="N443" s="82" t="str">
        <x:v>Red tint</x:v>
      </x:c>
      <x:c r="O443" s="82" t="str">
        <x:v>Black</x:v>
      </x:c>
      <x:c r="P443" s="82" t="str">
        <x:v>Malaysia</x:v>
      </x:c>
      <x:c r="Q443" s="82" t="str">
        <x:v>Walmart</x:v>
      </x:c>
      <x:c r="R443" s="82" t="str">
        <x:v>Mainline</x:v>
      </x:c>
      <x:c r="S443" s="82" t="str">
        <x:v>Rara</x:v>
      </x:c>
      <x:c r="T443" s="82" t="str">
        <x:v>Lançado</x:v>
      </x:c>
      <x:c r="U443" s="82" t="str">
        <x:v>Walmart Exclusive</x:v>
      </x:c>
      <x:c r="V443" s="80" t="str">
        <x:v>Coleção principal (~1:64)</x:v>
      </x:c>
      <x:c r="W443" s="82" t="str">
        <x:v>https://hotwheels.fandom.com/wiki/Porsche_911_GT3_Cup</x:v>
      </x:c>
      <x:c r="X443" s="82" t="str">
        <x:v>https://hotwheels.fandom.com/wiki/Porsche_911_GT3_Cup</x:v>
      </x:c>
    </x:row>
    <x:row r="444">
      <x:c r="A444" s="80" t="str">
        <x:v>Não</x:v>
      </x:c>
      <x:c r="B444" s="80" t="str">
        <x:v>2 — Completar aos poucos</x:v>
      </x:c>
      <x:c r="C444" s="81" t="n">
        <x:v>2007</x:v>
      </x:c>
      <x:c r="D444" s="80" t="str">
        <x:v>Porsche 911 GT3 Cup</x:v>
      </x:c>
      <x:c r="E444" s="80" t="str">
        <x:v>Porsche 911 GT3 Cup</x:v>
      </x:c>
      <x:c r="F444" s="82" t="str">
        <x:v>All Stars</x:v>
      </x:c>
      <x:c r="G444" s="80" t="str"/>
      <x:c r="H444" s="80" t="str">
        <x:v>146/180</x:v>
      </x:c>
      <x:c r="I444" s="83" t="str">
        <x:v>L3105</x:v>
      </x:c>
      <x:c r="J444" s="80" t="str">
        <x:v>Black</x:v>
      </x:c>
      <x:c r="K444" s="82" t="str">
        <x:v>Blue &amp; Red Strip on side</x:v>
      </x:c>
      <x:c r="L444" s="82" t="str">
        <x:v>10SP</x:v>
      </x:c>
      <x:c r="M444" s="82" t="str">
        <x:v>Black / Plastic</x:v>
      </x:c>
      <x:c r="N444" s="82" t="str">
        <x:v>Red tint</x:v>
      </x:c>
      <x:c r="O444" s="82" t="str">
        <x:v>Black</x:v>
      </x:c>
      <x:c r="P444" s="82" t="str">
        <x:v>Malaysia</x:v>
      </x:c>
      <x:c r="Q444" s="82" t="str">
        <x:v>Walmart</x:v>
      </x:c>
      <x:c r="R444" s="82" t="str">
        <x:v>Mainline</x:v>
      </x:c>
      <x:c r="S444" s="82" t="str">
        <x:v>Rara</x:v>
      </x:c>
      <x:c r="T444" s="82" t="str">
        <x:v>Lançado</x:v>
      </x:c>
      <x:c r="U444" s="82" t="str">
        <x:v>Walmart Exclusive</x:v>
      </x:c>
      <x:c r="V444" s="80" t="str">
        <x:v>Coleção principal (~1:64)</x:v>
      </x:c>
      <x:c r="W444" s="82" t="str">
        <x:v>https://hotwheels.fandom.com/wiki/Porsche_911_GT3_Cup</x:v>
      </x:c>
      <x:c r="X444" s="82" t="str">
        <x:v>https://hotwheels.fandom.com/wiki/Porsche_911_GT3_Cup</x:v>
      </x:c>
    </x:row>
    <x:row r="445">
      <x:c r="A445" s="80" t="str">
        <x:v>Não</x:v>
      </x:c>
      <x:c r="B445" s="80" t="str">
        <x:v>2 — Completar aos poucos</x:v>
      </x:c>
      <x:c r="C445" s="81" t="n">
        <x:v>2007</x:v>
      </x:c>
      <x:c r="D445" s="80" t="str">
        <x:v>Porsche 911 GT3 Cup</x:v>
      </x:c>
      <x:c r="E445" s="80" t="str">
        <x:v>Porsche 911 GT3 Cup</x:v>
      </x:c>
      <x:c r="F445" s="82" t="str">
        <x:v>All Stars</x:v>
      </x:c>
      <x:c r="G445" s="80" t="str"/>
      <x:c r="H445" s="80" t="str">
        <x:v>146/180</x:v>
      </x:c>
      <x:c r="I445" s="83" t="str">
        <x:v>L3105</x:v>
      </x:c>
      <x:c r="J445" s="80" t="str">
        <x:v>Burgundy</x:v>
      </x:c>
      <x:c r="K445" s="82" t="str">
        <x:v>White &amp; Black Strip on side</x:v>
      </x:c>
      <x:c r="L445" s="82" t="str">
        <x:v>Chrome PR5</x:v>
      </x:c>
      <x:c r="M445" s="82" t="str">
        <x:v>Black / Plastic</x:v>
      </x:c>
      <x:c r="N445" s="82" t="str">
        <x:v>Smoke tint</x:v>
      </x:c>
      <x:c r="O445" s="82" t="str">
        <x:v>Black</x:v>
      </x:c>
      <x:c r="P445" s="82" t="str">
        <x:v>Malaysia</x:v>
      </x:c>
      <x:c r="Q445" s="82" t="str"/>
      <x:c r="R445" s="82" t="str">
        <x:v>Mainline</x:v>
      </x:c>
      <x:c r="S445" s="82" t="str">
        <x:v>Incomum</x:v>
      </x:c>
      <x:c r="T445" s="82" t="str">
        <x:v>Lançado</x:v>
      </x:c>
      <x:c r="U445" s="82" t="str"/>
      <x:c r="V445" s="80" t="str">
        <x:v>Coleção principal (~1:64)</x:v>
      </x:c>
      <x:c r="W445" s="82" t="str">
        <x:v>https://hotwheels.fandom.com/wiki/Porsche_911_GT3_Cup</x:v>
      </x:c>
      <x:c r="X445" s="82" t="str">
        <x:v>https://hotwheels.fandom.com/wiki/Porsche_911_GT3_Cup</x:v>
      </x:c>
    </x:row>
    <x:row r="446">
      <x:c r="A446" s="80" t="str">
        <x:v>Não</x:v>
      </x:c>
      <x:c r="B446" s="80" t="str">
        <x:v>2 — Completar aos poucos</x:v>
      </x:c>
      <x:c r="C446" s="81" t="n">
        <x:v>2007</x:v>
      </x:c>
      <x:c r="D446" s="80" t="str">
        <x:v>Porsche Carrera GT</x:v>
      </x:c>
      <x:c r="E446" s="80" t="str">
        <x:v>Porsche Carrera GT</x:v>
      </x:c>
      <x:c r="F446" s="82" t="str">
        <x:v>Exotics 5-Pack</x:v>
      </x:c>
      <x:c r="G446" s="80" t="str"/>
      <x:c r="H446" s="80" t="str"/>
      <x:c r="I446" s="83" t="str">
        <x:v>K6180</x:v>
      </x:c>
      <x:c r="J446" s="80" t="str">
        <x:v>Guards Red</x:v>
      </x:c>
      <x:c r="K446" s="82" t="str">
        <x:v>Porsche logo on front, 'Carrera GT' on rear, headlights and taillights</x:v>
      </x:c>
      <x:c r="L446" s="82" t="str">
        <x:v>5SP</x:v>
      </x:c>
      <x:c r="M446" s="82" t="str">
        <x:v>Black / / / Plastic</x:v>
      </x:c>
      <x:c r="N446" s="82" t="str">
        <x:v>Smoke tint</x:v>
      </x:c>
      <x:c r="O446" s="82" t="str">
        <x:v>Black</x:v>
      </x:c>
      <x:c r="P446" s="82" t="str">
        <x:v>Thailand</x:v>
      </x:c>
      <x:c r="Q446" s="82" t="str"/>
      <x:c r="R446" s="82" t="str">
        <x:v>Temática / multipack</x:v>
      </x:c>
      <x:c r="S446" s="82" t="str">
        <x:v>Incomum</x:v>
      </x:c>
      <x:c r="T446" s="82" t="str">
        <x:v>Lançado</x:v>
      </x:c>
      <x:c r="U446" s="82" t="str"/>
      <x:c r="V446" s="80" t="str">
        <x:v>Coleção principal (~1:64)</x:v>
      </x:c>
      <x:c r="W446" s="82" t="str">
        <x:v>https://hotwheels.fandom.com/wiki/Porsche_Carrera_GT</x:v>
      </x:c>
      <x:c r="X446" s="82" t="str">
        <x:v>https://hotwheels.fandom.com/wiki/Porsche_Carrera_GT</x:v>
      </x:c>
    </x:row>
    <x:row r="447">
      <x:c r="A447" s="80" t="str">
        <x:v>Não</x:v>
      </x:c>
      <x:c r="B447" s="80" t="str">
        <x:v>2 — Completar aos poucos</x:v>
      </x:c>
      <x:c r="C447" s="81" t="n">
        <x:v>2007</x:v>
      </x:c>
      <x:c r="D447" s="80" t="str">
        <x:v>Porsche Cayman S</x:v>
      </x:c>
      <x:c r="E447" s="80" t="str">
        <x:v>Porsche Cayman S</x:v>
      </x:c>
      <x:c r="F447" s="82" t="str">
        <x:v>2007 New Models 32/36</x:v>
      </x:c>
      <x:c r="G447" s="80" t="str"/>
      <x:c r="H447" s="80" t="str">
        <x:v>032/180</x:v>
      </x:c>
      <x:c r="I447" s="83" t="str">
        <x:v>K6164</x:v>
      </x:c>
      <x:c r="J447" s="80" t="str">
        <x:v>Metalflake Orange</x:v>
      </x:c>
      <x:c r="K447" s="82" t="str">
        <x:v>Red &amp; Grey taillights, Porsche logo on hood</x:v>
      </x:c>
      <x:c r="L447" s="82" t="str">
        <x:v>OH5</x:v>
      </x:c>
      <x:c r="M447" s="82" t="str">
        <x:v>Black / Plastic</x:v>
      </x:c>
      <x:c r="N447" s="82" t="str">
        <x:v>Smoke tint</x:v>
      </x:c>
      <x:c r="O447" s="82" t="str">
        <x:v>Gray</x:v>
      </x:c>
      <x:c r="P447" s="82" t="str">
        <x:v>Malaysia</x:v>
      </x:c>
      <x:c r="Q447" s="82" t="str"/>
      <x:c r="R447" s="82" t="str">
        <x:v>Mainline</x:v>
      </x:c>
      <x:c r="S447" s="82" t="str">
        <x:v>Incomum</x:v>
      </x:c>
      <x:c r="T447" s="82" t="str">
        <x:v>Lançado</x:v>
      </x:c>
      <x:c r="U447" s="82" t="str"/>
      <x:c r="V447" s="80" t="str">
        <x:v>Coleção principal (~1:64)</x:v>
      </x:c>
      <x:c r="W447" s="82" t="str">
        <x:v>https://hotwheels.fandom.com/wiki/Porsche_Cayman_S</x:v>
      </x:c>
      <x:c r="X447" s="82" t="str">
        <x:v>https://hotwheels.fandom.com/wiki/Porsche_Cayman_S</x:v>
      </x:c>
    </x:row>
    <x:row r="448">
      <x:c r="A448" s="80" t="str">
        <x:v>Não</x:v>
      </x:c>
      <x:c r="B448" s="80" t="str">
        <x:v>2 — Completar aos poucos</x:v>
      </x:c>
      <x:c r="C448" s="81" t="n">
        <x:v>2007</x:v>
      </x:c>
      <x:c r="D448" s="80" t="str">
        <x:v>Porsche Cayman S</x:v>
      </x:c>
      <x:c r="E448" s="80" t="str">
        <x:v>Porsche Cayman S</x:v>
      </x:c>
      <x:c r="F448" s="82" t="str">
        <x:v>2007 New Models 32/36</x:v>
      </x:c>
      <x:c r="G448" s="80" t="str"/>
      <x:c r="H448" s="80" t="str">
        <x:v>032/180</x:v>
      </x:c>
      <x:c r="I448" s="83" t="str">
        <x:v>K6164</x:v>
      </x:c>
      <x:c r="J448" s="80" t="str">
        <x:v>Metalflake Silver</x:v>
      </x:c>
      <x:c r="K448" s="82" t="str">
        <x:v>Red &amp; White taillights, Porsche logo on hood</x:v>
      </x:c>
      <x:c r="L448" s="82" t="str">
        <x:v>OH5</x:v>
      </x:c>
      <x:c r="M448" s="82" t="str">
        <x:v>Black / Plastic</x:v>
      </x:c>
      <x:c r="N448" s="82" t="str">
        <x:v>Smoke tint</x:v>
      </x:c>
      <x:c r="O448" s="82" t="str">
        <x:v>Tan</x:v>
      </x:c>
      <x:c r="P448" s="82" t="str">
        <x:v>Malaysia</x:v>
      </x:c>
      <x:c r="Q448" s="82" t="str"/>
      <x:c r="R448" s="82" t="str">
        <x:v>Mainline</x:v>
      </x:c>
      <x:c r="S448" s="82" t="str">
        <x:v>Incomum</x:v>
      </x:c>
      <x:c r="T448" s="82" t="str">
        <x:v>Lançado</x:v>
      </x:c>
      <x:c r="U448" s="82" t="str"/>
      <x:c r="V448" s="80" t="str">
        <x:v>Coleção principal (~1:64)</x:v>
      </x:c>
      <x:c r="W448" s="82" t="str">
        <x:v>https://hotwheels.fandom.com/wiki/Porsche_Cayman_S</x:v>
      </x:c>
      <x:c r="X448" s="82" t="str">
        <x:v>https://hotwheels.fandom.com/wiki/Porsche_Cayman_S</x:v>
      </x:c>
    </x:row>
    <x:row r="449">
      <x:c r="A449" s="80" t="str">
        <x:v>Não</x:v>
      </x:c>
      <x:c r="B449" s="80" t="str">
        <x:v>2 — Completar aos poucos</x:v>
      </x:c>
      <x:c r="C449" s="81" t="n">
        <x:v>2007</x:v>
      </x:c>
      <x:c r="D449" s="80" t="str">
        <x:v>Porsche Cayman S</x:v>
      </x:c>
      <x:c r="E449" s="80" t="str">
        <x:v>Porsche Cayman S</x:v>
      </x:c>
      <x:c r="F449" s="82" t="str">
        <x:v>2007 New Models 32/36</x:v>
      </x:c>
      <x:c r="G449" s="80" t="str"/>
      <x:c r="H449" s="80" t="str">
        <x:v>032/180</x:v>
      </x:c>
      <x:c r="I449" s="83" t="str">
        <x:v>K6164</x:v>
      </x:c>
      <x:c r="J449" s="80" t="str">
        <x:v>Metalflake Silver</x:v>
      </x:c>
      <x:c r="K449" s="82" t="str">
        <x:v>Red &amp; White taillights, Porsche logo on hood</x:v>
      </x:c>
      <x:c r="L449" s="82" t="str">
        <x:v>OH5</x:v>
      </x:c>
      <x:c r="M449" s="82" t="str">
        <x:v>Black / Plastic</x:v>
      </x:c>
      <x:c r="N449" s="82" t="str">
        <x:v>Smoke tint</x:v>
      </x:c>
      <x:c r="O449" s="82" t="str">
        <x:v>Gold</x:v>
      </x:c>
      <x:c r="P449" s="82" t="str">
        <x:v>Malaysia</x:v>
      </x:c>
      <x:c r="Q449" s="82" t="str"/>
      <x:c r="R449" s="82" t="str">
        <x:v>Mainline</x:v>
      </x:c>
      <x:c r="S449" s="82" t="str">
        <x:v>Incomum</x:v>
      </x:c>
      <x:c r="T449" s="82" t="str">
        <x:v>Lançado</x:v>
      </x:c>
      <x:c r="U449" s="82" t="str"/>
      <x:c r="V449" s="80" t="str">
        <x:v>Coleção principal (~1:64)</x:v>
      </x:c>
      <x:c r="W449" s="82" t="str">
        <x:v>https://hotwheels.fandom.com/wiki/Porsche_Cayman_S</x:v>
      </x:c>
      <x:c r="X449" s="82" t="str">
        <x:v>https://hotwheels.fandom.com/wiki/Porsche_Cayman_S</x:v>
      </x:c>
    </x:row>
    <x:row r="450">
      <x:c r="A450" s="80" t="str">
        <x:v>Não</x:v>
      </x:c>
      <x:c r="B450" s="80" t="str">
        <x:v>2 — Completar aos poucos</x:v>
      </x:c>
      <x:c r="C450" s="81" t="n">
        <x:v>2007</x:v>
      </x:c>
      <x:c r="D450" s="80" t="str">
        <x:v>Porsche Cayman S</x:v>
      </x:c>
      <x:c r="E450" s="80" t="str">
        <x:v>Porsche Cayman S</x:v>
      </x:c>
      <x:c r="F450" s="82" t="str">
        <x:v>2007 New Models 32/36</x:v>
      </x:c>
      <x:c r="G450" s="80" t="str"/>
      <x:c r="H450" s="80" t="str">
        <x:v>032/180</x:v>
      </x:c>
      <x:c r="I450" s="83" t="str">
        <x:v>K6164</x:v>
      </x:c>
      <x:c r="J450" s="80" t="str">
        <x:v>Metalflake Silver</x:v>
      </x:c>
      <x:c r="K450" s="82" t="str">
        <x:v>Red &amp; White taillights, Porsche logo on hood</x:v>
      </x:c>
      <x:c r="L450" s="82" t="str">
        <x:v>OH5</x:v>
      </x:c>
      <x:c r="M450" s="82" t="str">
        <x:v>Black / Plastic</x:v>
      </x:c>
      <x:c r="N450" s="82" t="str">
        <x:v>Smoke tint</x:v>
      </x:c>
      <x:c r="O450" s="82" t="str">
        <x:v>Red</x:v>
      </x:c>
      <x:c r="P450" s="82" t="str">
        <x:v>Malaysia</x:v>
      </x:c>
      <x:c r="Q450" s="82" t="str"/>
      <x:c r="R450" s="82" t="str">
        <x:v>Mainline</x:v>
      </x:c>
      <x:c r="S450" s="82" t="str">
        <x:v>Incomum</x:v>
      </x:c>
      <x:c r="T450" s="82" t="str">
        <x:v>Lançado</x:v>
      </x:c>
      <x:c r="U450" s="82" t="str">
        <x:v>VHTF Variation</x:v>
      </x:c>
      <x:c r="V450" s="80" t="str">
        <x:v>Coleção principal (~1:64)</x:v>
      </x:c>
      <x:c r="W450" s="82" t="str">
        <x:v>https://hotwheels.fandom.com/wiki/Porsche_Cayman_S</x:v>
      </x:c>
      <x:c r="X450" s="82" t="str">
        <x:v>https://hotwheels.fandom.com/wiki/Porsche_Cayman_S</x:v>
      </x:c>
    </x:row>
    <x:row r="451">
      <x:c r="A451" s="80" t="str">
        <x:v>Não</x:v>
      </x:c>
      <x:c r="B451" s="80" t="str">
        <x:v>2 — Completar aos poucos</x:v>
      </x:c>
      <x:c r="C451" s="81" t="n">
        <x:v>2007</x:v>
      </x:c>
      <x:c r="D451" s="80" t="str">
        <x:v>Porsche Cayman S</x:v>
      </x:c>
      <x:c r="E451" s="80" t="str">
        <x:v>Porsche Cayman S</x:v>
      </x:c>
      <x:c r="F451" s="82" t="str">
        <x:v>2007 New Models 32/36</x:v>
      </x:c>
      <x:c r="G451" s="80" t="str"/>
      <x:c r="H451" s="80" t="str">
        <x:v>032/180</x:v>
      </x:c>
      <x:c r="I451" s="83" t="str">
        <x:v>K6164</x:v>
      </x:c>
      <x:c r="J451" s="80" t="str">
        <x:v>Metalflake Yellow</x:v>
      </x:c>
      <x:c r="K451" s="82" t="str">
        <x:v>Red &amp; Grey taillights, Porsche logo on hood</x:v>
      </x:c>
      <x:c r="L451" s="82" t="str">
        <x:v>OH5</x:v>
      </x:c>
      <x:c r="M451" s="82" t="str">
        <x:v>Black / Plastic</x:v>
      </x:c>
      <x:c r="N451" s="82" t="str">
        <x:v>Smoke tint</x:v>
      </x:c>
      <x:c r="O451" s="82" t="str">
        <x:v>Black</x:v>
      </x:c>
      <x:c r="P451" s="82" t="str">
        <x:v>Malaysia</x:v>
      </x:c>
      <x:c r="Q451" s="82" t="str"/>
      <x:c r="R451" s="82" t="str">
        <x:v>Mainline</x:v>
      </x:c>
      <x:c r="S451" s="82" t="str">
        <x:v>Incomum</x:v>
      </x:c>
      <x:c r="T451" s="82" t="str">
        <x:v>Lançado</x:v>
      </x:c>
      <x:c r="U451" s="82" t="str">
        <x:v>White , Grey, Dark Grey • Headlight vari</x:v>
      </x:c>
      <x:c r="V451" s="80" t="str">
        <x:v>Coleção principal (~1:64)</x:v>
      </x:c>
      <x:c r="W451" s="82" t="str">
        <x:v>https://hotwheels.fandom.com/wiki/Porsche_Cayman_S</x:v>
      </x:c>
      <x:c r="X451" s="82" t="str">
        <x:v>https://hotwheels.fandom.com/wiki/Porsche_Cayman_S</x:v>
      </x:c>
    </x:row>
    <x:row r="452">
      <x:c r="A452" s="80" t="str">
        <x:v>Não</x:v>
      </x:c>
      <x:c r="B452" s="80" t="str">
        <x:v>2 — Completar aos poucos</x:v>
      </x:c>
      <x:c r="C452" s="81" t="n">
        <x:v>2006</x:v>
      </x:c>
      <x:c r="D452" s="80" t="str">
        <x:v>Porsche 911 GT3 Cup</x:v>
      </x:c>
      <x:c r="E452" s="80" t="str">
        <x:v>Porsche 911 GT3 Cup</x:v>
      </x:c>
      <x:c r="F452" s="82" t="str">
        <x:v>Bullrun</x:v>
      </x:c>
      <x:c r="G452" s="80" t="str"/>
      <x:c r="H452" s="80" t="str"/>
      <x:c r="I452" s="83" t="str">
        <x:v>J4774</x:v>
      </x:c>
      <x:c r="J452" s="80" t="str">
        <x:v>Metallic Silver</x:v>
      </x:c>
      <x:c r="K452" s="82" t="str">
        <x:v>White &amp; Black '3' &amp; 'Bull Run' deco on sides, Bull Run logo &amp; stars on hood</x:v>
      </x:c>
      <x:c r="L452" s="82" t="str">
        <x:v>RR5SP</x:v>
      </x:c>
      <x:c r="M452" s="82" t="str">
        <x:v>Black / Plastic</x:v>
      </x:c>
      <x:c r="N452" s="82" t="str">
        <x:v>Smoke tint</x:v>
      </x:c>
      <x:c r="O452" s="82" t="str">
        <x:v>Black</x:v>
      </x:c>
      <x:c r="P452" s="82" t="str">
        <x:v>Malaysia</x:v>
      </x:c>
      <x:c r="Q452" s="82" t="str"/>
      <x:c r="R452" s="82" t="str">
        <x:v>Outra linha</x:v>
      </x:c>
      <x:c r="S452" s="82" t="str">
        <x:v>Incomum</x:v>
      </x:c>
      <x:c r="T452" s="82" t="str">
        <x:v>Lançado</x:v>
      </x:c>
      <x:c r="U452" s="82" t="str">
        <x:v>Silver Spoiler</x:v>
      </x:c>
      <x:c r="V452" s="80" t="str">
        <x:v>Coleção principal (~1:64)</x:v>
      </x:c>
      <x:c r="W452" s="82" t="str">
        <x:v>https://hotwheels.fandom.com/wiki/Porsche_911_GT3_Cup</x:v>
      </x:c>
      <x:c r="X452" s="82" t="str">
        <x:v>https://hotwheels.fandom.com/wiki/Porsche_911_GT3_Cup</x:v>
      </x:c>
    </x:row>
    <x:row r="453">
      <x:c r="A453" s="80" t="str">
        <x:v>Não</x:v>
      </x:c>
      <x:c r="B453" s="80" t="str">
        <x:v>2 — Completar aos poucos</x:v>
      </x:c>
      <x:c r="C453" s="81" t="n">
        <x:v>2006</x:v>
      </x:c>
      <x:c r="D453" s="80" t="str">
        <x:v>Porsche Carrera GT</x:v>
      </x:c>
      <x:c r="E453" s="80" t="str">
        <x:v>Porsche Carrera GT</x:v>
      </x:c>
      <x:c r="F453" s="82" t="str">
        <x:v>2006 First Editions / 8/38</x:v>
      </x:c>
      <x:c r="G453" s="80" t="str"/>
      <x:c r="H453" s="80" t="str">
        <x:v>008/223</x:v>
      </x:c>
      <x:c r="I453" s="83" t="str">
        <x:v>J3249</x:v>
      </x:c>
      <x:c r="J453" s="80" t="str">
        <x:v>Fayence Yellow</x:v>
      </x:c>
      <x:c r="K453" s="82" t="str">
        <x:v>Carrera GT on rear, detailed headlights, taillights and rear window</x:v>
      </x:c>
      <x:c r="L453" s="82" t="str">
        <x:v>OH5</x:v>
      </x:c>
      <x:c r="M453" s="82" t="str">
        <x:v>Black / / / Plastic</x:v>
      </x:c>
      <x:c r="N453" s="82" t="str">
        <x:v>Clear</x:v>
      </x:c>
      <x:c r="O453" s="82" t="str">
        <x:v>Black</x:v>
      </x:c>
      <x:c r="P453" s="82" t="str">
        <x:v>Malaysia</x:v>
      </x:c>
      <x:c r="Q453" s="82" t="str"/>
      <x:c r="R453" s="82" t="str">
        <x:v>Mainline</x:v>
      </x:c>
      <x:c r="S453" s="82" t="str">
        <x:v>Incomum</x:v>
      </x:c>
      <x:c r="T453" s="82" t="str">
        <x:v>Lançado</x:v>
      </x:c>
      <x:c r="U453" s="82" t="str">
        <x:v>Also released on 2007 card</x:v>
      </x:c>
      <x:c r="V453" s="80" t="str">
        <x:v>Coleção principal (~1:64)</x:v>
      </x:c>
      <x:c r="W453" s="82" t="str">
        <x:v>https://hotwheels.fandom.com/wiki/Porsche_Carrera_GT</x:v>
      </x:c>
      <x:c r="X453" s="82" t="str">
        <x:v>https://hotwheels.fandom.com/wiki/Porsche_Carrera_GT</x:v>
      </x:c>
    </x:row>
    <x:row r="454">
      <x:c r="A454" s="80" t="str">
        <x:v>Não</x:v>
      </x:c>
      <x:c r="B454" s="80" t="str">
        <x:v>2 — Completar aos poucos</x:v>
      </x:c>
      <x:c r="C454" s="81" t="n">
        <x:v>2006</x:v>
      </x:c>
      <x:c r="D454" s="80" t="str">
        <x:v>Porsche Carrera GT</x:v>
      </x:c>
      <x:c r="E454" s="80" t="str">
        <x:v>Porsche Carrera GT</x:v>
      </x:c>
      <x:c r="F454" s="82" t="str">
        <x:v>2006 First Editions / 8/38</x:v>
      </x:c>
      <x:c r="G454" s="80" t="str"/>
      <x:c r="H454" s="80" t="str">
        <x:v>008/223</x:v>
      </x:c>
      <x:c r="I454" s="83" t="str">
        <x:v>J3249</x:v>
      </x:c>
      <x:c r="J454" s="80" t="str">
        <x:v>GT Silver</x:v>
      </x:c>
      <x:c r="K454" s="82" t="str">
        <x:v>Carrera GT on rear</x:v>
      </x:c>
      <x:c r="L454" s="82" t="str">
        <x:v>OH5</x:v>
      </x:c>
      <x:c r="M454" s="82" t="str">
        <x:v>Black / / / Plastic</x:v>
      </x:c>
      <x:c r="N454" s="82" t="str">
        <x:v>Clear</x:v>
      </x:c>
      <x:c r="O454" s="82" t="str">
        <x:v>Red</x:v>
      </x:c>
      <x:c r="P454" s="82" t="str">
        <x:v>Malaysia</x:v>
      </x:c>
      <x:c r="Q454" s="82" t="str"/>
      <x:c r="R454" s="82" t="str">
        <x:v>Mainline</x:v>
      </x:c>
      <x:c r="S454" s="82" t="str">
        <x:v>Incomum</x:v>
      </x:c>
      <x:c r="T454" s="82" t="str">
        <x:v>Lançado</x:v>
      </x:c>
      <x:c r="U454" s="82" t="str"/>
      <x:c r="V454" s="80" t="str">
        <x:v>Coleção principal (~1:64)</x:v>
      </x:c>
      <x:c r="W454" s="82" t="str">
        <x:v>https://hotwheels.fandom.com/wiki/Porsche_Carrera_GT</x:v>
      </x:c>
      <x:c r="X454" s="82" t="str">
        <x:v>https://hotwheels.fandom.com/wiki/Porsche_Carrera_GT</x:v>
      </x:c>
    </x:row>
    <x:row r="455">
      <x:c r="A455" s="80" t="str">
        <x:v>Não</x:v>
      </x:c>
      <x:c r="B455" s="80" t="str">
        <x:v>2 — Completar aos poucos</x:v>
      </x:c>
      <x:c r="C455" s="81" t="n">
        <x:v>2006</x:v>
      </x:c>
      <x:c r="D455" s="80" t="str">
        <x:v>Porsche Carrera GT</x:v>
      </x:c>
      <x:c r="E455" s="80" t="str">
        <x:v>Porsche Carrera GT</x:v>
      </x:c>
      <x:c r="F455" s="82" t="str">
        <x:v>2006 First Editions / 8/38</x:v>
      </x:c>
      <x:c r="G455" s="80" t="str"/>
      <x:c r="H455" s="80" t="str">
        <x:v>008/223</x:v>
      </x:c>
      <x:c r="I455" s="83" t="str">
        <x:v>J3249</x:v>
      </x:c>
      <x:c r="J455" s="80" t="str">
        <x:v>GT Silver</x:v>
      </x:c>
      <x:c r="K455" s="82" t="str">
        <x:v>Carrera GT on rear</x:v>
      </x:c>
      <x:c r="L455" s="82" t="str">
        <x:v>FTE</x:v>
      </x:c>
      <x:c r="M455" s="82" t="str">
        <x:v>Black / / / Plastic</x:v>
      </x:c>
      <x:c r="N455" s="82" t="str">
        <x:v>Clear</x:v>
      </x:c>
      <x:c r="O455" s="82" t="str">
        <x:v>Red</x:v>
      </x:c>
      <x:c r="P455" s="82" t="str">
        <x:v>Malaysia</x:v>
      </x:c>
      <x:c r="Q455" s="82" t="str"/>
      <x:c r="R455" s="82" t="str">
        <x:v>Mainline</x:v>
      </x:c>
      <x:c r="S455" s="82" t="str">
        <x:v>Incomum</x:v>
      </x:c>
      <x:c r="T455" s="82" t="str">
        <x:v>Lançado</x:v>
      </x:c>
      <x:c r="U455" s="82" t="str"/>
      <x:c r="V455" s="80" t="str">
        <x:v>Coleção principal (~1:64)</x:v>
      </x:c>
      <x:c r="W455" s="82" t="str">
        <x:v>https://hotwheels.fandom.com/wiki/Porsche_Carrera_GT</x:v>
      </x:c>
      <x:c r="X455" s="82" t="str">
        <x:v>https://hotwheels.fandom.com/wiki/Porsche_Carrera_GT</x:v>
      </x:c>
    </x:row>
    <x:row r="456">
      <x:c r="A456" s="80" t="str">
        <x:v>Não</x:v>
      </x:c>
      <x:c r="B456" s="80" t="str">
        <x:v>2 — Completar aos poucos</x:v>
      </x:c>
      <x:c r="C456" s="81" t="n">
        <x:v>2005</x:v>
      </x:c>
      <x:c r="D456" s="80" t="str">
        <x:v>Porsche 917KH</x:v>
      </x:c>
      <x:c r="E456" s="80" t="str">
        <x:v>Porsche 917KH</x:v>
      </x:c>
      <x:c r="F456" s="82" t="str">
        <x:v>Real Riders</x:v>
      </x:c>
      <x:c r="G456" s="80" t="str"/>
      <x:c r="H456" s="80" t="str"/>
      <x:c r="I456" s="83" t="str">
        <x:v>H9215</x:v>
      </x:c>
      <x:c r="J456" s="80" t="str">
        <x:v>Light Blue</x:v>
      </x:c>
      <x:c r="K456" s="82" t="str">
        <x:v>White Stripes, '23'</x:v>
      </x:c>
      <x:c r="L456" s="82" t="str">
        <x:v>RR6SP</x:v>
      </x:c>
      <x:c r="M456" s="82" t="str">
        <x:v>Black / Metal</x:v>
      </x:c>
      <x:c r="N456" s="82" t="str">
        <x:v>Clear</x:v>
      </x:c>
      <x:c r="O456" s="82" t="str">
        <x:v>Black</x:v>
      </x:c>
      <x:c r="P456" s="82" t="str">
        <x:v>Malaysia</x:v>
      </x:c>
      <x:c r="Q456" s="82" t="str"/>
      <x:c r="R456" s="82" t="str">
        <x:v>Premium</x:v>
      </x:c>
      <x:c r="S456" s="82" t="str">
        <x:v>Incomum</x:v>
      </x:c>
      <x:c r="T456" s="82" t="str">
        <x:v>Lançado</x:v>
      </x:c>
      <x:c r="U456" s="82" t="str"/>
      <x:c r="V456" s="80" t="str">
        <x:v>Coleção principal (~1:64)</x:v>
      </x:c>
      <x:c r="W456" s="82" t="str">
        <x:v>https://hotwheels.fandom.com/wiki/Porsche_917KH</x:v>
      </x:c>
      <x:c r="X456" s="82" t="str">
        <x:v>https://hotwheels.fandom.com/wiki/Porsche_917KH</x:v>
      </x:c>
    </x:row>
    <x:row r="457">
      <x:c r="A457" s="80" t="str">
        <x:v>Não</x:v>
      </x:c>
      <x:c r="B457" s="80" t="str">
        <x:v>2 — Completar aos poucos</x:v>
      </x:c>
      <x:c r="C457" s="81" t="n">
        <x:v>2004</x:v>
      </x:c>
      <x:c r="D457" s="80" t="str">
        <x:v>Porsche 911 GT3 Cup</x:v>
      </x:c>
      <x:c r="E457" s="80" t="str">
        <x:v>Porsche 911 GT3 Cup</x:v>
      </x:c>
      <x:c r="F457" s="82" t="str">
        <x:v>Hot Wheels Whips: West Coast Customs (New School)</x:v>
      </x:c>
      <x:c r="G457" s="80" t="str"/>
      <x:c r="H457" s="80" t="str"/>
      <x:c r="I457" s="83" t="str">
        <x:v>C2658</x:v>
      </x:c>
      <x:c r="J457" s="80" t="str">
        <x:v>Red</x:v>
      </x:c>
      <x:c r="K457" s="82" t="str">
        <x:v>Porsche logo on front</x:v>
      </x:c>
      <x:c r="L457" s="82" t="str">
        <x:v>RR5SP</x:v>
      </x:c>
      <x:c r="M457" s="82" t="str">
        <x:v>Black / Plastic</x:v>
      </x:c>
      <x:c r="N457" s="82" t="str">
        <x:v>Clear</x:v>
      </x:c>
      <x:c r="O457" s="82" t="str">
        <x:v>Black</x:v>
      </x:c>
      <x:c r="P457" s="82" t="str">
        <x:v>Thailand</x:v>
      </x:c>
      <x:c r="Q457" s="82" t="str"/>
      <x:c r="R457" s="82" t="str">
        <x:v>Outra linha</x:v>
      </x:c>
      <x:c r="S457" s="82" t="str">
        <x:v>Incomum</x:v>
      </x:c>
      <x:c r="T457" s="82" t="str">
        <x:v>Lançado</x:v>
      </x:c>
      <x:c r="U457" s="82" t="str"/>
      <x:c r="V457" s="80" t="str">
        <x:v>Coleção principal (~1:64)</x:v>
      </x:c>
      <x:c r="W457" s="82" t="str">
        <x:v>https://hotwheels.fandom.com/wiki/Porsche_911_GT3_Cup</x:v>
      </x:c>
      <x:c r="X457" s="82" t="str">
        <x:v>https://hotwheels.fandom.com/wiki/Porsche_911_GT3_Cup</x:v>
      </x:c>
    </x:row>
    <x:row r="458">
      <x:c r="A458" s="80" t="str">
        <x:v>Não</x:v>
      </x:c>
      <x:c r="B458" s="80" t="str">
        <x:v>2 — Completar aos poucos</x:v>
      </x:c>
      <x:c r="C458" s="81" t="n">
        <x:v>2003</x:v>
      </x:c>
      <x:c r="D458" s="80" t="str">
        <x:v>Porsche 911 Carrera</x:v>
      </x:c>
      <x:c r="E458" s="80" t="str">
        <x:v>Porsche 911 Carrera</x:v>
      </x:c>
      <x:c r="F458" s="82" t="str">
        <x:v>Final Run 10/12</x:v>
      </x:c>
      <x:c r="G458" s="80" t="str"/>
      <x:c r="H458" s="80" t="str">
        <x:v>204</x:v>
      </x:c>
      <x:c r="I458" s="83" t="str">
        <x:v>57187</x:v>
      </x:c>
      <x:c r="J458" s="80" t="str">
        <x:v>White</x:v>
      </x:c>
      <x:c r="K458" s="82" t="str">
        <x:v>Red &amp; Blue "Carrera", "127"</x:v>
      </x:c>
      <x:c r="L458" s="82" t="str">
        <x:v>Red 5SP</x:v>
      </x:c>
      <x:c r="M458" s="82" t="str">
        <x:v>Unpainted / Metal</x:v>
      </x:c>
      <x:c r="N458" s="82" t="str">
        <x:v>Black tint</x:v>
      </x:c>
      <x:c r="O458" s="82" t="str">
        <x:v>Black</x:v>
      </x:c>
      <x:c r="P458" s="82" t="str">
        <x:v>Malaysia</x:v>
      </x:c>
      <x:c r="Q458" s="82" t="str"/>
      <x:c r="R458" s="82" t="str">
        <x:v>Mainline</x:v>
      </x:c>
      <x:c r="S458" s="82" t="str">
        <x:v>Incomum</x:v>
      </x:c>
      <x:c r="T458" s="82" t="str">
        <x:v>Lançado</x:v>
      </x:c>
      <x:c r="U458" s="82" t="str"/>
      <x:c r="V458" s="80" t="str">
        <x:v>Coleção principal (~1:64)</x:v>
      </x:c>
      <x:c r="W458" s="82" t="str">
        <x:v>https://hotwheels.fandom.com/wiki/Porsche_911_Carrera</x:v>
      </x:c>
      <x:c r="X458" s="82" t="str">
        <x:v>https://hotwheels.fandom.com/wiki/Porsche_911_Carrera</x:v>
      </x:c>
    </x:row>
    <x:row r="459">
      <x:c r="A459" s="80" t="str">
        <x:v>Não</x:v>
      </x:c>
      <x:c r="B459" s="80" t="str">
        <x:v>2 — Completar aos poucos</x:v>
      </x:c>
      <x:c r="C459" s="81" t="n">
        <x:v>2003</x:v>
      </x:c>
      <x:c r="D459" s="80" t="str">
        <x:v>Porsche 911 GT3 Cup</x:v>
      </x:c>
      <x:c r="E459" s="80" t="str">
        <x:v>Porsche 911 GT3 Cup</x:v>
      </x:c>
      <x:c r="F459" s="82" t="str">
        <x:v>Avon Park 'N Plates</x:v>
      </x:c>
      <x:c r="G459" s="80" t="str"/>
      <x:c r="H459" s="80" t="str"/>
      <x:c r="I459" s="83" t="str">
        <x:v>56276</x:v>
      </x:c>
      <x:c r="J459" s="80" t="str">
        <x:v>Red</x:v>
      </x:c>
      <x:c r="K459" s="82" t="str">
        <x:v>Black, Gold "Porsche" on windshield, Hot Wheels Logo on rear window, Porsche Logo on hood</x:v>
      </x:c>
      <x:c r="L459" s="82" t="str">
        <x:v>Gold Chrome PR5</x:v>
      </x:c>
      <x:c r="M459" s="82" t="str">
        <x:v>Black / Plastic</x:v>
      </x:c>
      <x:c r="N459" s="82" t="str">
        <x:v>Heavy smoke tint</x:v>
      </x:c>
      <x:c r="O459" s="82" t="str">
        <x:v>Black</x:v>
      </x:c>
      <x:c r="P459" s="82" t="str">
        <x:v>Malaysia</x:v>
      </x:c>
      <x:c r="Q459" s="82" t="str"/>
      <x:c r="R459" s="82" t="str">
        <x:v>Outra linha</x:v>
      </x:c>
      <x:c r="S459" s="82" t="str">
        <x:v>Incomum</x:v>
      </x:c>
      <x:c r="T459" s="82" t="str">
        <x:v>Lançado</x:v>
      </x:c>
      <x:c r="U459" s="82" t="str">
        <x:v>Black spoiler Avon Exclusive mail catalog</x:v>
      </x:c>
      <x:c r="V459" s="80" t="str">
        <x:v>Coleção principal (~1:64)</x:v>
      </x:c>
      <x:c r="W459" s="82" t="str">
        <x:v>https://hotwheels.fandom.com/wiki/Porsche_911_GT3_Cup</x:v>
      </x:c>
      <x:c r="X459" s="82" t="str">
        <x:v>https://hotwheels.fandom.com/wiki/Porsche_911_GT3_Cup</x:v>
      </x:c>
    </x:row>
    <x:row r="460">
      <x:c r="A460" s="80" t="str">
        <x:v>Não</x:v>
      </x:c>
      <x:c r="B460" s="80" t="str">
        <x:v>2 — Completar aos poucos</x:v>
      </x:c>
      <x:c r="C460" s="81" t="n">
        <x:v>2003</x:v>
      </x:c>
      <x:c r="D460" s="80" t="str">
        <x:v>Porsche 911 GT3 Cup</x:v>
      </x:c>
      <x:c r="E460" s="80" t="str">
        <x:v>Porsche 911 GT3 Cup</x:v>
      </x:c>
      <x:c r="F460" s="82" t="str">
        <x:v>Hall of Fame: Greatest Rides</x:v>
      </x:c>
      <x:c r="G460" s="80" t="str"/>
      <x:c r="H460" s="80" t="str"/>
      <x:c r="I460" s="83" t="str">
        <x:v>B0928</x:v>
      </x:c>
      <x:c r="J460" s="80" t="str">
        <x:v>Black</x:v>
      </x:c>
      <x:c r="K460" s="82" t="str">
        <x:v>Painted taillights, Porsche emblem on front</x:v>
      </x:c>
      <x:c r="L460" s="82" t="str">
        <x:v>PC5</x:v>
      </x:c>
      <x:c r="M460" s="82" t="str">
        <x:v>Black / Plastic</x:v>
      </x:c>
      <x:c r="N460" s="82" t="str">
        <x:v>Smoke tint</x:v>
      </x:c>
      <x:c r="O460" s="82" t="str">
        <x:v>Black</x:v>
      </x:c>
      <x:c r="P460" s="82" t="str">
        <x:v>Malaysia</x:v>
      </x:c>
      <x:c r="Q460" s="82" t="str"/>
      <x:c r="R460" s="82" t="str">
        <x:v>Outra linha</x:v>
      </x:c>
      <x:c r="S460" s="82" t="str">
        <x:v>Incomum</x:v>
      </x:c>
      <x:c r="T460" s="82" t="str">
        <x:v>Lançado</x:v>
      </x:c>
      <x:c r="U460" s="82" t="str"/>
      <x:c r="V460" s="80" t="str">
        <x:v>Coleção principal (~1:64)</x:v>
      </x:c>
      <x:c r="W460" s="82" t="str">
        <x:v>https://hotwheels.fandom.com/wiki/Porsche_911_GT3_Cup</x:v>
      </x:c>
      <x:c r="X460" s="82" t="str">
        <x:v>https://hotwheels.fandom.com/wiki/Porsche_911_GT3_Cup</x:v>
      </x:c>
    </x:row>
    <x:row r="461">
      <x:c r="A461" s="80" t="str">
        <x:v>Não</x:v>
      </x:c>
      <x:c r="B461" s="80" t="str">
        <x:v>2 — Completar aos poucos</x:v>
      </x:c>
      <x:c r="C461" s="81" t="n">
        <x:v>2003</x:v>
      </x:c>
      <x:c r="D461" s="80" t="str">
        <x:v>Porsche 911 GT3 Cup</x:v>
      </x:c>
      <x:c r="E461" s="80" t="str">
        <x:v>Porsche 911 GT3 Cup</x:v>
      </x:c>
      <x:c r="F461" s="82" t="str">
        <x:v>Hall of Fame: Greatest Rides</x:v>
      </x:c>
      <x:c r="G461" s="80" t="str"/>
      <x:c r="H461" s="80" t="str"/>
      <x:c r="I461" s="83" t="str">
        <x:v>B0928</x:v>
      </x:c>
      <x:c r="J461" s="80" t="str">
        <x:v>Green</x:v>
      </x:c>
      <x:c r="K461" s="82" t="str">
        <x:v>Painted taillights, Porsche emblem on front</x:v>
      </x:c>
      <x:c r="L461" s="82" t="str">
        <x:v>PC5</x:v>
      </x:c>
      <x:c r="M461" s="82" t="str">
        <x:v>Black / Plastic</x:v>
      </x:c>
      <x:c r="N461" s="82" t="str">
        <x:v>Smoke tint</x:v>
      </x:c>
      <x:c r="O461" s="82" t="str">
        <x:v>Black</x:v>
      </x:c>
      <x:c r="P461" s="82" t="str">
        <x:v>Malaysia</x:v>
      </x:c>
      <x:c r="Q461" s="82" t="str"/>
      <x:c r="R461" s="82" t="str">
        <x:v>Outra linha</x:v>
      </x:c>
      <x:c r="S461" s="82" t="str">
        <x:v>Incomum</x:v>
      </x:c>
      <x:c r="T461" s="82" t="str">
        <x:v>Lançado</x:v>
      </x:c>
      <x:c r="U461" s="82" t="str"/>
      <x:c r="V461" s="80" t="str">
        <x:v>Coleção principal (~1:64)</x:v>
      </x:c>
      <x:c r="W461" s="82" t="str">
        <x:v>https://hotwheels.fandom.com/wiki/Porsche_911_GT3_Cup</x:v>
      </x:c>
      <x:c r="X461" s="82" t="str">
        <x:v>https://hotwheels.fandom.com/wiki/Porsche_911_GT3_Cup</x:v>
      </x:c>
    </x:row>
    <x:row r="462">
      <x:c r="A462" s="80" t="str">
        <x:v>Não</x:v>
      </x:c>
      <x:c r="B462" s="80" t="str">
        <x:v>2 — Completar aos poucos</x:v>
      </x:c>
      <x:c r="C462" s="81" t="n">
        <x:v>2003</x:v>
      </x:c>
      <x:c r="D462" s="80" t="str">
        <x:v>Porsche 911 GT3 Cup</x:v>
      </x:c>
      <x:c r="E462" s="80" t="str">
        <x:v>Porsche 911 GT3 Cup</x:v>
      </x:c>
      <x:c r="F462" s="82" t="str">
        <x:v>Mainline</x:v>
      </x:c>
      <x:c r="G462" s="80" t="str"/>
      <x:c r="H462" s="80" t="str">
        <x:v>128</x:v>
      </x:c>
      <x:c r="I462" s="83" t="str">
        <x:v>57103</x:v>
      </x:c>
      <x:c r="J462" s="80" t="str">
        <x:v>Metallic Light Blue</x:v>
      </x:c>
      <x:c r="K462" s="82" t="str">
        <x:v>Orange, Black, Blue &amp; Gray graphics</x:v>
      </x:c>
      <x:c r="L462" s="82" t="str">
        <x:v>PR5</x:v>
      </x:c>
      <x:c r="M462" s="82" t="str">
        <x:v>Black / Plastic</x:v>
      </x:c>
      <x:c r="N462" s="82" t="str">
        <x:v>Smoke tint</x:v>
      </x:c>
      <x:c r="O462" s="82" t="str">
        <x:v>White</x:v>
      </x:c>
      <x:c r="P462" s="82" t="str">
        <x:v>Malaysia</x:v>
      </x:c>
      <x:c r="Q462" s="82" t="str"/>
      <x:c r="R462" s="82" t="str">
        <x:v>Mainline</x:v>
      </x:c>
      <x:c r="S462" s="82" t="str">
        <x:v>Incomum</x:v>
      </x:c>
      <x:c r="T462" s="82" t="str">
        <x:v>Lançado</x:v>
      </x:c>
      <x:c r="U462" s="82" t="str">
        <x:v>White spoiler</x:v>
      </x:c>
      <x:c r="V462" s="80" t="str">
        <x:v>Coleção principal (~1:64)</x:v>
      </x:c>
      <x:c r="W462" s="82" t="str">
        <x:v>https://hotwheels.fandom.com/wiki/Porsche_911_GT3_Cup</x:v>
      </x:c>
      <x:c r="X462" s="82" t="str">
        <x:v>https://hotwheels.fandom.com/wiki/Porsche_911_GT3_Cup</x:v>
      </x:c>
    </x:row>
    <x:row r="463">
      <x:c r="A463" s="80" t="str">
        <x:v>Não</x:v>
      </x:c>
      <x:c r="B463" s="80" t="str">
        <x:v>2 — Completar aos poucos</x:v>
      </x:c>
      <x:c r="C463" s="81" t="n">
        <x:v>2003</x:v>
      </x:c>
      <x:c r="D463" s="80" t="str">
        <x:v>Porsche 917KH</x:v>
      </x:c>
      <x:c r="E463" s="80" t="str">
        <x:v>Porsche 917KH</x:v>
      </x:c>
      <x:c r="F463" s="82" t="str">
        <x:v>100% Hot Wheels 1/32</x:v>
      </x:c>
      <x:c r="G463" s="80" t="str"/>
      <x:c r="H463" s="80" t="str"/>
      <x:c r="I463" s="83" t="str">
        <x:v>54539</x:v>
      </x:c>
      <x:c r="J463" s="80" t="str">
        <x:v>Yellow</x:v>
      </x:c>
      <x:c r="K463" s="82" t="str">
        <x:v>Red Stripes, '2'</x:v>
      </x:c>
      <x:c r="L463" s="82" t="str">
        <x:v>Firestone RR</x:v>
      </x:c>
      <x:c r="M463" s="82" t="str">
        <x:v>Black / Metal</x:v>
      </x:c>
      <x:c r="N463" s="82" t="str">
        <x:v>Clear</x:v>
      </x:c>
      <x:c r="O463" s="82" t="str">
        <x:v>Black</x:v>
      </x:c>
      <x:c r="P463" s="82" t="str">
        <x:v>China</x:v>
      </x:c>
      <x:c r="Q463" s="82" t="str"/>
      <x:c r="R463" s="82" t="str">
        <x:v>100% / Collectibles</x:v>
      </x:c>
      <x:c r="S463" s="82" t="str">
        <x:v>Incomum</x:v>
      </x:c>
      <x:c r="T463" s="82" t="str">
        <x:v>Lançado</x:v>
      </x:c>
      <x:c r="U463" s="82" t="str">
        <x:v>Production code(s): 2802ME</x:v>
      </x:c>
      <x:c r="V463" s="80" t="str">
        <x:v>Coleção principal (~1:64)</x:v>
      </x:c>
      <x:c r="W463" s="82" t="str">
        <x:v>https://hotwheels.fandom.com/wiki/Porsche_917KH</x:v>
      </x:c>
      <x:c r="X463" s="82" t="str">
        <x:v>https://hotwheels.fandom.com/wiki/Porsche_917KH</x:v>
      </x:c>
    </x:row>
    <x:row r="464">
      <x:c r="A464" s="80" t="str">
        <x:v>Não</x:v>
      </x:c>
      <x:c r="B464" s="80" t="str">
        <x:v>2 — Completar aos poucos</x:v>
      </x:c>
      <x:c r="C464" s="81" t="n">
        <x:v>2003</x:v>
      </x:c>
      <x:c r="D464" s="80" t="str">
        <x:v>Porsche 930 Turbo</x:v>
      </x:c>
      <x:c r="E464" s="80" t="str">
        <x:v>Porsche 930 Turbo</x:v>
      </x:c>
      <x:c r="F464" s="82" t="str">
        <x:v>100% Preferred: Motor Trend Magazine / 1/4</x:v>
      </x:c>
      <x:c r="G464" s="80" t="str"/>
      <x:c r="H464" s="80" t="str"/>
      <x:c r="I464" s="83" t="str">
        <x:v>56575</x:v>
      </x:c>
      <x:c r="J464" s="80" t="str">
        <x:v>Silver</x:v>
      </x:c>
      <x:c r="K464" s="82" t="str">
        <x:v>Black Stripe on side and Porsche logo on hood</x:v>
      </x:c>
      <x:c r="L464" s="82" t="str">
        <x:v>RR</x:v>
      </x:c>
      <x:c r="M464" s="82" t="str">
        <x:v>Black / / / Metal</x:v>
      </x:c>
      <x:c r="N464" s="82" t="str">
        <x:v>Clear</x:v>
      </x:c>
      <x:c r="O464" s="82" t="str">
        <x:v>Black</x:v>
      </x:c>
      <x:c r="P464" s="82" t="str">
        <x:v>China</x:v>
      </x:c>
      <x:c r="Q464" s="82" t="str"/>
      <x:c r="R464" s="82" t="str">
        <x:v>Outra linha</x:v>
      </x:c>
      <x:c r="S464" s="82" t="str">
        <x:v>Incomum</x:v>
      </x:c>
      <x:c r="T464" s="82" t="str">
        <x:v>Lançado</x:v>
      </x:c>
      <x:c r="U464" s="82" t="str"/>
      <x:c r="V464" s="80" t="str">
        <x:v>Coleção principal (~1:64)</x:v>
      </x:c>
      <x:c r="W464" s="82" t="str">
        <x:v>https://hotwheels.fandom.com/wiki/Porsche_930_Turbo</x:v>
      </x:c>
      <x:c r="X464" s="82" t="str">
        <x:v>https://hotwheels.fandom.com/wiki/Porsche_930_Turbo</x:v>
      </x:c>
    </x:row>
    <x:row r="465">
      <x:c r="A465" s="80" t="str">
        <x:v>Não</x:v>
      </x:c>
      <x:c r="B465" s="80" t="str">
        <x:v>2 — Completar aos poucos</x:v>
      </x:c>
      <x:c r="C465" s="81" t="n">
        <x:v>2003</x:v>
      </x:c>
      <x:c r="D465" s="80" t="str">
        <x:v>Porsche 930 Turbo</x:v>
      </x:c>
      <x:c r="E465" s="80" t="str">
        <x:v>Porsche 930 Turbo</x:v>
      </x:c>
      <x:c r="F465" s="82" t="str">
        <x:v>100% Preferred: Motor Trend Magazine / 1/4</x:v>
      </x:c>
      <x:c r="G465" s="80" t="str"/>
      <x:c r="H465" s="80" t="str"/>
      <x:c r="I465" s="83" t="str">
        <x:v>56575</x:v>
      </x:c>
      <x:c r="J465" s="80" t="str">
        <x:v>Yellow</x:v>
      </x:c>
      <x:c r="K465" s="82" t="str">
        <x:v>Black Stripe on side and Porsche logo on hood</x:v>
      </x:c>
      <x:c r="L465" s="82" t="str">
        <x:v>RR</x:v>
      </x:c>
      <x:c r="M465" s="82" t="str">
        <x:v>Black / / / Metal</x:v>
      </x:c>
      <x:c r="N465" s="82" t="str">
        <x:v>Clear</x:v>
      </x:c>
      <x:c r="O465" s="82" t="str">
        <x:v>Black</x:v>
      </x:c>
      <x:c r="P465" s="82" t="str">
        <x:v>China</x:v>
      </x:c>
      <x:c r="Q465" s="82" t="str"/>
      <x:c r="R465" s="82" t="str">
        <x:v>Outra linha</x:v>
      </x:c>
      <x:c r="S465" s="82" t="str">
        <x:v>Incomum</x:v>
      </x:c>
      <x:c r="T465" s="82" t="str">
        <x:v>Lançado</x:v>
      </x:c>
      <x:c r="U465" s="82" t="str"/>
      <x:c r="V465" s="80" t="str">
        <x:v>Coleção principal (~1:64)</x:v>
      </x:c>
      <x:c r="W465" s="82" t="str">
        <x:v>https://hotwheels.fandom.com/wiki/Porsche_930_Turbo</x:v>
      </x:c>
      <x:c r="X465" s="82" t="str">
        <x:v>https://hotwheels.fandom.com/wiki/Porsche_930_Turbo</x:v>
      </x:c>
    </x:row>
    <x:row r="466">
      <x:c r="A466" s="80" t="str">
        <x:v>Não</x:v>
      </x:c>
      <x:c r="B466" s="80" t="str">
        <x:v>2 — Completar aos poucos</x:v>
      </x:c>
      <x:c r="C466" s="81" t="n">
        <x:v>2003</x:v>
      </x:c>
      <x:c r="D466" s="80" t="str">
        <x:v>Porsche 959</x:v>
      </x:c>
      <x:c r="E466" s="80" t="str">
        <x:v>Porsche 959</x:v>
      </x:c>
      <x:c r="F466" s="82" t="str">
        <x:v>Treasure Hunt 6/12</x:v>
      </x:c>
      <x:c r="G466" s="80" t="str"/>
      <x:c r="H466" s="80" t="str">
        <x:v>06/220</x:v>
      </x:c>
      <x:c r="I466" s="83" t="str">
        <x:v>57005</x:v>
      </x:c>
      <x:c r="J466" s="80" t="str">
        <x:v>Metallic Silver</x:v>
      </x:c>
      <x:c r="K466" s="82" t="str">
        <x:v>Gold Flames &amp; "959" on Sides, TH Logo on Hood</x:v>
      </x:c>
      <x:c r="L466" s="82" t="str">
        <x:v>CDDRR</x:v>
      </x:c>
      <x:c r="M466" s="82" t="str">
        <x:v>Unpainted / Metal</x:v>
      </x:c>
      <x:c r="N466" s="82" t="str">
        <x:v>Purple Tinted</x:v>
      </x:c>
      <x:c r="O466" s="82" t="str">
        <x:v>Black</x:v>
      </x:c>
      <x:c r="P466" s="82" t="str">
        <x:v>Malaysia</x:v>
      </x:c>
      <x:c r="Q466" s="82" t="str">
        <x:v>Treasure Hunt</x:v>
      </x:c>
      <x:c r="R466" s="82" t="str">
        <x:v>Mainline especial</x:v>
      </x:c>
      <x:c r="S466" s="82" t="str">
        <x:v>Rara</x:v>
      </x:c>
      <x:c r="T466" s="82" t="str">
        <x:v>Lançado</x:v>
      </x:c>
      <x:c r="U466" s="82" t="str"/>
      <x:c r="V466" s="80" t="str">
        <x:v>Coleção principal (~1:64)</x:v>
      </x:c>
      <x:c r="W466" s="82" t="str">
        <x:v>https://hotwheels.fandom.com/wiki/Porsche_959</x:v>
      </x:c>
      <x:c r="X466" s="82" t="str">
        <x:v>https://hotwheels.fandom.com/wiki/Porsche_959</x:v>
      </x:c>
    </x:row>
    <x:row r="467">
      <x:c r="A467" s="80" t="str">
        <x:v>Não</x:v>
      </x:c>
      <x:c r="B467" s="80" t="str">
        <x:v>2 — Completar aos poucos</x:v>
      </x:c>
      <x:c r="C467" s="81" t="n">
        <x:v>2002</x:v>
      </x:c>
      <x:c r="D467" s="80" t="str">
        <x:v>P-928</x:v>
      </x:c>
      <x:c r="E467" s="80" t="str">
        <x:v>P-928</x:v>
      </x:c>
      <x:c r="F467" s="82" t="str">
        <x:v>Final Run / 1/12</x:v>
      </x:c>
      <x:c r="G467" s="80" t="str"/>
      <x:c r="H467" s="80" t="str"/>
      <x:c r="I467" s="83" t="str">
        <x:v>55811</x:v>
      </x:c>
      <x:c r="J467" s="80" t="str">
        <x:v>Black</x:v>
      </x:c>
      <x:c r="K467" s="82" t="str">
        <x:v>Silver pinstripes, headlights, side markers, tailights, "PORSCHE" &amp; plate "FR" "GR8 928"</x:v>
      </x:c>
      <x:c r="L467" s="82" t="str">
        <x:v>PC5</x:v>
      </x:c>
      <x:c r="M467" s="82" t="str">
        <x:v>Black / / / Metal</x:v>
      </x:c>
      <x:c r="N467" s="82" t="str">
        <x:v>Chrome / Final run, 2002 &amp; flames</x:v>
      </x:c>
      <x:c r="O467" s="82" t="str"/>
      <x:c r="P467" s="82" t="str">
        <x:v>Thailand</x:v>
      </x:c>
      <x:c r="Q467" s="82" t="str"/>
      <x:c r="R467" s="82" t="str">
        <x:v>Outra linha</x:v>
      </x:c>
      <x:c r="S467" s="82" t="str">
        <x:v>Incomum</x:v>
      </x:c>
      <x:c r="T467" s="82" t="str">
        <x:v>Lançado</x:v>
      </x:c>
      <x:c r="U467" s="82" t="str">
        <x:v>Named "Porsche 928"</x:v>
      </x:c>
      <x:c r="V467" s="80" t="str">
        <x:v>Coleção principal (~1:64)</x:v>
      </x:c>
      <x:c r="W467" s="82" t="str">
        <x:v>https://hotwheels.fandom.com/wiki/P-928</x:v>
      </x:c>
      <x:c r="X467" s="82" t="str">
        <x:v>https://hotwheels.fandom.com/wiki/P-928</x:v>
      </x:c>
    </x:row>
    <x:row r="468">
      <x:c r="A468" s="80" t="str">
        <x:v>Não</x:v>
      </x:c>
      <x:c r="B468" s="80" t="str">
        <x:v>2 — Completar aos poucos</x:v>
      </x:c>
      <x:c r="C468" s="81" t="n">
        <x:v>2002</x:v>
      </x:c>
      <x:c r="D468" s="80" t="str">
        <x:v>P-928</x:v>
      </x:c>
      <x:c r="E468" s="80" t="str">
        <x:v>P-928</x:v>
      </x:c>
      <x:c r="F468" s="82" t="str">
        <x:v>Final Run 1/12</x:v>
      </x:c>
      <x:c r="G468" s="80" t="str"/>
      <x:c r="H468" s="80" t="str"/>
      <x:c r="I468" s="83" t="str">
        <x:v>55811</x:v>
      </x:c>
      <x:c r="J468" s="80" t="str">
        <x:v>Black</x:v>
      </x:c>
      <x:c r="K468" s="82" t="str">
        <x:v>Silver pinstripes, headlights, side markers, tailights, "PORSCHE" &amp; plate "FR" "GR8 928"</x:v>
      </x:c>
      <x:c r="L468" s="82" t="str">
        <x:v>PC5</x:v>
      </x:c>
      <x:c r="M468" s="82" t="str">
        <x:v>Black / Metal</x:v>
      </x:c>
      <x:c r="N468" s="82" t="str">
        <x:v>Chrome Final run, 2002 &amp; flames</x:v>
      </x:c>
      <x:c r="O468" s="82" t="str"/>
      <x:c r="P468" s="82" t="str">
        <x:v>Thailand</x:v>
      </x:c>
      <x:c r="Q468" s="82" t="str"/>
      <x:c r="R468" s="82" t="str">
        <x:v>Outra linha</x:v>
      </x:c>
      <x:c r="S468" s="82" t="str">
        <x:v>Incomum</x:v>
      </x:c>
      <x:c r="T468" s="82" t="str">
        <x:v>Lançado</x:v>
      </x:c>
      <x:c r="U468" s="82" t="str">
        <x:v>Named "Porsche 928"</x:v>
      </x:c>
      <x:c r="V468" s="80" t="str">
        <x:v>Coleção principal (~1:64)</x:v>
      </x:c>
      <x:c r="W468" s="82" t="str">
        <x:v>https://hotwheels.fandom.com/wiki/P-928</x:v>
      </x:c>
      <x:c r="X468" s="82" t="str">
        <x:v>https://hotwheels.fandom.com/wiki/P-928</x:v>
      </x:c>
    </x:row>
    <x:row r="469">
      <x:c r="A469" s="80" t="str">
        <x:v>Não</x:v>
      </x:c>
      <x:c r="B469" s="80" t="str">
        <x:v>2 — Completar aos poucos</x:v>
      </x:c>
      <x:c r="C469" s="81" t="n">
        <x:v>2002</x:v>
      </x:c>
      <x:c r="D469" s="80" t="str">
        <x:v>Porsche 911 Carrera</x:v>
      </x:c>
      <x:c r="E469" s="80" t="str">
        <x:v>Porsche 911 Carrera</x:v>
      </x:c>
      <x:c r="F469" s="82" t="str">
        <x:v>Mainline</x:v>
      </x:c>
      <x:c r="G469" s="80" t="str"/>
      <x:c r="H469" s="80" t="str">
        <x:v>130</x:v>
      </x:c>
      <x:c r="I469" s="83" t="str">
        <x:v>55015</x:v>
      </x:c>
      <x:c r="J469" s="80" t="str">
        <x:v>Metalflake Dark Blue</x:v>
      </x:c>
      <x:c r="K469" s="82" t="str">
        <x:v>Black, Red &amp; Silver flames on the sides.</x:v>
      </x:c>
      <x:c r="L469" s="82" t="str">
        <x:v>3SP</x:v>
      </x:c>
      <x:c r="M469" s="82" t="str">
        <x:v>Metalflake Silver / Metal</x:v>
      </x:c>
      <x:c r="N469" s="82" t="str">
        <x:v>Amber Tinted</x:v>
      </x:c>
      <x:c r="O469" s="82" t="str">
        <x:v>White</x:v>
      </x:c>
      <x:c r="P469" s="82" t="str">
        <x:v>China</x:v>
      </x:c>
      <x:c r="Q469" s="82" t="str"/>
      <x:c r="R469" s="82" t="str">
        <x:v>Mainline</x:v>
      </x:c>
      <x:c r="S469" s="82" t="str">
        <x:v>Incomum</x:v>
      </x:c>
      <x:c r="T469" s="82" t="str">
        <x:v>Lançado</x:v>
      </x:c>
      <x:c r="U469" s="82" t="str"/>
      <x:c r="V469" s="80" t="str">
        <x:v>Coleção principal (~1:64)</x:v>
      </x:c>
      <x:c r="W469" s="82" t="str">
        <x:v>https://hotwheels.fandom.com/wiki/Porsche_911_Carrera</x:v>
      </x:c>
      <x:c r="X469" s="82" t="str">
        <x:v>https://hotwheels.fandom.com/wiki/Porsche_911_Carrera</x:v>
      </x:c>
    </x:row>
    <x:row r="470">
      <x:c r="A470" s="80" t="str">
        <x:v>Não</x:v>
      </x:c>
      <x:c r="B470" s="80" t="str">
        <x:v>2 — Completar aos poucos</x:v>
      </x:c>
      <x:c r="C470" s="81" t="n">
        <x:v>2002</x:v>
      </x:c>
      <x:c r="D470" s="80" t="str">
        <x:v>Porsche 911 GT1-98</x:v>
      </x:c>
      <x:c r="E470" s="80" t="str">
        <x:v>Porsche 911 GT1-98</x:v>
      </x:c>
      <x:c r="F470" s="82" t="str">
        <x:v>Mainline</x:v>
      </x:c>
      <x:c r="G470" s="80" t="str"/>
      <x:c r="H470" s="80" t="str">
        <x:v>135</x:v>
      </x:c>
      <x:c r="I470" s="83" t="str">
        <x:v>55020</x:v>
      </x:c>
      <x:c r="J470" s="80" t="str">
        <x:v>Orange</x:v>
      </x:c>
      <x:c r="K470" s="82" t="str">
        <x:v>Metalflake orange, yellow (5)</x:v>
      </x:c>
      <x:c r="L470" s="82" t="str">
        <x:v>LW</x:v>
      </x:c>
      <x:c r="M470" s="82" t="str">
        <x:v>Black / Plastic</x:v>
      </x:c>
      <x:c r="N470" s="82" t="str">
        <x:v>Clear</x:v>
      </x:c>
      <x:c r="O470" s="82" t="str">
        <x:v>Grey</x:v>
      </x:c>
      <x:c r="P470" s="82" t="str">
        <x:v>Malaysia</x:v>
      </x:c>
      <x:c r="Q470" s="82" t="str"/>
      <x:c r="R470" s="82" t="str">
        <x:v>Mainline</x:v>
      </x:c>
      <x:c r="S470" s="82" t="str">
        <x:v>Incomum</x:v>
      </x:c>
      <x:c r="T470" s="82" t="str">
        <x:v>Lançado</x:v>
      </x:c>
      <x:c r="U470" s="82" t="str"/>
      <x:c r="V470" s="80" t="str">
        <x:v>Coleção principal (~1:64)</x:v>
      </x:c>
      <x:c r="W470" s="82" t="str">
        <x:v>https://hotwheels.fandom.com/wiki/Porsche_911_GT1-98</x:v>
      </x:c>
      <x:c r="X470" s="82" t="str">
        <x:v>https://hotwheels.fandom.com/wiki/Porsche_911_GT1-98</x:v>
      </x:c>
    </x:row>
    <x:row r="471">
      <x:c r="A471" s="80" t="str">
        <x:v>Não</x:v>
      </x:c>
      <x:c r="B471" s="80" t="str">
        <x:v>2 — Completar aos poucos</x:v>
      </x:c>
      <x:c r="C471" s="81" t="n">
        <x:v>2002</x:v>
      </x:c>
      <x:c r="D471" s="80" t="str">
        <x:v>Porsche 911 Targa</x:v>
      </x:c>
      <x:c r="E471" s="80" t="str">
        <x:v>Porsche 911 Targa</x:v>
      </x:c>
      <x:c r="F471" s="82" t="str">
        <x:v>Ultimate Service Center</x:v>
      </x:c>
      <x:c r="G471" s="80" t="str"/>
      <x:c r="H471" s="80" t="str"/>
      <x:c r="I471" s="83" t="str">
        <x:v>47084</x:v>
      </x:c>
      <x:c r="J471" s="80" t="str">
        <x:v>Metalflake Silver</x:v>
      </x:c>
      <x:c r="K471" s="82" t="str">
        <x:v>Red HW logo on rear window</x:v>
      </x:c>
      <x:c r="L471" s="82" t="str">
        <x:v>5SP</x:v>
      </x:c>
      <x:c r="M471" s="82" t="str">
        <x:v>Black / Plastic</x:v>
      </x:c>
      <x:c r="N471" s="82" t="str">
        <x:v>Clear</x:v>
      </x:c>
      <x:c r="O471" s="82" t="str">
        <x:v>Black</x:v>
      </x:c>
      <x:c r="P471" s="82" t="str"/>
      <x:c r="Q471" s="82" t="str"/>
      <x:c r="R471" s="82" t="str">
        <x:v>Outra linha</x:v>
      </x:c>
      <x:c r="S471" s="82" t="str">
        <x:v>Incomum</x:v>
      </x:c>
      <x:c r="T471" s="82" t="str">
        <x:v>Lançado</x:v>
      </x:c>
      <x:c r="U471" s="82" t="str"/>
      <x:c r="V471" s="80" t="str">
        <x:v>Coleção principal (~1:64)</x:v>
      </x:c>
      <x:c r="W471" s="82" t="str">
        <x:v>https://hotwheels.fandom.com/wiki/Porsche_911_Targa</x:v>
      </x:c>
      <x:c r="X471" s="82" t="str">
        <x:v>https://hotwheels.fandom.com/wiki/Porsche_911_Targa</x:v>
      </x:c>
    </x:row>
    <x:row r="472">
      <x:c r="A472" s="80" t="str">
        <x:v>Não</x:v>
      </x:c>
      <x:c r="B472" s="80" t="str">
        <x:v>2 — Completar aos poucos</x:v>
      </x:c>
      <x:c r="C472" s="81" t="n">
        <x:v>2002</x:v>
      </x:c>
      <x:c r="D472" s="80" t="str">
        <x:v>Porsche 959</x:v>
      </x:c>
      <x:c r="E472" s="80" t="str">
        <x:v>Porsche 959</x:v>
      </x:c>
      <x:c r="F472" s="82" t="str">
        <x:v>Mainline</x:v>
      </x:c>
      <x:c r="G472" s="80" t="str"/>
      <x:c r="H472" s="80" t="str">
        <x:v>148/240</x:v>
      </x:c>
      <x:c r="I472" s="83" t="str">
        <x:v>55033</x:v>
      </x:c>
      <x:c r="J472" s="80" t="str">
        <x:v>Red</x:v>
      </x:c>
      <x:c r="K472" s="82" t="str">
        <x:v>Black, Orange &amp; Yellow graphicss, HW Logo on Passenger side only, Twin Turbo on Wing</x:v>
      </x:c>
      <x:c r="L472" s="82" t="str">
        <x:v>5SP</x:v>
      </x:c>
      <x:c r="M472" s="82" t="str">
        <x:v>Unpainted / Metal</x:v>
      </x:c>
      <x:c r="N472" s="82" t="str">
        <x:v>Tinted</x:v>
      </x:c>
      <x:c r="O472" s="82" t="str">
        <x:v>white</x:v>
      </x:c>
      <x:c r="P472" s="82" t="str">
        <x:v>Thailand</x:v>
      </x:c>
      <x:c r="Q472" s="82" t="str"/>
      <x:c r="R472" s="82" t="str">
        <x:v>Mainline</x:v>
      </x:c>
      <x:c r="S472" s="82" t="str">
        <x:v>Incomum</x:v>
      </x:c>
      <x:c r="T472" s="82" t="str">
        <x:v>Lançado</x:v>
      </x:c>
      <x:c r="U472" s="82" t="str">
        <x:v>HW Logo on Passenger Side Door ONLY</x:v>
      </x:c>
      <x:c r="V472" s="80" t="str">
        <x:v>Coleção principal (~1:64)</x:v>
      </x:c>
      <x:c r="W472" s="82" t="str">
        <x:v>https://hotwheels.fandom.com/wiki/Porsche_959</x:v>
      </x:c>
      <x:c r="X472" s="82" t="str">
        <x:v>https://hotwheels.fandom.com/wiki/Porsche_959</x:v>
      </x:c>
    </x:row>
    <x:row r="473">
      <x:c r="A473" s="80" t="str">
        <x:v>Não</x:v>
      </x:c>
      <x:c r="B473" s="80" t="str">
        <x:v>2 — Completar aos poucos</x:v>
      </x:c>
      <x:c r="C473" s="81" t="n">
        <x:v>2001</x:v>
      </x:c>
      <x:c r="D473" s="80" t="str">
        <x:v>P-911</x:v>
      </x:c>
      <x:c r="E473" s="80" t="str">
        <x:v>P-911</x:v>
      </x:c>
      <x:c r="F473" s="82" t="str">
        <x:v>Final Run / 6/12</x:v>
      </x:c>
      <x:c r="G473" s="80" t="str"/>
      <x:c r="H473" s="80" t="str"/>
      <x:c r="I473" s="83" t="str"/>
      <x:c r="J473" s="80" t="str">
        <x:v>Metalflake Blue</x:v>
      </x:c>
      <x:c r="K473" s="82" t="str">
        <x:v>Silver trim &amp; "Final Run" tampos</x:v>
      </x:c>
      <x:c r="L473" s="82" t="str">
        <x:v>Gold PC5</x:v>
      </x:c>
      <x:c r="M473" s="82" t="str">
        <x:v>Metalflake Blue / / / Metal</x:v>
      </x:c>
      <x:c r="N473" s="82" t="str">
        <x:v>Black tint</x:v>
      </x:c>
      <x:c r="O473" s="82" t="str">
        <x:v>Black</x:v>
      </x:c>
      <x:c r="P473" s="82" t="str">
        <x:v>Thailand</x:v>
      </x:c>
      <x:c r="Q473" s="82" t="str"/>
      <x:c r="R473" s="82" t="str">
        <x:v>Outra linha</x:v>
      </x:c>
      <x:c r="S473" s="82" t="str">
        <x:v>Incomum</x:v>
      </x:c>
      <x:c r="T473" s="82" t="str">
        <x:v>Lançado</x:v>
      </x:c>
      <x:c r="U473" s="82" t="str"/>
      <x:c r="V473" s="80" t="str">
        <x:v>Coleção principal (~1:64)</x:v>
      </x:c>
      <x:c r="W473" s="82" t="str">
        <x:v>https://hotwheels.fandom.com/wiki/P-911</x:v>
      </x:c>
      <x:c r="X473" s="82" t="str">
        <x:v>https://hotwheels.fandom.com/wiki/P-911</x:v>
      </x:c>
    </x:row>
    <x:row r="474">
      <x:c r="A474" s="80" t="str">
        <x:v>Não</x:v>
      </x:c>
      <x:c r="B474" s="80" t="str">
        <x:v>2 — Completar aos poucos</x:v>
      </x:c>
      <x:c r="C474" s="81" t="n">
        <x:v>2001</x:v>
      </x:c>
      <x:c r="D474" s="80" t="str">
        <x:v>P-911</x:v>
      </x:c>
      <x:c r="E474" s="80" t="str">
        <x:v>P-911</x:v>
      </x:c>
      <x:c r="F474" s="82" t="str">
        <x:v>Final Run 6/12</x:v>
      </x:c>
      <x:c r="G474" s="80" t="str"/>
      <x:c r="H474" s="80" t="str"/>
      <x:c r="I474" s="83" t="str"/>
      <x:c r="J474" s="80" t="str">
        <x:v>Metalflake Blue</x:v>
      </x:c>
      <x:c r="K474" s="82" t="str">
        <x:v>Silver trim &amp; "Final Run" tampos</x:v>
      </x:c>
      <x:c r="L474" s="82" t="str">
        <x:v>Gold PC5</x:v>
      </x:c>
      <x:c r="M474" s="82" t="str">
        <x:v>Metalflake Blue / Metal</x:v>
      </x:c>
      <x:c r="N474" s="82" t="str">
        <x:v>Smoke tint</x:v>
      </x:c>
      <x:c r="O474" s="82" t="str">
        <x:v>Black</x:v>
      </x:c>
      <x:c r="P474" s="82" t="str">
        <x:v>Thailand</x:v>
      </x:c>
      <x:c r="Q474" s="82" t="str"/>
      <x:c r="R474" s="82" t="str">
        <x:v>Outra linha</x:v>
      </x:c>
      <x:c r="S474" s="82" t="str">
        <x:v>Incomum</x:v>
      </x:c>
      <x:c r="T474" s="82" t="str">
        <x:v>Lançado</x:v>
      </x:c>
      <x:c r="U474" s="82" t="str"/>
      <x:c r="V474" s="80" t="str">
        <x:v>Coleção principal (~1:64)</x:v>
      </x:c>
      <x:c r="W474" s="82" t="str">
        <x:v>https://hotwheels.fandom.com/wiki/P-911</x:v>
      </x:c>
      <x:c r="X474" s="82" t="str">
        <x:v>https://hotwheels.fandom.com/wiki/P-911</x:v>
      </x:c>
    </x:row>
    <x:row r="475">
      <x:c r="A475" s="80" t="str">
        <x:v>Não</x:v>
      </x:c>
      <x:c r="B475" s="80" t="str">
        <x:v>2 — Completar aos poucos</x:v>
      </x:c>
      <x:c r="C475" s="81" t="n">
        <x:v>2001</x:v>
      </x:c>
      <x:c r="D475" s="80" t="str">
        <x:v>P-928</x:v>
      </x:c>
      <x:c r="E475" s="80" t="str">
        <x:v>P-928</x:v>
      </x:c>
      <x:c r="F475" s="82" t="str">
        <x:v>Mainline</x:v>
      </x:c>
      <x:c r="G475" s="80" t="str"/>
      <x:c r="H475" s="80" t="str">
        <x:v>103</x:v>
      </x:c>
      <x:c r="I475" s="83" t="str">
        <x:v>50633</x:v>
      </x:c>
      <x:c r="J475" s="80" t="str">
        <x:v>Metalflake Green</x:v>
      </x:c>
      <x:c r="K475" s="82" t="str">
        <x:v>Red, Black &amp; Yellow tampos</x:v>
      </x:c>
      <x:c r="L475" s="82" t="str">
        <x:v>5DOT</x:v>
      </x:c>
      <x:c r="M475" s="82" t="str">
        <x:v>Silver / Metal</x:v>
      </x:c>
      <x:c r="N475" s="82" t="str">
        <x:v>Solid Black</x:v>
      </x:c>
      <x:c r="O475" s="82" t="str"/>
      <x:c r="P475" s="82" t="str">
        <x:v>China</x:v>
      </x:c>
      <x:c r="Q475" s="82" t="str"/>
      <x:c r="R475" s="82" t="str">
        <x:v>Mainline</x:v>
      </x:c>
      <x:c r="S475" s="82" t="str">
        <x:v>Incomum</x:v>
      </x:c>
      <x:c r="T475" s="82" t="str">
        <x:v>Lançado</x:v>
      </x:c>
      <x:c r="U475" s="82" t="str">
        <x:v>named "Porsche 928"</x:v>
      </x:c>
      <x:c r="V475" s="80" t="str">
        <x:v>Coleção principal (~1:64)</x:v>
      </x:c>
      <x:c r="W475" s="82" t="str">
        <x:v>https://hotwheels.fandom.com/wiki/P-928</x:v>
      </x:c>
      <x:c r="X475" s="82" t="str">
        <x:v>https://hotwheels.fandom.com/wiki/P-928</x:v>
      </x:c>
    </x:row>
    <x:row r="476">
      <x:c r="A476" s="80" t="str">
        <x:v>Não</x:v>
      </x:c>
      <x:c r="B476" s="80" t="str">
        <x:v>2 — Completar aos poucos</x:v>
      </x:c>
      <x:c r="C476" s="81" t="n">
        <x:v>2001</x:v>
      </x:c>
      <x:c r="D476" s="80" t="str">
        <x:v>Porsche 911 GT3 Cup</x:v>
      </x:c>
      <x:c r="E476" s="80" t="str">
        <x:v>Porsche 911 GT3 Cup</x:v>
      </x:c>
      <x:c r="F476" s="82" t="str">
        <x:v>Mainline</x:v>
      </x:c>
      <x:c r="G476" s="80" t="str"/>
      <x:c r="H476" s="80" t="str">
        <x:v>214</x:v>
      </x:c>
      <x:c r="I476" s="83" t="str">
        <x:v>53743</x:v>
      </x:c>
      <x:c r="J476" s="80" t="str">
        <x:v>Metalflake Pearl Orange</x:v>
      </x:c>
      <x:c r="K476" s="82" t="str">
        <x:v>Blue, White, Hot Wheels, "1"</x:v>
      </x:c>
      <x:c r="L476" s="82" t="str">
        <x:v>3SP</x:v>
      </x:c>
      <x:c r="M476" s="82" t="str">
        <x:v>Black / Plastic</x:v>
      </x:c>
      <x:c r="N476" s="82" t="str">
        <x:v>Smoke tint</x:v>
      </x:c>
      <x:c r="O476" s="82" t="str">
        <x:v>Blue</x:v>
      </x:c>
      <x:c r="P476" s="82" t="str">
        <x:v>Malaysia</x:v>
      </x:c>
      <x:c r="Q476" s="82" t="str"/>
      <x:c r="R476" s="82" t="str">
        <x:v>Mainline</x:v>
      </x:c>
      <x:c r="S476" s="82" t="str">
        <x:v>Incomum</x:v>
      </x:c>
      <x:c r="T476" s="82" t="str">
        <x:v>Lançado</x:v>
      </x:c>
      <x:c r="U476" s="82" t="str"/>
      <x:c r="V476" s="80" t="str">
        <x:v>Coleção principal (~1:64)</x:v>
      </x:c>
      <x:c r="W476" s="82" t="str">
        <x:v>https://hotwheels.fandom.com/wiki/Porsche_911_GT3_Cup</x:v>
      </x:c>
      <x:c r="X476" s="82" t="str">
        <x:v>https://hotwheels.fandom.com/wiki/Porsche_911_GT3_Cup</x:v>
      </x:c>
    </x:row>
    <x:row r="477">
      <x:c r="A477" s="80" t="str">
        <x:v>Não</x:v>
      </x:c>
      <x:c r="B477" s="80" t="str">
        <x:v>2 — Completar aos poucos</x:v>
      </x:c>
      <x:c r="C477" s="81" t="n">
        <x:v>2001</x:v>
      </x:c>
      <x:c r="D477" s="80" t="str">
        <x:v>Porsche 911 GT3 Cup</x:v>
      </x:c>
      <x:c r="E477" s="80" t="str">
        <x:v>Porsche 911 GT3 Cup</x:v>
      </x:c>
      <x:c r="F477" s="82" t="str">
        <x:v>Mainline</x:v>
      </x:c>
      <x:c r="G477" s="80" t="str"/>
      <x:c r="H477" s="80" t="str">
        <x:v>214</x:v>
      </x:c>
      <x:c r="I477" s="83" t="str">
        <x:v>53743</x:v>
      </x:c>
      <x:c r="J477" s="80" t="str">
        <x:v>Metalflake Pearl Orange</x:v>
      </x:c>
      <x:c r="K477" s="82" t="str">
        <x:v>Blue, White, Hot Wheels, "1"</x:v>
      </x:c>
      <x:c r="L477" s="82" t="str">
        <x:v>PR5</x:v>
      </x:c>
      <x:c r="M477" s="82" t="str">
        <x:v>Black / Plastic</x:v>
      </x:c>
      <x:c r="N477" s="82" t="str">
        <x:v>Smoke tint</x:v>
      </x:c>
      <x:c r="O477" s="82" t="str">
        <x:v>Blue</x:v>
      </x:c>
      <x:c r="P477" s="82" t="str">
        <x:v>Malaysia</x:v>
      </x:c>
      <x:c r="Q477" s="82" t="str"/>
      <x:c r="R477" s="82" t="str">
        <x:v>Mainline</x:v>
      </x:c>
      <x:c r="S477" s="82" t="str">
        <x:v>Incomum</x:v>
      </x:c>
      <x:c r="T477" s="82" t="str">
        <x:v>Lançado</x:v>
      </x:c>
      <x:c r="U477" s="82" t="str">
        <x:v>911 GT3 CUP on base</x:v>
      </x:c>
      <x:c r="V477" s="80" t="str">
        <x:v>Coleção principal (~1:64)</x:v>
      </x:c>
      <x:c r="W477" s="82" t="str">
        <x:v>https://hotwheels.fandom.com/wiki/Porsche_911_GT3_Cup</x:v>
      </x:c>
      <x:c r="X477" s="82" t="str">
        <x:v>https://hotwheels.fandom.com/wiki/Porsche_911_GT3_Cup</x:v>
      </x:c>
    </x:row>
    <x:row r="478">
      <x:c r="A478" s="80" t="str">
        <x:v>Não</x:v>
      </x:c>
      <x:c r="B478" s="80" t="str">
        <x:v>2 — Completar aos poucos</x:v>
      </x:c>
      <x:c r="C478" s="81" t="n">
        <x:v>2001</x:v>
      </x:c>
      <x:c r="D478" s="80" t="str">
        <x:v>Porsche 911 Targa</x:v>
      </x:c>
      <x:c r="E478" s="80" t="str">
        <x:v>Porsche 911 Targa</x:v>
      </x:c>
      <x:c r="F478" s="82" t="str">
        <x:v>Pavement Pounders</x:v>
      </x:c>
      <x:c r="G478" s="80" t="str"/>
      <x:c r="H478" s="80" t="str"/>
      <x:c r="I478" s="83" t="str">
        <x:v>89283</x:v>
      </x:c>
      <x:c r="J478" s="80" t="str">
        <x:v>Metalflake Silver</x:v>
      </x:c>
      <x:c r="K478" s="82" t="str"/>
      <x:c r="L478" s="82" t="str">
        <x:v>5SP</x:v>
      </x:c>
      <x:c r="M478" s="82" t="str">
        <x:v>Black / Plastic</x:v>
      </x:c>
      <x:c r="N478" s="82" t="str">
        <x:v>Clear</x:v>
      </x:c>
      <x:c r="O478" s="82" t="str">
        <x:v>Black</x:v>
      </x:c>
      <x:c r="P478" s="82" t="str">
        <x:v>China</x:v>
      </x:c>
      <x:c r="Q478" s="82" t="str"/>
      <x:c r="R478" s="82" t="str">
        <x:v>Outra linha</x:v>
      </x:c>
      <x:c r="S478" s="82" t="str">
        <x:v>Incomum</x:v>
      </x:c>
      <x:c r="T478" s="82" t="str">
        <x:v>Lançado</x:v>
      </x:c>
      <x:c r="U478" s="82" t="str">
        <x:v>Disney Exclusive</x:v>
      </x:c>
      <x:c r="V478" s="80" t="str">
        <x:v>Coleção principal (~1:64)</x:v>
      </x:c>
      <x:c r="W478" s="82" t="str">
        <x:v>https://hotwheels.fandom.com/wiki/Porsche_911_Targa</x:v>
      </x:c>
      <x:c r="X478" s="82" t="str">
        <x:v>https://hotwheels.fandom.com/wiki/Porsche_911_Targa</x:v>
      </x:c>
    </x:row>
    <x:row r="479">
      <x:c r="A479" s="80" t="str">
        <x:v>Não</x:v>
      </x:c>
      <x:c r="B479" s="80" t="str">
        <x:v>2 — Completar aos poucos</x:v>
      </x:c>
      <x:c r="C479" s="81" t="n">
        <x:v>2001</x:v>
      </x:c>
      <x:c r="D479" s="80" t="str">
        <x:v>Porsche 917KH</x:v>
      </x:c>
      <x:c r="E479" s="80" t="str">
        <x:v>Porsche 917KH</x:v>
      </x:c>
      <x:c r="F479" s="82" t="str">
        <x:v>100% Hot Wheels</x:v>
      </x:c>
      <x:c r="G479" s="80" t="str"/>
      <x:c r="H479" s="80" t="str"/>
      <x:c r="I479" s="83" t="str">
        <x:v>54658</x:v>
      </x:c>
      <x:c r="J479" s="80" t="str">
        <x:v>Red</x:v>
      </x:c>
      <x:c r="K479" s="82" t="str">
        <x:v>White Stripes, '23'</x:v>
      </x:c>
      <x:c r="L479" s="82" t="str">
        <x:v>Goodyear RR</x:v>
      </x:c>
      <x:c r="M479" s="82" t="str">
        <x:v>Black / Metal</x:v>
      </x:c>
      <x:c r="N479" s="82" t="str">
        <x:v>Clear</x:v>
      </x:c>
      <x:c r="O479" s="82" t="str">
        <x:v>Black</x:v>
      </x:c>
      <x:c r="P479" s="82" t="str">
        <x:v>China</x:v>
      </x:c>
      <x:c r="Q479" s="82" t="str"/>
      <x:c r="R479" s="82" t="str">
        <x:v>100% / Collectibles</x:v>
      </x:c>
      <x:c r="S479" s="82" t="str">
        <x:v>Incomum</x:v>
      </x:c>
      <x:c r="T479" s="82" t="str">
        <x:v>Lançado</x:v>
      </x:c>
      <x:c r="U479" s="82" t="str">
        <x:v>Production code(s): 2491ME</x:v>
      </x:c>
      <x:c r="V479" s="80" t="str">
        <x:v>Coleção principal (~1:64)</x:v>
      </x:c>
      <x:c r="W479" s="82" t="str">
        <x:v>https://hotwheels.fandom.com/wiki/Porsche_917KH</x:v>
      </x:c>
      <x:c r="X479" s="82" t="str">
        <x:v>https://hotwheels.fandom.com/wiki/Porsche_917KH</x:v>
      </x:c>
    </x:row>
    <x:row r="480">
      <x:c r="A480" s="80" t="str">
        <x:v>Não</x:v>
      </x:c>
      <x:c r="B480" s="80" t="str">
        <x:v>2 — Completar aos poucos</x:v>
      </x:c>
      <x:c r="C480" s="81" t="n">
        <x:v>2001</x:v>
      </x:c>
      <x:c r="D480" s="80" t="str">
        <x:v>Porsche 930</x:v>
      </x:c>
      <x:c r="E480" s="80" t="str">
        <x:v>Porsche 930</x:v>
      </x:c>
      <x:c r="F480" s="82" t="str">
        <x:v>Cyborg City 5-Pack</x:v>
      </x:c>
      <x:c r="G480" s="80" t="str"/>
      <x:c r="H480" s="80" t="str"/>
      <x:c r="I480" s="83" t="str">
        <x:v>50042</x:v>
      </x:c>
      <x:c r="J480" s="80" t="str">
        <x:v>Black</x:v>
      </x:c>
      <x:c r="K480" s="82" t="str">
        <x:v>Silver trim, white accents, "POLICE", "UNIT 7", and Hot Wheels logo</x:v>
      </x:c>
      <x:c r="L480" s="82" t="str">
        <x:v>3SP</x:v>
      </x:c>
      <x:c r="M480" s="82" t="str">
        <x:v>Silver / Metal</x:v>
      </x:c>
      <x:c r="N480" s="82" t="str">
        <x:v>Smoke tint</x:v>
      </x:c>
      <x:c r="O480" s="82" t="str">
        <x:v>Black</x:v>
      </x:c>
      <x:c r="P480" s="82" t="str">
        <x:v>China</x:v>
      </x:c>
      <x:c r="Q480" s="82" t="str"/>
      <x:c r="R480" s="82" t="str">
        <x:v>Temática / multipack</x:v>
      </x:c>
      <x:c r="S480" s="82" t="str">
        <x:v>Incomum</x:v>
      </x:c>
      <x:c r="T480" s="82" t="str">
        <x:v>Lançado</x:v>
      </x:c>
      <x:c r="U480" s="82" t="str"/>
      <x:c r="V480" s="80" t="str">
        <x:v>Coleção principal (~1:64)</x:v>
      </x:c>
      <x:c r="W480" s="82" t="str">
        <x:v>https://hotwheels.fandom.com/wiki/Porsche_930</x:v>
      </x:c>
      <x:c r="X480" s="82" t="str">
        <x:v>https://hotwheels.fandom.com/wiki/Porsche_930</x:v>
      </x:c>
    </x:row>
    <x:row r="481">
      <x:c r="A481" s="80" t="str">
        <x:v>Não</x:v>
      </x:c>
      <x:c r="B481" s="80" t="str">
        <x:v>2 — Completar aos poucos</x:v>
      </x:c>
      <x:c r="C481" s="81" t="n">
        <x:v>2000</x:v>
      </x:c>
      <x:c r="D481" s="80" t="str">
        <x:v>1998 Porsche Boxster</x:v>
      </x:c>
      <x:c r="E481" s="80" t="str">
        <x:v>1998 Porsche Boxster</x:v>
      </x:c>
      <x:c r="F481" s="82" t="str">
        <x:v>Cool Collectibles</x:v>
      </x:c>
      <x:c r="G481" s="80" t="str"/>
      <x:c r="H481" s="80" t="str"/>
      <x:c r="I481" s="83" t="str">
        <x:v>19807</x:v>
      </x:c>
      <x:c r="J481" s="80" t="str">
        <x:v>Silver</x:v>
      </x:c>
      <x:c r="K481" s="82" t="str">
        <x:v>Details</x:v>
      </x:c>
      <x:c r="L481" s="82" t="str">
        <x:v>RR</x:v>
      </x:c>
      <x:c r="M481" s="82" t="str">
        <x:v>Black / Metal</x:v>
      </x:c>
      <x:c r="N481" s="82" t="str">
        <x:v>Clear</x:v>
      </x:c>
      <x:c r="O481" s="82" t="str">
        <x:v>Tan</x:v>
      </x:c>
      <x:c r="P481" s="82" t="str">
        <x:v>China</x:v>
      </x:c>
      <x:c r="Q481" s="82" t="str"/>
      <x:c r="R481" s="82" t="str">
        <x:v>100% / Collectibles</x:v>
      </x:c>
      <x:c r="S481" s="82" t="str">
        <x:v>Incomum</x:v>
      </x:c>
      <x:c r="T481" s="82" t="str">
        <x:v>Lançado</x:v>
      </x:c>
      <x:c r="U481" s="82" t="str"/>
      <x:c r="V481" s="80" t="str">
        <x:v>Coleção principal (~1:64)</x:v>
      </x:c>
      <x:c r="W481" s="82" t="str">
        <x:v>https://hotwheels.fandom.com/wiki/1998_Porsche_Boxster</x:v>
      </x:c>
      <x:c r="X481" s="82" t="str">
        <x:v>https://hotwheels.fandom.com/wiki/1998_Porsche_Boxster</x:v>
      </x:c>
    </x:row>
    <x:row r="482">
      <x:c r="A482" s="80" t="str">
        <x:v>Não</x:v>
      </x:c>
      <x:c r="B482" s="80" t="str">
        <x:v>2 — Completar aos poucos</x:v>
      </x:c>
      <x:c r="C482" s="81" t="n">
        <x:v>2000</x:v>
      </x:c>
      <x:c r="D482" s="80" t="str">
        <x:v>P-911</x:v>
      </x:c>
      <x:c r="E482" s="80" t="str">
        <x:v>P-911</x:v>
      </x:c>
      <x:c r="F482" s="82" t="str">
        <x:v>Pavement Pounders</x:v>
      </x:c>
      <x:c r="G482" s="80" t="str"/>
      <x:c r="H482" s="80" t="str"/>
      <x:c r="I482" s="83" t="str"/>
      <x:c r="J482" s="80" t="str">
        <x:v>Silver</x:v>
      </x:c>
      <x:c r="K482" s="82" t="str">
        <x:v>Purple "Hot Wheels" logo on hood</x:v>
      </x:c>
      <x:c r="L482" s="82" t="str">
        <x:v>SB</x:v>
      </x:c>
      <x:c r="M482" s="82" t="str">
        <x:v>Chromed / Metal</x:v>
      </x:c>
      <x:c r="N482" s="82" t="str">
        <x:v>Smoke tint</x:v>
      </x:c>
      <x:c r="O482" s="82" t="str">
        <x:v>Black</x:v>
      </x:c>
      <x:c r="P482" s="82" t="str">
        <x:v>China</x:v>
      </x:c>
      <x:c r="Q482" s="82" t="str"/>
      <x:c r="R482" s="82" t="str">
        <x:v>Outra linha</x:v>
      </x:c>
      <x:c r="S482" s="82" t="str">
        <x:v>Incomum</x:v>
      </x:c>
      <x:c r="T482" s="82" t="str">
        <x:v>Lançado</x:v>
      </x:c>
      <x:c r="U482" s="82" t="str">
        <x:v>Came with Streamlined Cabover Truck</x:v>
      </x:c>
      <x:c r="V482" s="80" t="str">
        <x:v>Coleção principal (~1:64)</x:v>
      </x:c>
      <x:c r="W482" s="82" t="str">
        <x:v>https://hotwheels.fandom.com/wiki/P-911</x:v>
      </x:c>
      <x:c r="X482" s="82" t="str">
        <x:v>https://hotwheels.fandom.com/wiki/P-911</x:v>
      </x:c>
    </x:row>
    <x:row r="483">
      <x:c r="A483" s="80" t="str">
        <x:v>Não</x:v>
      </x:c>
      <x:c r="B483" s="80" t="str">
        <x:v>2 — Completar aos poucos</x:v>
      </x:c>
      <x:c r="C483" s="81" t="n">
        <x:v>2000</x:v>
      </x:c>
      <x:c r="D483" s="80" t="str">
        <x:v>P-911</x:v>
      </x:c>
      <x:c r="E483" s="80" t="str">
        <x:v>P-911</x:v>
      </x:c>
      <x:c r="F483" s="82" t="str">
        <x:v>Pavement Pounders</x:v>
      </x:c>
      <x:c r="G483" s="80" t="str"/>
      <x:c r="H483" s="80" t="str"/>
      <x:c r="I483" s="83" t="str"/>
      <x:c r="J483" s="80" t="str">
        <x:v>Silver</x:v>
      </x:c>
      <x:c r="K483" s="82" t="str">
        <x:v>Purple "Hot Wheels" logo on hood</x:v>
      </x:c>
      <x:c r="L483" s="82" t="str">
        <x:v>SB</x:v>
      </x:c>
      <x:c r="M483" s="82" t="str">
        <x:v>Chromed / / / Metal</x:v>
      </x:c>
      <x:c r="N483" s="82" t="str">
        <x:v>Black tint or light smoke tint</x:v>
      </x:c>
      <x:c r="O483" s="82" t="str">
        <x:v>Black</x:v>
      </x:c>
      <x:c r="P483" s="82" t="str">
        <x:v>China</x:v>
      </x:c>
      <x:c r="Q483" s="82" t="str"/>
      <x:c r="R483" s="82" t="str">
        <x:v>Outra linha</x:v>
      </x:c>
      <x:c r="S483" s="82" t="str">
        <x:v>Incomum</x:v>
      </x:c>
      <x:c r="T483" s="82" t="str">
        <x:v>Lançado</x:v>
      </x:c>
      <x:c r="U483" s="82" t="str">
        <x:v>Came with Streamlined Cabover Truck</x:v>
      </x:c>
      <x:c r="V483" s="80" t="str">
        <x:v>Coleção principal (~1:64)</x:v>
      </x:c>
      <x:c r="W483" s="82" t="str">
        <x:v>https://hotwheels.fandom.com/wiki/P-911</x:v>
      </x:c>
      <x:c r="X483" s="82" t="str">
        <x:v>https://hotwheels.fandom.com/wiki/P-911</x:v>
      </x:c>
    </x:row>
    <x:row r="484">
      <x:c r="A484" s="80" t="str">
        <x:v>Não</x:v>
      </x:c>
      <x:c r="B484" s="80" t="str">
        <x:v>2 — Completar aos poucos</x:v>
      </x:c>
      <x:c r="C484" s="81" t="n">
        <x:v>2000</x:v>
      </x:c>
      <x:c r="D484" s="80" t="str">
        <x:v>Porsche 550 Spyder</x:v>
      </x:c>
      <x:c r="E484" s="80" t="str">
        <x:v>Porsche 550 Spyder</x:v>
      </x:c>
      <x:c r="F484" s="82" t="str">
        <x:v>Cool Collectibles</x:v>
      </x:c>
      <x:c r="G484" s="80" t="str"/>
      <x:c r="H484" s="80" t="str"/>
      <x:c r="I484" s="83" t="str">
        <x:v>22054</x:v>
      </x:c>
      <x:c r="J484" s="80" t="str">
        <x:v>Metalflake Blue</x:v>
      </x:c>
      <x:c r="K484" s="82" t="str">
        <x:v>White Stripes and '2'</x:v>
      </x:c>
      <x:c r="L484" s="82" t="str">
        <x:v>RR</x:v>
      </x:c>
      <x:c r="M484" s="82" t="str">
        <x:v>Black / Metal</x:v>
      </x:c>
      <x:c r="N484" s="82" t="str">
        <x:v>Clear</x:v>
      </x:c>
      <x:c r="O484" s="82" t="str">
        <x:v>Black</x:v>
      </x:c>
      <x:c r="P484" s="82" t="str">
        <x:v>China</x:v>
      </x:c>
      <x:c r="Q484" s="82" t="str"/>
      <x:c r="R484" s="82" t="str">
        <x:v>100% / Collectibles</x:v>
      </x:c>
      <x:c r="S484" s="82" t="str">
        <x:v>Incomum</x:v>
      </x:c>
      <x:c r="T484" s="82" t="str">
        <x:v>Lançado</x:v>
      </x:c>
      <x:c r="U484" s="82" t="str"/>
      <x:c r="V484" s="80" t="str">
        <x:v>Coleção principal (~1:64)</x:v>
      </x:c>
      <x:c r="W484" s="82" t="str">
        <x:v>https://hotwheels.fandom.com/wiki/Porsche_550_Spyder</x:v>
      </x:c>
      <x:c r="X484" s="82" t="str">
        <x:v>https://hotwheels.fandom.com/wiki/Porsche_550_Spyder</x:v>
      </x:c>
    </x:row>
    <x:row r="485">
      <x:c r="A485" s="80" t="str">
        <x:v>Não</x:v>
      </x:c>
      <x:c r="B485" s="80" t="str">
        <x:v>2 — Completar aos poucos</x:v>
      </x:c>
      <x:c r="C485" s="81" t="n">
        <x:v>2000</x:v>
      </x:c>
      <x:c r="D485" s="80" t="str">
        <x:v>Porsche 550 Spyder</x:v>
      </x:c>
      <x:c r="E485" s="80" t="str">
        <x:v>Porsche 550 Spyder</x:v>
      </x:c>
      <x:c r="F485" s="82" t="str">
        <x:v>Cool Collectibles</x:v>
      </x:c>
      <x:c r="G485" s="80" t="str"/>
      <x:c r="H485" s="80" t="str"/>
      <x:c r="I485" s="83" t="str">
        <x:v>22054</x:v>
      </x:c>
      <x:c r="J485" s="80" t="str">
        <x:v>Red</x:v>
      </x:c>
      <x:c r="K485" s="82" t="str">
        <x:v>White Stripes and '2'</x:v>
      </x:c>
      <x:c r="L485" s="82" t="str">
        <x:v>RR</x:v>
      </x:c>
      <x:c r="M485" s="82" t="str">
        <x:v>Black / Metal</x:v>
      </x:c>
      <x:c r="N485" s="82" t="str">
        <x:v>Clear</x:v>
      </x:c>
      <x:c r="O485" s="82" t="str">
        <x:v>Black</x:v>
      </x:c>
      <x:c r="P485" s="82" t="str">
        <x:v>China</x:v>
      </x:c>
      <x:c r="Q485" s="82" t="str"/>
      <x:c r="R485" s="82" t="str">
        <x:v>100% / Collectibles</x:v>
      </x:c>
      <x:c r="S485" s="82" t="str">
        <x:v>Incomum</x:v>
      </x:c>
      <x:c r="T485" s="82" t="str">
        <x:v>Lançado</x:v>
      </x:c>
      <x:c r="U485" s="82" t="str"/>
      <x:c r="V485" s="80" t="str">
        <x:v>Coleção principal (~1:64)</x:v>
      </x:c>
      <x:c r="W485" s="82" t="str">
        <x:v>https://hotwheels.fandom.com/wiki/Porsche_550_Spyder</x:v>
      </x:c>
      <x:c r="X485" s="82" t="str">
        <x:v>https://hotwheels.fandom.com/wiki/Porsche_550_Spyder</x:v>
      </x:c>
    </x:row>
    <x:row r="486">
      <x:c r="A486" s="80" t="str">
        <x:v>Não</x:v>
      </x:c>
      <x:c r="B486" s="80" t="str">
        <x:v>2 — Completar aos poucos</x:v>
      </x:c>
      <x:c r="C486" s="81" t="n">
        <x:v>2000</x:v>
      </x:c>
      <x:c r="D486" s="80" t="str">
        <x:v>Porsche 911 Carrera</x:v>
      </x:c>
      <x:c r="E486" s="80" t="str">
        <x:v>Porsche 911 Carrera</x:v>
      </x:c>
      <x:c r="F486" s="82" t="str">
        <x:v>Mainline</x:v>
      </x:c>
      <x:c r="G486" s="80" t="str"/>
      <x:c r="H486" s="80" t="str">
        <x:v>146</x:v>
      </x:c>
      <x:c r="I486" s="83" t="str">
        <x:v>27112</x:v>
      </x:c>
      <x:c r="J486" s="80" t="str">
        <x:v>Metalflake Blue</x:v>
      </x:c>
      <x:c r="K486" s="82" t="str">
        <x:v>tiny white Hot Wheels Logo</x:v>
      </x:c>
      <x:c r="L486" s="82" t="str">
        <x:v>3SP</x:v>
      </x:c>
      <x:c r="M486" s="82" t="str">
        <x:v>Unpainted / Metal</x:v>
      </x:c>
      <x:c r="N486" s="82" t="str">
        <x:v>Clear</x:v>
      </x:c>
      <x:c r="O486" s="82" t="str">
        <x:v>White</x:v>
      </x:c>
      <x:c r="P486" s="82" t="str">
        <x:v>Malaysia</x:v>
      </x:c>
      <x:c r="Q486" s="82" t="str"/>
      <x:c r="R486" s="82" t="str">
        <x:v>Mainline</x:v>
      </x:c>
      <x:c r="S486" s="82" t="str">
        <x:v>Incomum</x:v>
      </x:c>
      <x:c r="T486" s="82" t="str">
        <x:v>Lançado</x:v>
      </x:c>
      <x:c r="U486" s="82" t="str"/>
      <x:c r="V486" s="80" t="str">
        <x:v>Coleção principal (~1:64)</x:v>
      </x:c>
      <x:c r="W486" s="82" t="str">
        <x:v>https://hotwheels.fandom.com/wiki/Porsche_911_Carrera</x:v>
      </x:c>
      <x:c r="X486" s="82" t="str">
        <x:v>https://hotwheels.fandom.com/wiki/Porsche_911_Carrera</x:v>
      </x:c>
    </x:row>
    <x:row r="487">
      <x:c r="A487" s="80" t="str">
        <x:v>Não</x:v>
      </x:c>
      <x:c r="B487" s="80" t="str">
        <x:v>2 — Completar aos poucos</x:v>
      </x:c>
      <x:c r="C487" s="81" t="n">
        <x:v>2000</x:v>
      </x:c>
      <x:c r="D487" s="80" t="str">
        <x:v>Porsche 911 GT1-98</x:v>
      </x:c>
      <x:c r="E487" s="80" t="str">
        <x:v>Porsche 911 GT1-98</x:v>
      </x:c>
      <x:c r="F487" s="82" t="str">
        <x:v>Mainline</x:v>
      </x:c>
      <x:c r="G487" s="80" t="str"/>
      <x:c r="H487" s="80" t="str">
        <x:v>172</x:v>
      </x:c>
      <x:c r="I487" s="83" t="str">
        <x:v>27138</x:v>
      </x:c>
      <x:c r="J487" s="80" t="str">
        <x:v>Metalflake Purple</x:v>
      </x:c>
      <x:c r="K487" s="82" t="str">
        <x:v>White, Red, Black "27", "24 HEURES DU MANS", various sponsors with hotwheels logo</x:v>
      </x:c>
      <x:c r="L487" s="82" t="str">
        <x:v>LW</x:v>
      </x:c>
      <x:c r="M487" s="82" t="str">
        <x:v>Black / Plastic</x:v>
      </x:c>
      <x:c r="N487" s="82" t="str">
        <x:v>Smoke tint</x:v>
      </x:c>
      <x:c r="O487" s="82" t="str">
        <x:v>Black</x:v>
      </x:c>
      <x:c r="P487" s="82" t="str">
        <x:v>Malaysia</x:v>
      </x:c>
      <x:c r="Q487" s="82" t="str"/>
      <x:c r="R487" s="82" t="str">
        <x:v>Mainline</x:v>
      </x:c>
      <x:c r="S487" s="82" t="str">
        <x:v>Incomum</x:v>
      </x:c>
      <x:c r="T487" s="82" t="str">
        <x:v>Lançado</x:v>
      </x:c>
      <x:c r="U487" s="82" t="str"/>
      <x:c r="V487" s="80" t="str">
        <x:v>Coleção principal (~1:64)</x:v>
      </x:c>
      <x:c r="W487" s="82" t="str">
        <x:v>https://hotwheels.fandom.com/wiki/Porsche_911_GT1-98</x:v>
      </x:c>
      <x:c r="X487" s="82" t="str">
        <x:v>https://hotwheels.fandom.com/wiki/Porsche_911_GT1-98</x:v>
      </x:c>
    </x:row>
    <x:row r="488">
      <x:c r="A488" s="80" t="str">
        <x:v>Não</x:v>
      </x:c>
      <x:c r="B488" s="80" t="str">
        <x:v>2 — Completar aos poucos</x:v>
      </x:c>
      <x:c r="C488" s="81" t="n">
        <x:v>2000</x:v>
      </x:c>
      <x:c r="D488" s="80" t="str">
        <x:v>Porsche 911 GT1-98</x:v>
      </x:c>
      <x:c r="E488" s="80" t="str">
        <x:v>Porsche 911 GT1-98</x:v>
      </x:c>
      <x:c r="F488" s="82" t="str">
        <x:v>Mainline</x:v>
      </x:c>
      <x:c r="G488" s="80" t="str"/>
      <x:c r="H488" s="80" t="str">
        <x:v>172</x:v>
      </x:c>
      <x:c r="I488" s="83" t="str">
        <x:v>27138</x:v>
      </x:c>
      <x:c r="J488" s="80" t="str">
        <x:v>Metalflake Purple</x:v>
      </x:c>
      <x:c r="K488" s="82" t="str">
        <x:v>White, Red, Black "27", "24 HEURES DU MANS", various sponsors with hotwheels logo</x:v>
      </x:c>
      <x:c r="L488" s="82" t="str">
        <x:v>SB</x:v>
      </x:c>
      <x:c r="M488" s="82" t="str">
        <x:v>Black / Plastic</x:v>
      </x:c>
      <x:c r="N488" s="82" t="str">
        <x:v>Smoke tint</x:v>
      </x:c>
      <x:c r="O488" s="82" t="str">
        <x:v>Black</x:v>
      </x:c>
      <x:c r="P488" s="82" t="str">
        <x:v>Malaysia</x:v>
      </x:c>
      <x:c r="Q488" s="82" t="str"/>
      <x:c r="R488" s="82" t="str">
        <x:v>Mainline</x:v>
      </x:c>
      <x:c r="S488" s="82" t="str">
        <x:v>Incomum</x:v>
      </x:c>
      <x:c r="T488" s="82" t="str">
        <x:v>Lançado</x:v>
      </x:c>
      <x:c r="U488" s="82" t="str">
        <x:v>IMG 20200216 110732</x:v>
      </x:c>
      <x:c r="V488" s="80" t="str">
        <x:v>Coleção principal (~1:64)</x:v>
      </x:c>
      <x:c r="W488" s="82" t="str">
        <x:v>https://hotwheels.fandom.com/wiki/Porsche_911_GT1-98</x:v>
      </x:c>
      <x:c r="X488" s="82" t="str">
        <x:v>https://hotwheels.fandom.com/wiki/Porsche_911_GT1-98</x:v>
      </x:c>
    </x:row>
    <x:row r="489">
      <x:c r="A489" s="80" t="str">
        <x:v>Não</x:v>
      </x:c>
      <x:c r="B489" s="80" t="str">
        <x:v>2 — Completar aos poucos</x:v>
      </x:c>
      <x:c r="C489" s="81" t="n">
        <x:v>2000</x:v>
      </x:c>
      <x:c r="D489" s="80" t="str">
        <x:v>Porsche 911 GT1-98</x:v>
      </x:c>
      <x:c r="E489" s="80" t="str">
        <x:v>Porsche 911 GT1-98</x:v>
      </x:c>
      <x:c r="F489" s="82" t="str">
        <x:v>Mainline</x:v>
      </x:c>
      <x:c r="G489" s="80" t="str"/>
      <x:c r="H489" s="80" t="str">
        <x:v>172</x:v>
      </x:c>
      <x:c r="I489" s="83" t="str">
        <x:v>27138</x:v>
      </x:c>
      <x:c r="J489" s="80" t="str">
        <x:v>Metalflake Purple</x:v>
      </x:c>
      <x:c r="K489" s="82" t="str">
        <x:v>White, Red, Black "27", "24 HEURES DU MANS", various sponsors with hotwheels logo</x:v>
      </x:c>
      <x:c r="L489" s="82" t="str">
        <x:v>PR5</x:v>
      </x:c>
      <x:c r="M489" s="82" t="str">
        <x:v>Black / Plastic</x:v>
      </x:c>
      <x:c r="N489" s="82" t="str">
        <x:v>Smoke tint</x:v>
      </x:c>
      <x:c r="O489" s="82" t="str">
        <x:v>Black</x:v>
      </x:c>
      <x:c r="P489" s="82" t="str">
        <x:v>Malaysia</x:v>
      </x:c>
      <x:c r="Q489" s="82" t="str"/>
      <x:c r="R489" s="82" t="str">
        <x:v>Mainline</x:v>
      </x:c>
      <x:c r="S489" s="82" t="str">
        <x:v>Incomum</x:v>
      </x:c>
      <x:c r="T489" s="82" t="str">
        <x:v>Lançado</x:v>
      </x:c>
      <x:c r="U489" s="82" t="str">
        <x:v>IMG 20200213 173136</x:v>
      </x:c>
      <x:c r="V489" s="80" t="str">
        <x:v>Coleção principal (~1:64)</x:v>
      </x:c>
      <x:c r="W489" s="82" t="str">
        <x:v>https://hotwheels.fandom.com/wiki/Porsche_911_GT1-98</x:v>
      </x:c>
      <x:c r="X489" s="82" t="str">
        <x:v>https://hotwheels.fandom.com/wiki/Porsche_911_GT1-98</x:v>
      </x:c>
    </x:row>
    <x:row r="490">
      <x:c r="A490" s="80" t="str">
        <x:v>Não</x:v>
      </x:c>
      <x:c r="B490" s="80" t="str">
        <x:v>2 — Completar aos poucos</x:v>
      </x:c>
      <x:c r="C490" s="81" t="n">
        <x:v>2000</x:v>
      </x:c>
      <x:c r="D490" s="80" t="str">
        <x:v>Porsche 911 GT1-98</x:v>
      </x:c>
      <x:c r="E490" s="80" t="str">
        <x:v>Porsche 911 GT1-98</x:v>
      </x:c>
      <x:c r="F490" s="82" t="str">
        <x:v>Mainline</x:v>
      </x:c>
      <x:c r="G490" s="80" t="str"/>
      <x:c r="H490" s="80" t="str">
        <x:v>250</x:v>
      </x:c>
      <x:c r="I490" s="83" t="str">
        <x:v>29297</x:v>
      </x:c>
      <x:c r="J490" s="80" t="str">
        <x:v>White</x:v>
      </x:c>
      <x:c r="K490" s="82" t="str">
        <x:v>Teal, yellow, blue, &amp; red stripes, US flag, "38", Porsche, "Champion", various logos</x:v>
      </x:c>
      <x:c r="L490" s="82" t="str">
        <x:v>LW</x:v>
      </x:c>
      <x:c r="M490" s="82" t="str">
        <x:v>Black / Plastic</x:v>
      </x:c>
      <x:c r="N490" s="82" t="str">
        <x:v>Clear</x:v>
      </x:c>
      <x:c r="O490" s="82" t="str">
        <x:v>Grey</x:v>
      </x:c>
      <x:c r="P490" s="82" t="str">
        <x:v>China</x:v>
      </x:c>
      <x:c r="Q490" s="82" t="str"/>
      <x:c r="R490" s="82" t="str">
        <x:v>Mainline</x:v>
      </x:c>
      <x:c r="S490" s="82" t="str">
        <x:v>Incomum</x:v>
      </x:c>
      <x:c r="T490" s="82" t="str">
        <x:v>Lançado</x:v>
      </x:c>
      <x:c r="U490" s="82" t="str"/>
      <x:c r="V490" s="80" t="str">
        <x:v>Coleção principal (~1:64)</x:v>
      </x:c>
      <x:c r="W490" s="82" t="str">
        <x:v>https://hotwheels.fandom.com/wiki/Porsche_911_GT1-98</x:v>
      </x:c>
      <x:c r="X490" s="82" t="str">
        <x:v>https://hotwheels.fandom.com/wiki/Porsche_911_GT1-98</x:v>
      </x:c>
    </x:row>
    <x:row r="491">
      <x:c r="A491" s="80" t="str">
        <x:v>Não</x:v>
      </x:c>
      <x:c r="B491" s="80" t="str">
        <x:v>2 — Completar aos poucos</x:v>
      </x:c>
      <x:c r="C491" s="81" t="n">
        <x:v>2000</x:v>
      </x:c>
      <x:c r="D491" s="80" t="str">
        <x:v>Porsche 911 GT1-98</x:v>
      </x:c>
      <x:c r="E491" s="80" t="str">
        <x:v>Porsche 911 GT1-98</x:v>
      </x:c>
      <x:c r="F491" s="82" t="str">
        <x:v>World Racers 2 5-Pack</x:v>
      </x:c>
      <x:c r="G491" s="80" t="str"/>
      <x:c r="H491" s="80" t="str"/>
      <x:c r="I491" s="83" t="str">
        <x:v>25370</x:v>
      </x:c>
      <x:c r="J491" s="80" t="str">
        <x:v>Metalflake Blue</x:v>
      </x:c>
      <x:c r="K491" s="82" t="str">
        <x:v>White, Red, Black "27"</x:v>
      </x:c>
      <x:c r="L491" s="82" t="str">
        <x:v>Gold LW</x:v>
      </x:c>
      <x:c r="M491" s="82" t="str">
        <x:v>Black / Plastic</x:v>
      </x:c>
      <x:c r="N491" s="82" t="str">
        <x:v>Yellow tint</x:v>
      </x:c>
      <x:c r="O491" s="82" t="str">
        <x:v>White</x:v>
      </x:c>
      <x:c r="P491" s="82" t="str">
        <x:v>Thailand</x:v>
      </x:c>
      <x:c r="Q491" s="82" t="str"/>
      <x:c r="R491" s="82" t="str">
        <x:v>Temática / multipack</x:v>
      </x:c>
      <x:c r="S491" s="82" t="str">
        <x:v>Incomum</x:v>
      </x:c>
      <x:c r="T491" s="82" t="str">
        <x:v>Lançado</x:v>
      </x:c>
      <x:c r="U491" s="82" t="str"/>
      <x:c r="V491" s="80" t="str">
        <x:v>Coleção principal (~1:64)</x:v>
      </x:c>
      <x:c r="W491" s="82" t="str">
        <x:v>https://hotwheels.fandom.com/wiki/Porsche_911_GT1-98</x:v>
      </x:c>
      <x:c r="X491" s="82" t="str">
        <x:v>https://hotwheels.fandom.com/wiki/Porsche_911_GT1-98</x:v>
      </x:c>
    </x:row>
    <x:row r="492">
      <x:c r="A492" s="80" t="str">
        <x:v>Não</x:v>
      </x:c>
      <x:c r="B492" s="80" t="str">
        <x:v>2 — Completar aos poucos</x:v>
      </x:c>
      <x:c r="C492" s="81" t="n">
        <x:v>2000</x:v>
      </x:c>
      <x:c r="D492" s="80" t="str">
        <x:v>Porsche 911 GT3 Cup</x:v>
      </x:c>
      <x:c r="E492" s="80" t="str">
        <x:v>Porsche 911 GT3 Cup</x:v>
      </x:c>
      <x:c r="F492" s="82" t="str">
        <x:v>Mainline</x:v>
      </x:c>
      <x:c r="G492" s="80" t="str"/>
      <x:c r="H492" s="80" t="str">
        <x:v>128</x:v>
      </x:c>
      <x:c r="I492" s="83" t="str">
        <x:v>27095</x:v>
      </x:c>
      <x:c r="J492" s="80" t="str">
        <x:v>White</x:v>
      </x:c>
      <x:c r="K492" s="82" t="str">
        <x:v>Yellow, Green, Red "8"</x:v>
      </x:c>
      <x:c r="L492" s="82" t="str">
        <x:v>3SP</x:v>
      </x:c>
      <x:c r="M492" s="82" t="str">
        <x:v>Black / Plastic</x:v>
      </x:c>
      <x:c r="N492" s="82" t="str">
        <x:v>Clear</x:v>
      </x:c>
      <x:c r="O492" s="82" t="str">
        <x:v>Red</x:v>
      </x:c>
      <x:c r="P492" s="82" t="str">
        <x:v>India</x:v>
      </x:c>
      <x:c r="Q492" s="82" t="str"/>
      <x:c r="R492" s="82" t="str">
        <x:v>Mainline</x:v>
      </x:c>
      <x:c r="S492" s="82" t="str">
        <x:v>Incomum</x:v>
      </x:c>
      <x:c r="T492" s="82" t="str">
        <x:v>Lançado</x:v>
      </x:c>
      <x:c r="U492" s="82" t="str">
        <x:v>Red spoiler</x:v>
      </x:c>
      <x:c r="V492" s="80" t="str">
        <x:v>Coleção principal (~1:64)</x:v>
      </x:c>
      <x:c r="W492" s="82" t="str">
        <x:v>https://hotwheels.fandom.com/wiki/Porsche_911_GT3_Cup</x:v>
      </x:c>
      <x:c r="X492" s="82" t="str">
        <x:v>https://hotwheels.fandom.com/wiki/Porsche_911_GT3_Cup</x:v>
      </x:c>
    </x:row>
    <x:row r="493">
      <x:c r="A493" s="80" t="str">
        <x:v>Não</x:v>
      </x:c>
      <x:c r="B493" s="80" t="str">
        <x:v>2 — Completar aos poucos</x:v>
      </x:c>
      <x:c r="C493" s="81" t="n">
        <x:v>2000</x:v>
      </x:c>
      <x:c r="D493" s="80" t="str">
        <x:v>Porsche 911 GT3 Cup</x:v>
      </x:c>
      <x:c r="E493" s="80" t="str">
        <x:v>Porsche 911 GT3 Cup</x:v>
      </x:c>
      <x:c r="F493" s="82" t="str">
        <x:v>Powershift Garage 5-Pack</x:v>
      </x:c>
      <x:c r="G493" s="80" t="str"/>
      <x:c r="H493" s="80" t="str"/>
      <x:c r="I493" s="83" t="str">
        <x:v>25368</x:v>
      </x:c>
      <x:c r="J493" s="80" t="str">
        <x:v>Metalflake Silver</x:v>
      </x:c>
      <x:c r="K493" s="82" t="str">
        <x:v>Orange, White, Black "GT3"</x:v>
      </x:c>
      <x:c r="L493" s="82" t="str">
        <x:v>5DOT</x:v>
      </x:c>
      <x:c r="M493" s="82" t="str">
        <x:v>Black / Plastic</x:v>
      </x:c>
      <x:c r="N493" s="82" t="str">
        <x:v>Clear</x:v>
      </x:c>
      <x:c r="O493" s="82" t="str">
        <x:v>Black</x:v>
      </x:c>
      <x:c r="P493" s="82" t="str">
        <x:v>Thailand</x:v>
      </x:c>
      <x:c r="Q493" s="82" t="str"/>
      <x:c r="R493" s="82" t="str">
        <x:v>Temática / multipack</x:v>
      </x:c>
      <x:c r="S493" s="82" t="str">
        <x:v>Incomum</x:v>
      </x:c>
      <x:c r="T493" s="82" t="str">
        <x:v>Lançado</x:v>
      </x:c>
      <x:c r="U493" s="82" t="str">
        <x:v>Black spoiler</x:v>
      </x:c>
      <x:c r="V493" s="80" t="str">
        <x:v>Coleção principal (~1:64)</x:v>
      </x:c>
      <x:c r="W493" s="82" t="str">
        <x:v>https://hotwheels.fandom.com/wiki/Porsche_911_GT3_Cup</x:v>
      </x:c>
      <x:c r="X493" s="82" t="str">
        <x:v>https://hotwheels.fandom.com/wiki/Porsche_911_GT3_Cup</x:v>
      </x:c>
    </x:row>
    <x:row r="494">
      <x:c r="A494" s="80" t="str">
        <x:v>Não</x:v>
      </x:c>
      <x:c r="B494" s="80" t="str">
        <x:v>2 — Completar aos poucos</x:v>
      </x:c>
      <x:c r="C494" s="81" t="n">
        <x:v>2000</x:v>
      </x:c>
      <x:c r="D494" s="80" t="str">
        <x:v>Porsche 930</x:v>
      </x:c>
      <x:c r="E494" s="80" t="str">
        <x:v>Porsche 930</x:v>
      </x:c>
      <x:c r="F494" s="82" t="str">
        <x:v>Mainline</x:v>
      </x:c>
      <x:c r="G494" s="80" t="str"/>
      <x:c r="H494" s="80" t="str">
        <x:v>125</x:v>
      </x:c>
      <x:c r="I494" s="83" t="str">
        <x:v>27092</x:v>
      </x:c>
      <x:c r="J494" s="80" t="str">
        <x:v>White</x:v>
      </x:c>
      <x:c r="K494" s="82" t="str">
        <x:v>Black hood, wing and headlight covers</x:v>
      </x:c>
      <x:c r="L494" s="82" t="str">
        <x:v>3SP</x:v>
      </x:c>
      <x:c r="M494" s="82" t="str">
        <x:v>Unpainted / Metal</x:v>
      </x:c>
      <x:c r="N494" s="82" t="str">
        <x:v>Smoke tint</x:v>
      </x:c>
      <x:c r="O494" s="82" t="str">
        <x:v>Black</x:v>
      </x:c>
      <x:c r="P494" s="82" t="str">
        <x:v>Malaysia</x:v>
      </x:c>
      <x:c r="Q494" s="82" t="str"/>
      <x:c r="R494" s="82" t="str">
        <x:v>Mainline</x:v>
      </x:c>
      <x:c r="S494" s="82" t="str">
        <x:v>Incomum</x:v>
      </x:c>
      <x:c r="T494" s="82" t="str">
        <x:v>Lançado</x:v>
      </x:c>
      <x:c r="U494" s="82" t="str"/>
      <x:c r="V494" s="80" t="str">
        <x:v>Coleção principal (~1:64)</x:v>
      </x:c>
      <x:c r="W494" s="82" t="str">
        <x:v>https://hotwheels.fandom.com/wiki/Porsche_930</x:v>
      </x:c>
      <x:c r="X494" s="82" t="str">
        <x:v>https://hotwheels.fandom.com/wiki/Porsche_930</x:v>
      </x:c>
    </x:row>
    <x:row r="495">
      <x:c r="A495" s="80" t="str">
        <x:v>Não</x:v>
      </x:c>
      <x:c r="B495" s="80" t="str">
        <x:v>2 — Completar aos poucos</x:v>
      </x:c>
      <x:c r="C495" s="81" t="n">
        <x:v>2000</x:v>
      </x:c>
      <x:c r="D495" s="80" t="str">
        <x:v>Porsche 930 Turbo</x:v>
      </x:c>
      <x:c r="E495" s="80" t="str">
        <x:v>Porsche 930 Turbo</x:v>
      </x:c>
      <x:c r="F495" s="82" t="str">
        <x:v>Cool Collectibles</x:v>
      </x:c>
      <x:c r="G495" s="80" t="str"/>
      <x:c r="H495" s="80" t="str"/>
      <x:c r="I495" s="83" t="str">
        <x:v>23402</x:v>
      </x:c>
      <x:c r="J495" s="80" t="str">
        <x:v>White</x:v>
      </x:c>
      <x:c r="K495" s="82" t="str">
        <x:v>Black Stripe on side and Porsche logo on hood</x:v>
      </x:c>
      <x:c r="L495" s="82" t="str">
        <x:v>RR</x:v>
      </x:c>
      <x:c r="M495" s="82" t="str">
        <x:v>Black / / / Metal</x:v>
      </x:c>
      <x:c r="N495" s="82" t="str">
        <x:v>Clear</x:v>
      </x:c>
      <x:c r="O495" s="82" t="str">
        <x:v>Black</x:v>
      </x:c>
      <x:c r="P495" s="82" t="str">
        <x:v>China</x:v>
      </x:c>
      <x:c r="Q495" s="82" t="str"/>
      <x:c r="R495" s="82" t="str">
        <x:v>100% / Collectibles</x:v>
      </x:c>
      <x:c r="S495" s="82" t="str">
        <x:v>Incomum</x:v>
      </x:c>
      <x:c r="T495" s="82" t="str">
        <x:v>Lançado</x:v>
      </x:c>
      <x:c r="U495" s="82" t="str"/>
      <x:c r="V495" s="80" t="str">
        <x:v>Coleção principal (~1:64)</x:v>
      </x:c>
      <x:c r="W495" s="82" t="str">
        <x:v>https://hotwheels.fandom.com/wiki/Porsche_930_Turbo</x:v>
      </x:c>
      <x:c r="X495" s="82" t="str">
        <x:v>https://hotwheels.fandom.com/wiki/Porsche_930_Turbo</x:v>
      </x:c>
    </x:row>
    <x:row r="496">
      <x:c r="A496" s="80" t="str">
        <x:v>Não</x:v>
      </x:c>
      <x:c r="B496" s="80" t="str">
        <x:v>2 — Completar aos poucos</x:v>
      </x:c>
      <x:c r="C496" s="81" t="n">
        <x:v>2000</x:v>
      </x:c>
      <x:c r="D496" s="80" t="str">
        <x:v>Porsche 959</x:v>
      </x:c>
      <x:c r="E496" s="80" t="str">
        <x:v>Porsche 959</x:v>
      </x:c>
      <x:c r="F496" s="82" t="str">
        <x:v>Mainline</x:v>
      </x:c>
      <x:c r="G496" s="80" t="str"/>
      <x:c r="H496" s="80" t="str">
        <x:v>232/250</x:v>
      </x:c>
      <x:c r="I496" s="83" t="str">
        <x:v>29288</x:v>
      </x:c>
      <x:c r="J496" s="80" t="str">
        <x:v>Black</x:v>
      </x:c>
      <x:c r="K496" s="82" t="str">
        <x:v>'959 Twin Turbo'</x:v>
      </x:c>
      <x:c r="L496" s="82" t="str">
        <x:v>5DOT</x:v>
      </x:c>
      <x:c r="M496" s="82" t="str">
        <x:v>Unpainted / Metal</x:v>
      </x:c>
      <x:c r="N496" s="82" t="str">
        <x:v>Clear</x:v>
      </x:c>
      <x:c r="O496" s="82" t="str">
        <x:v>Black</x:v>
      </x:c>
      <x:c r="P496" s="82" t="str">
        <x:v>China</x:v>
      </x:c>
      <x:c r="Q496" s="82" t="str"/>
      <x:c r="R496" s="82" t="str">
        <x:v>Mainline</x:v>
      </x:c>
      <x:c r="S496" s="82" t="str">
        <x:v>Incomum</x:v>
      </x:c>
      <x:c r="T496" s="82" t="str">
        <x:v>Lançado</x:v>
      </x:c>
      <x:c r="U496" s="82" t="str"/>
      <x:c r="V496" s="80" t="str">
        <x:v>Coleção principal (~1:64)</x:v>
      </x:c>
      <x:c r="W496" s="82" t="str">
        <x:v>https://hotwheels.fandom.com/wiki/Porsche_959</x:v>
      </x:c>
      <x:c r="X496" s="82" t="str">
        <x:v>https://hotwheels.fandom.com/wiki/Porsche_959</x:v>
      </x:c>
    </x:row>
    <x:row r="497">
      <x:c r="A497" s="80" t="str">
        <x:v>Não</x:v>
      </x:c>
      <x:c r="B497" s="80" t="str">
        <x:v>2 — Completar aos poucos</x:v>
      </x:c>
      <x:c r="C497" s="81" t="n">
        <x:v>1999</x:v>
      </x:c>
      <x:c r="D497" s="80" t="str">
        <x:v>1998 Porsche Boxster</x:v>
      </x:c>
      <x:c r="E497" s="80" t="str">
        <x:v>1998 Porsche Boxster</x:v>
      </x:c>
      <x:c r="F497" s="82" t="str">
        <x:v>Porsche 50th Anniversary 4-Car Set</x:v>
      </x:c>
      <x:c r="G497" s="80" t="str"/>
      <x:c r="H497" s="80" t="str"/>
      <x:c r="I497" s="83" t="str">
        <x:v>19486</x:v>
      </x:c>
      <x:c r="J497" s="80" t="str">
        <x:v>Yellow</x:v>
      </x:c>
      <x:c r="K497" s="82" t="str">
        <x:v>Details</x:v>
      </x:c>
      <x:c r="L497" s="82" t="str">
        <x:v>RR</x:v>
      </x:c>
      <x:c r="M497" s="82" t="str">
        <x:v>Black / Metal</x:v>
      </x:c>
      <x:c r="N497" s="82" t="str">
        <x:v>Clear</x:v>
      </x:c>
      <x:c r="O497" s="82" t="str">
        <x:v>Tan</x:v>
      </x:c>
      <x:c r="P497" s="82" t="str">
        <x:v>China</x:v>
      </x:c>
      <x:c r="Q497" s="82" t="str"/>
      <x:c r="R497" s="82" t="str">
        <x:v>Outra linha</x:v>
      </x:c>
      <x:c r="S497" s="82" t="str">
        <x:v>Rara</x:v>
      </x:c>
      <x:c r="T497" s="82" t="str">
        <x:v>Lançado</x:v>
      </x:c>
      <x:c r="U497" s="82" t="str"/>
      <x:c r="V497" s="80" t="str">
        <x:v>Coleção principal (~1:64)</x:v>
      </x:c>
      <x:c r="W497" s="82" t="str">
        <x:v>https://hotwheels.fandom.com/wiki/1998_Porsche_Boxster</x:v>
      </x:c>
      <x:c r="X497" s="82" t="str">
        <x:v>https://hotwheels.fandom.com/wiki/1998_Porsche_Boxster</x:v>
      </x:c>
    </x:row>
    <x:row r="498">
      <x:c r="A498" s="80" t="str">
        <x:v>Não</x:v>
      </x:c>
      <x:c r="B498" s="80" t="str">
        <x:v>2 — Completar aos poucos</x:v>
      </x:c>
      <x:c r="C498" s="81" t="n">
        <x:v>1999</x:v>
      </x:c>
      <x:c r="D498" s="80" t="str">
        <x:v>P-911</x:v>
      </x:c>
      <x:c r="E498" s="80" t="str">
        <x:v>P-911</x:v>
      </x:c>
      <x:c r="F498" s="82" t="str">
        <x:v>Mainline</x:v>
      </x:c>
      <x:c r="G498" s="80" t="str"/>
      <x:c r="H498" s="80" t="str">
        <x:v>995</x:v>
      </x:c>
      <x:c r="I498" s="83" t="str"/>
      <x:c r="J498" s="80" t="str">
        <x:v>Yellow</x:v>
      </x:c>
      <x:c r="K498" s="82" t="str">
        <x:v>N/A</x:v>
      </x:c>
      <x:c r="L498" s="82" t="str">
        <x:v>5SP</x:v>
      </x:c>
      <x:c r="M498" s="82" t="str">
        <x:v>Unpainted / Metal</x:v>
      </x:c>
      <x:c r="N498" s="82" t="str">
        <x:v>Smoke tint</x:v>
      </x:c>
      <x:c r="O498" s="82" t="str">
        <x:v>Black</x:v>
      </x:c>
      <x:c r="P498" s="82" t="str">
        <x:v>Malaysia</x:v>
      </x:c>
      <x:c r="Q498" s="82" t="str"/>
      <x:c r="R498" s="82" t="str">
        <x:v>Mainline</x:v>
      </x:c>
      <x:c r="S498" s="82" t="str">
        <x:v>Rara</x:v>
      </x:c>
      <x:c r="T498" s="82" t="str">
        <x:v>Lançado</x:v>
      </x:c>
      <x:c r="U498" s="82" t="str">
        <x:v>Larger rear wheels</x:v>
      </x:c>
      <x:c r="V498" s="80" t="str">
        <x:v>Coleção principal (~1:64)</x:v>
      </x:c>
      <x:c r="W498" s="82" t="str">
        <x:v>https://hotwheels.fandom.com/wiki/P-911</x:v>
      </x:c>
      <x:c r="X498" s="82" t="str">
        <x:v>https://hotwheels.fandom.com/wiki/P-911</x:v>
      </x:c>
    </x:row>
    <x:row r="499">
      <x:c r="A499" s="80" t="str">
        <x:v>Não</x:v>
      </x:c>
      <x:c r="B499" s="80" t="str">
        <x:v>2 — Completar aos poucos</x:v>
      </x:c>
      <x:c r="C499" s="81" t="n">
        <x:v>1999</x:v>
      </x:c>
      <x:c r="D499" s="80" t="str">
        <x:v>P-911</x:v>
      </x:c>
      <x:c r="E499" s="80" t="str">
        <x:v>P-911</x:v>
      </x:c>
      <x:c r="F499" s="82" t="str">
        <x:v>Mainline</x:v>
      </x:c>
      <x:c r="G499" s="80" t="str"/>
      <x:c r="H499" s="80" t="str">
        <x:v>995</x:v>
      </x:c>
      <x:c r="I499" s="83" t="str"/>
      <x:c r="J499" s="80" t="str">
        <x:v>Yellow</x:v>
      </x:c>
      <x:c r="K499" s="82" t="str">
        <x:v>N/A</x:v>
      </x:c>
      <x:c r="L499" s="82" t="str">
        <x:v>5SP</x:v>
      </x:c>
      <x:c r="M499" s="82" t="str">
        <x:v>Unpainted / / / Metal</x:v>
      </x:c>
      <x:c r="N499" s="82" t="str">
        <x:v>Black tint</x:v>
      </x:c>
      <x:c r="O499" s="82" t="str">
        <x:v>Black</x:v>
      </x:c>
      <x:c r="P499" s="82" t="str">
        <x:v>Malaysia</x:v>
      </x:c>
      <x:c r="Q499" s="82" t="str"/>
      <x:c r="R499" s="82" t="str">
        <x:v>Mainline</x:v>
      </x:c>
      <x:c r="S499" s="82" t="str">
        <x:v>Rara</x:v>
      </x:c>
      <x:c r="T499" s="82" t="str">
        <x:v>Lançado</x:v>
      </x:c>
      <x:c r="U499" s="82" t="str">
        <x:v>Larger rear wheels</x:v>
      </x:c>
      <x:c r="V499" s="80" t="str">
        <x:v>Coleção principal (~1:64)</x:v>
      </x:c>
      <x:c r="W499" s="82" t="str">
        <x:v>https://hotwheels.fandom.com/wiki/P-911</x:v>
      </x:c>
      <x:c r="X499" s="82" t="str">
        <x:v>https://hotwheels.fandom.com/wiki/P-911</x:v>
      </x:c>
    </x:row>
    <x:row r="500">
      <x:c r="A500" s="80" t="str">
        <x:v>Não</x:v>
      </x:c>
      <x:c r="B500" s="80" t="str">
        <x:v>2 — Completar aos poucos</x:v>
      </x:c>
      <x:c r="C500" s="81" t="n">
        <x:v>1999</x:v>
      </x:c>
      <x:c r="D500" s="80" t="str">
        <x:v>P-928</x:v>
      </x:c>
      <x:c r="E500" s="80" t="str">
        <x:v>P-928</x:v>
      </x:c>
      <x:c r="F500" s="82" t="str">
        <x:v>Mainline</x:v>
      </x:c>
      <x:c r="G500" s="80" t="str"/>
      <x:c r="H500" s="80" t="str">
        <x:v>1085</x:v>
      </x:c>
      <x:c r="I500" s="83" t="str">
        <x:v>24099</x:v>
      </x:c>
      <x:c r="J500" s="80" t="str">
        <x:v>Metalflake Gold</x:v>
      </x:c>
      <x:c r="K500" s="82" t="str">
        <x:v>Black Hot Wheels logo</x:v>
      </x:c>
      <x:c r="L500" s="82" t="str">
        <x:v>5DOT</x:v>
      </x:c>
      <x:c r="M500" s="82" t="str">
        <x:v>Unpainted / Metal</x:v>
      </x:c>
      <x:c r="N500" s="82" t="str">
        <x:v>Black</x:v>
      </x:c>
      <x:c r="O500" s="82" t="str"/>
      <x:c r="P500" s="82" t="str">
        <x:v>Malaysia</x:v>
      </x:c>
      <x:c r="Q500" s="82" t="str"/>
      <x:c r="R500" s="82" t="str">
        <x:v>Mainline</x:v>
      </x:c>
      <x:c r="S500" s="82" t="str">
        <x:v>Rara</x:v>
      </x:c>
      <x:c r="T500" s="82" t="str">
        <x:v>Lançado</x:v>
      </x:c>
      <x:c r="U500" s="82" t="str">
        <x:v>named "Porsche 928"</x:v>
      </x:c>
      <x:c r="V500" s="80" t="str">
        <x:v>Coleção principal (~1:64)</x:v>
      </x:c>
      <x:c r="W500" s="82" t="str">
        <x:v>https://hotwheels.fandom.com/wiki/P-928</x:v>
      </x:c>
      <x:c r="X500" s="82" t="str">
        <x:v>https://hotwheels.fandom.com/wiki/P-928</x:v>
      </x:c>
    </x:row>
    <x:row r="501">
      <x:c r="A501" s="80" t="str">
        <x:v>Não</x:v>
      </x:c>
      <x:c r="B501" s="80" t="str">
        <x:v>2 — Completar aos poucos</x:v>
      </x:c>
      <x:c r="C501" s="81" t="n">
        <x:v>1999</x:v>
      </x:c>
      <x:c r="D501" s="80" t="str">
        <x:v>Porsche 550 Spyder</x:v>
      </x:c>
      <x:c r="E501" s="80" t="str">
        <x:v>Porsche 550 Spyder</x:v>
      </x:c>
      <x:c r="F501" s="82" t="str">
        <x:v>100% Hot Wheels</x:v>
      </x:c>
      <x:c r="G501" s="80" t="str"/>
      <x:c r="H501" s="80" t="str"/>
      <x:c r="I501" s="83" t="str">
        <x:v>19804</x:v>
      </x:c>
      <x:c r="J501" s="80" t="str"/>
      <x:c r="K501" s="82" t="str"/>
      <x:c r="L501" s="82" t="str"/>
      <x:c r="M501" s="82" t="str"/>
      <x:c r="N501" s="82" t="str"/>
      <x:c r="O501" s="82" t="str"/>
      <x:c r="P501" s="82" t="str"/>
      <x:c r="Q501" s="82" t="str"/>
      <x:c r="R501" s="82" t="str">
        <x:v>100% / Collectibles</x:v>
      </x:c>
      <x:c r="S501" s="82" t="str">
        <x:v>Rara</x:v>
      </x:c>
      <x:c r="T501" s="82" t="str">
        <x:v>Lançado</x:v>
      </x:c>
      <x:c r="U501" s="82" t="str"/>
      <x:c r="V501" s="80" t="str">
        <x:v>Coleção principal (~1:64)</x:v>
      </x:c>
      <x:c r="W501" s="82" t="str">
        <x:v>https://hotwheels.fandom.com/wiki/Porsche</x:v>
      </x:c>
      <x:c r="X501" s="82" t="str">
        <x:v>https://hotwheels.fandom.com/wiki/Porsche_550_Spyder</x:v>
      </x:c>
    </x:row>
    <x:row r="502">
      <x:c r="A502" s="80" t="str">
        <x:v>Não</x:v>
      </x:c>
      <x:c r="B502" s="80" t="str">
        <x:v>2 — Completar aos poucos</x:v>
      </x:c>
      <x:c r="C502" s="81" t="n">
        <x:v>1999</x:v>
      </x:c>
      <x:c r="D502" s="80" t="str">
        <x:v>Porsche 550 Spyder</x:v>
      </x:c>
      <x:c r="E502" s="80" t="str">
        <x:v>Porsche 550 Spyder</x:v>
      </x:c>
      <x:c r="F502" s="82" t="str">
        <x:v>Porsche 50th Anniversary 4-Car Set</x:v>
      </x:c>
      <x:c r="G502" s="80" t="str"/>
      <x:c r="H502" s="80" t="str"/>
      <x:c r="I502" s="83" t="str">
        <x:v>19486</x:v>
      </x:c>
      <x:c r="J502" s="80" t="str">
        <x:v>Silver</x:v>
      </x:c>
      <x:c r="K502" s="82" t="str">
        <x:v>None</x:v>
      </x:c>
      <x:c r="L502" s="82" t="str">
        <x:v>RR</x:v>
      </x:c>
      <x:c r="M502" s="82" t="str">
        <x:v>Gray / Metal</x:v>
      </x:c>
      <x:c r="N502" s="82" t="str">
        <x:v>Clear</x:v>
      </x:c>
      <x:c r="O502" s="82" t="str">
        <x:v>Silver</x:v>
      </x:c>
      <x:c r="P502" s="82" t="str">
        <x:v>China</x:v>
      </x:c>
      <x:c r="Q502" s="82" t="str"/>
      <x:c r="R502" s="82" t="str">
        <x:v>Outra linha</x:v>
      </x:c>
      <x:c r="S502" s="82" t="str">
        <x:v>Rara</x:v>
      </x:c>
      <x:c r="T502" s="82" t="str">
        <x:v>Lançado</x:v>
      </x:c>
      <x:c r="U502" s="82" t="str"/>
      <x:c r="V502" s="80" t="str">
        <x:v>Coleção principal (~1:64)</x:v>
      </x:c>
      <x:c r="W502" s="82" t="str">
        <x:v>https://hotwheels.fandom.com/wiki/Porsche_550_Spyder</x:v>
      </x:c>
      <x:c r="X502" s="82" t="str">
        <x:v>https://hotwheels.fandom.com/wiki/Porsche_550_Spyder</x:v>
      </x:c>
    </x:row>
    <x:row r="503">
      <x:c r="A503" s="80" t="str">
        <x:v>Não</x:v>
      </x:c>
      <x:c r="B503" s="80" t="str">
        <x:v>2 — Completar aos poucos</x:v>
      </x:c>
      <x:c r="C503" s="81" t="n">
        <x:v>1999</x:v>
      </x:c>
      <x:c r="D503" s="80" t="str">
        <x:v>Porsche 911 Carrera</x:v>
      </x:c>
      <x:c r="E503" s="80" t="str">
        <x:v>Porsche 911 Carrera</x:v>
      </x:c>
      <x:c r="F503" s="82" t="str">
        <x:v>X-Treme Speed 3/4</x:v>
      </x:c>
      <x:c r="G503" s="80" t="str"/>
      <x:c r="H503" s="80" t="str">
        <x:v>967</x:v>
      </x:c>
      <x:c r="I503" s="83" t="str">
        <x:v>21315</x:v>
      </x:c>
      <x:c r="J503" s="80" t="str">
        <x:v>Gray</x:v>
      </x:c>
      <x:c r="K503" s="82" t="str">
        <x:v>Black, Red &amp; White "DIRTBIKE Team"</x:v>
      </x:c>
      <x:c r="L503" s="82" t="str">
        <x:v>Gold 5SP</x:v>
      </x:c>
      <x:c r="M503" s="82" t="str">
        <x:v>Unpainted / Metal</x:v>
      </x:c>
      <x:c r="N503" s="82" t="str">
        <x:v>Grey tint</x:v>
      </x:c>
      <x:c r="O503" s="82" t="str">
        <x:v>White</x:v>
      </x:c>
      <x:c r="P503" s="82" t="str">
        <x:v>Malaysia</x:v>
      </x:c>
      <x:c r="Q503" s="82" t="str"/>
      <x:c r="R503" s="82" t="str">
        <x:v>Mainline</x:v>
      </x:c>
      <x:c r="S503" s="82" t="str">
        <x:v>Rara</x:v>
      </x:c>
      <x:c r="T503" s="82" t="str">
        <x:v>Lançado</x:v>
      </x:c>
      <x:c r="U503" s="82" t="str"/>
      <x:c r="V503" s="80" t="str">
        <x:v>Coleção principal (~1:64)</x:v>
      </x:c>
      <x:c r="W503" s="82" t="str">
        <x:v>https://hotwheels.fandom.com/wiki/Porsche_911_Carrera</x:v>
      </x:c>
      <x:c r="X503" s="82" t="str">
        <x:v>https://hotwheels.fandom.com/wiki/Porsche_911_Carrera</x:v>
      </x:c>
    </x:row>
    <x:row r="504">
      <x:c r="A504" s="80" t="str">
        <x:v>Não</x:v>
      </x:c>
      <x:c r="B504" s="80" t="str">
        <x:v>2 — Completar aos poucos</x:v>
      </x:c>
      <x:c r="C504" s="81" t="n">
        <x:v>1999</x:v>
      </x:c>
      <x:c r="D504" s="80" t="str">
        <x:v>Porsche 911 GT1-98</x:v>
      </x:c>
      <x:c r="E504" s="80" t="str">
        <x:v>Porsche 911 GT1-98</x:v>
      </x:c>
      <x:c r="F504" s="82" t="str">
        <x:v>1999 First Editions 25/26</x:v>
      </x:c>
      <x:c r="G504" s="80" t="str"/>
      <x:c r="H504" s="80" t="str">
        <x:v>676</x:v>
      </x:c>
      <x:c r="I504" s="83" t="str">
        <x:v>18852</x:v>
      </x:c>
      <x:c r="J504" s="80" t="str">
        <x:v>White</x:v>
      </x:c>
      <x:c r="K504" s="82" t="str">
        <x:v>Magenta, Orange, Black, &amp; Gray tampos w/ '2' &amp; racing deco on sides, '2' on hood</x:v>
      </x:c>
      <x:c r="L504" s="82" t="str">
        <x:v>LW</x:v>
      </x:c>
      <x:c r="M504" s="82" t="str">
        <x:v>Black / Plastic</x:v>
      </x:c>
      <x:c r="N504" s="82" t="str">
        <x:v>Clear</x:v>
      </x:c>
      <x:c r="O504" s="82" t="str">
        <x:v>Black</x:v>
      </x:c>
      <x:c r="P504" s="82" t="str">
        <x:v>Malaysia</x:v>
      </x:c>
      <x:c r="Q504" s="82" t="str"/>
      <x:c r="R504" s="82" t="str">
        <x:v>Mainline</x:v>
      </x:c>
      <x:c r="S504" s="82" t="str">
        <x:v>Rara</x:v>
      </x:c>
      <x:c r="T504" s="82" t="str">
        <x:v>Lançado</x:v>
      </x:c>
      <x:c r="U504" s="82" t="str"/>
      <x:c r="V504" s="80" t="str">
        <x:v>Coleção principal (~1:64)</x:v>
      </x:c>
      <x:c r="W504" s="82" t="str">
        <x:v>https://hotwheels.fandom.com/wiki/Porsche_911_GT1-98</x:v>
      </x:c>
      <x:c r="X504" s="82" t="str">
        <x:v>https://hotwheels.fandom.com/wiki/Porsche_911_GT1-98</x:v>
      </x:c>
    </x:row>
    <x:row r="505">
      <x:c r="A505" s="80" t="str">
        <x:v>Não</x:v>
      </x:c>
      <x:c r="B505" s="80" t="str">
        <x:v>2 — Completar aos poucos</x:v>
      </x:c>
      <x:c r="C505" s="81" t="n">
        <x:v>1999</x:v>
      </x:c>
      <x:c r="D505" s="80" t="str">
        <x:v>Porsche 911 GT3 Cup</x:v>
      </x:c>
      <x:c r="E505" s="80" t="str">
        <x:v>Porsche 911 GT3 Cup</x:v>
      </x:c>
      <x:c r="F505" s="82" t="str">
        <x:v>1999 First Editions 10/26</x:v>
      </x:c>
      <x:c r="G505" s="80" t="str"/>
      <x:c r="H505" s="80" t="str">
        <x:v>912</x:v>
      </x:c>
      <x:c r="I505" s="83" t="str">
        <x:v>21059</x:v>
      </x:c>
      <x:c r="J505" s="80" t="str">
        <x:v>Metalflake Purple</x:v>
      </x:c>
      <x:c r="K505" s="82" t="str">
        <x:v>Yellow, Light Green, Red, &amp; White graphics, '8' on sides, Red HW logo</x:v>
      </x:c>
      <x:c r="L505" s="82" t="str">
        <x:v>LW</x:v>
      </x:c>
      <x:c r="M505" s="82" t="str">
        <x:v>Black / Plastic</x:v>
      </x:c>
      <x:c r="N505" s="82" t="str">
        <x:v>Light blue tint</x:v>
      </x:c>
      <x:c r="O505" s="82" t="str">
        <x:v>Orange</x:v>
      </x:c>
      <x:c r="P505" s="82" t="str">
        <x:v>Malaysia</x:v>
      </x:c>
      <x:c r="Q505" s="82" t="str"/>
      <x:c r="R505" s="82" t="str">
        <x:v>Mainline</x:v>
      </x:c>
      <x:c r="S505" s="82" t="str">
        <x:v>Rara</x:v>
      </x:c>
      <x:c r="T505" s="82" t="str">
        <x:v>Lançado</x:v>
      </x:c>
      <x:c r="U505" s="82" t="str">
        <x:v>Black spoiler</x:v>
      </x:c>
      <x:c r="V505" s="80" t="str">
        <x:v>Coleção principal (~1:64)</x:v>
      </x:c>
      <x:c r="W505" s="82" t="str">
        <x:v>https://hotwheels.fandom.com/wiki/Porsche_911_GT3_Cup</x:v>
      </x:c>
      <x:c r="X505" s="82" t="str">
        <x:v>https://hotwheels.fandom.com/wiki/Porsche_911_GT3_Cup</x:v>
      </x:c>
    </x:row>
    <x:row r="506">
      <x:c r="A506" s="80" t="str">
        <x:v>Não</x:v>
      </x:c>
      <x:c r="B506" s="80" t="str">
        <x:v>2 — Completar aos poucos</x:v>
      </x:c>
      <x:c r="C506" s="81" t="n">
        <x:v>1999</x:v>
      </x:c>
      <x:c r="D506" s="80" t="str">
        <x:v>Porsche 911 GT3 Cup</x:v>
      </x:c>
      <x:c r="E506" s="80" t="str">
        <x:v>Porsche 911 GT3 Cup</x:v>
      </x:c>
      <x:c r="F506" s="82" t="str">
        <x:v>1999 First Editions 10/26</x:v>
      </x:c>
      <x:c r="G506" s="80" t="str"/>
      <x:c r="H506" s="80" t="str">
        <x:v>912</x:v>
      </x:c>
      <x:c r="I506" s="83" t="str">
        <x:v>21059</x:v>
      </x:c>
      <x:c r="J506" s="80" t="str">
        <x:v>Metalflake Silver</x:v>
      </x:c>
      <x:c r="K506" s="82" t="str">
        <x:v>Yellow, Green, Red, &amp; White graphics, '8' on sides, Red HW logo</x:v>
      </x:c>
      <x:c r="L506" s="82" t="str">
        <x:v>LW</x:v>
      </x:c>
      <x:c r="M506" s="82" t="str">
        <x:v>Black / Plastic</x:v>
      </x:c>
      <x:c r="N506" s="82" t="str">
        <x:v>Light blue tint</x:v>
      </x:c>
      <x:c r="O506" s="82" t="str">
        <x:v>Orange</x:v>
      </x:c>
      <x:c r="P506" s="82" t="str">
        <x:v>Malaysia</x:v>
      </x:c>
      <x:c r="Q506" s="82" t="str"/>
      <x:c r="R506" s="82" t="str">
        <x:v>Mainline</x:v>
      </x:c>
      <x:c r="S506" s="82" t="str">
        <x:v>Rara</x:v>
      </x:c>
      <x:c r="T506" s="82" t="str">
        <x:v>Lançado</x:v>
      </x:c>
      <x:c r="U506" s="82" t="str">
        <x:v>Yellow spoiler</x:v>
      </x:c>
      <x:c r="V506" s="80" t="str">
        <x:v>Coleção principal (~1:64)</x:v>
      </x:c>
      <x:c r="W506" s="82" t="str">
        <x:v>https://hotwheels.fandom.com/wiki/Porsche_911_GT3_Cup</x:v>
      </x:c>
      <x:c r="X506" s="82" t="str">
        <x:v>https://hotwheels.fandom.com/wiki/Porsche_911_GT3_Cup</x:v>
      </x:c>
    </x:row>
    <x:row r="507">
      <x:c r="A507" s="80" t="str">
        <x:v>Não</x:v>
      </x:c>
      <x:c r="B507" s="80" t="str">
        <x:v>2 — Completar aos poucos</x:v>
      </x:c>
      <x:c r="C507" s="81" t="n">
        <x:v>1999</x:v>
      </x:c>
      <x:c r="D507" s="80" t="str">
        <x:v>Porsche 911 Targa</x:v>
      </x:c>
      <x:c r="E507" s="80" t="str">
        <x:v>Porsche 911 Targa</x:v>
      </x:c>
      <x:c r="F507" s="82" t="str">
        <x:v>Long Haulers</x:v>
      </x:c>
      <x:c r="G507" s="80" t="str"/>
      <x:c r="H507" s="80" t="str"/>
      <x:c r="I507" s="83" t="str">
        <x:v>65867-81</x:v>
      </x:c>
      <x:c r="J507" s="80" t="str">
        <x:v>Metalflake Silver</x:v>
      </x:c>
      <x:c r="K507" s="82" t="str">
        <x:v>Black door handles, Red HW logo on rear window</x:v>
      </x:c>
      <x:c r="L507" s="82" t="str">
        <x:v>5SP</x:v>
      </x:c>
      <x:c r="M507" s="82" t="str">
        <x:v>Black / Plastic</x:v>
      </x:c>
      <x:c r="N507" s="82" t="str">
        <x:v>Clear</x:v>
      </x:c>
      <x:c r="O507" s="82" t="str">
        <x:v>Black</x:v>
      </x:c>
      <x:c r="P507" s="82" t="str">
        <x:v>China</x:v>
      </x:c>
      <x:c r="Q507" s="82" t="str"/>
      <x:c r="R507" s="82" t="str">
        <x:v>Outra linha</x:v>
      </x:c>
      <x:c r="S507" s="82" t="str">
        <x:v>Rara</x:v>
      </x:c>
      <x:c r="T507" s="82" t="str">
        <x:v>Lançado</x:v>
      </x:c>
      <x:c r="U507" s="82" t="str"/>
      <x:c r="V507" s="80" t="str">
        <x:v>Coleção principal (~1:64)</x:v>
      </x:c>
      <x:c r="W507" s="82" t="str">
        <x:v>https://hotwheels.fandom.com/wiki/Porsche_911_Targa</x:v>
      </x:c>
      <x:c r="X507" s="82" t="str">
        <x:v>https://hotwheels.fandom.com/wiki/Porsche_911_Targa</x:v>
      </x:c>
    </x:row>
    <x:row r="508">
      <x:c r="A508" s="80" t="str">
        <x:v>Não</x:v>
      </x:c>
      <x:c r="B508" s="80" t="str">
        <x:v>2 — Completar aos poucos</x:v>
      </x:c>
      <x:c r="C508" s="81" t="n">
        <x:v>1999</x:v>
      </x:c>
      <x:c r="D508" s="80" t="str">
        <x:v>Porsche 911 Targa</x:v>
      </x:c>
      <x:c r="E508" s="80" t="str">
        <x:v>Porsche 911 Targa</x:v>
      </x:c>
      <x:c r="F508" s="82" t="str">
        <x:v>Pavement Pounders</x:v>
      </x:c>
      <x:c r="G508" s="80" t="str"/>
      <x:c r="H508" s="80" t="str"/>
      <x:c r="I508" s="83" t="str">
        <x:v>65867-83</x:v>
      </x:c>
      <x:c r="J508" s="80" t="str">
        <x:v>Metalflake Silver</x:v>
      </x:c>
      <x:c r="K508" s="82" t="str">
        <x:v>Red HW logo on rear window</x:v>
      </x:c>
      <x:c r="L508" s="82" t="str">
        <x:v>5SP</x:v>
      </x:c>
      <x:c r="M508" s="82" t="str">
        <x:v>Black / Plastic</x:v>
      </x:c>
      <x:c r="N508" s="82" t="str">
        <x:v>Clear</x:v>
      </x:c>
      <x:c r="O508" s="82" t="str">
        <x:v>Black</x:v>
      </x:c>
      <x:c r="P508" s="82" t="str">
        <x:v>China</x:v>
      </x:c>
      <x:c r="Q508" s="82" t="str"/>
      <x:c r="R508" s="82" t="str">
        <x:v>Outra linha</x:v>
      </x:c>
      <x:c r="S508" s="82" t="str">
        <x:v>Rara</x:v>
      </x:c>
      <x:c r="T508" s="82" t="str">
        <x:v>Lançado</x:v>
      </x:c>
      <x:c r="U508" s="82" t="str"/>
      <x:c r="V508" s="80" t="str">
        <x:v>Coleção principal (~1:64)</x:v>
      </x:c>
      <x:c r="W508" s="82" t="str">
        <x:v>https://hotwheels.fandom.com/wiki/Porsche_911_Targa</x:v>
      </x:c>
      <x:c r="X508" s="82" t="str">
        <x:v>https://hotwheels.fandom.com/wiki/Porsche_911_Targa</x:v>
      </x:c>
    </x:row>
    <x:row r="509">
      <x:c r="A509" s="80" t="str">
        <x:v>Não</x:v>
      </x:c>
      <x:c r="B509" s="80" t="str">
        <x:v>2 — Completar aos poucos</x:v>
      </x:c>
      <x:c r="C509" s="81" t="n">
        <x:v>1999</x:v>
      </x:c>
      <x:c r="D509" s="80" t="str">
        <x:v>Porsche 917KH</x:v>
      </x:c>
      <x:c r="E509" s="80" t="str">
        <x:v>Porsche 917KH</x:v>
      </x:c>
      <x:c r="F509" s="82" t="str">
        <x:v>Porsche 50th Anniversary 4-Car Set</x:v>
      </x:c>
      <x:c r="G509" s="80" t="str"/>
      <x:c r="H509" s="80" t="str"/>
      <x:c r="I509" s="83" t="str">
        <x:v>19486</x:v>
      </x:c>
      <x:c r="J509" s="80" t="str">
        <x:v>Light Blue</x:v>
      </x:c>
      <x:c r="K509" s="82" t="str">
        <x:v>Orange Stripe, '2' and Gulf Logos</x:v>
      </x:c>
      <x:c r="L509" s="82" t="str">
        <x:v>RR</x:v>
      </x:c>
      <x:c r="M509" s="82" t="str">
        <x:v>Light Blue / Metal</x:v>
      </x:c>
      <x:c r="N509" s="82" t="str">
        <x:v>Clear</x:v>
      </x:c>
      <x:c r="O509" s="82" t="str">
        <x:v>Black</x:v>
      </x:c>
      <x:c r="P509" s="82" t="str">
        <x:v>China</x:v>
      </x:c>
      <x:c r="Q509" s="82" t="str"/>
      <x:c r="R509" s="82" t="str">
        <x:v>Outra linha</x:v>
      </x:c>
      <x:c r="S509" s="82" t="str">
        <x:v>Rara</x:v>
      </x:c>
      <x:c r="T509" s="82" t="str">
        <x:v>Lançado</x:v>
      </x:c>
      <x:c r="U509" s="82" t="str"/>
      <x:c r="V509" s="80" t="str">
        <x:v>Coleção principal (~1:64)</x:v>
      </x:c>
      <x:c r="W509" s="82" t="str">
        <x:v>https://hotwheels.fandom.com/wiki/Porsche_917KH</x:v>
      </x:c>
      <x:c r="X509" s="82" t="str">
        <x:v>https://hotwheels.fandom.com/wiki/Porsche_917KH</x:v>
      </x:c>
    </x:row>
    <x:row r="510">
      <x:c r="A510" s="80" t="str">
        <x:v>Não</x:v>
      </x:c>
      <x:c r="B510" s="80" t="str">
        <x:v>2 — Completar aos poucos</x:v>
      </x:c>
      <x:c r="C510" s="81" t="n">
        <x:v>1999</x:v>
      </x:c>
      <x:c r="D510" s="80" t="str">
        <x:v>Porsche 930</x:v>
      </x:c>
      <x:c r="E510" s="80" t="str">
        <x:v>Porsche 930</x:v>
      </x:c>
      <x:c r="F510" s="82" t="str">
        <x:v>Alien Attack 5-Pack</x:v>
      </x:c>
      <x:c r="G510" s="80" t="str"/>
      <x:c r="H510" s="80" t="str"/>
      <x:c r="I510" s="83" t="str">
        <x:v>21077</x:v>
      </x:c>
      <x:c r="J510" s="80" t="str">
        <x:v>Metalflake Gold</x:v>
      </x:c>
      <x:c r="K510" s="82" t="str">
        <x:v>White, Orange, Black "2"</x:v>
      </x:c>
      <x:c r="L510" s="82" t="str">
        <x:v>3SP</x:v>
      </x:c>
      <x:c r="M510" s="82" t="str">
        <x:v>Unpainted / Metal</x:v>
      </x:c>
      <x:c r="N510" s="82" t="str">
        <x:v>Smoke tint</x:v>
      </x:c>
      <x:c r="O510" s="82" t="str">
        <x:v>Black</x:v>
      </x:c>
      <x:c r="P510" s="82" t="str">
        <x:v>Thailand or Malaysia</x:v>
      </x:c>
      <x:c r="Q510" s="82" t="str"/>
      <x:c r="R510" s="82" t="str">
        <x:v>Temática / multipack</x:v>
      </x:c>
      <x:c r="S510" s="82" t="str">
        <x:v>Rara</x:v>
      </x:c>
      <x:c r="T510" s="82" t="str">
        <x:v>Lançado</x:v>
      </x:c>
      <x:c r="U510" s="82" t="str"/>
      <x:c r="V510" s="80" t="str">
        <x:v>Coleção principal (~1:64)</x:v>
      </x:c>
      <x:c r="W510" s="82" t="str">
        <x:v>https://hotwheels.fandom.com/wiki/Porsche_930</x:v>
      </x:c>
      <x:c r="X510" s="82" t="str">
        <x:v>https://hotwheels.fandom.com/wiki/Porsche_930</x:v>
      </x:c>
    </x:row>
    <x:row r="511">
      <x:c r="A511" s="80" t="str">
        <x:v>Não</x:v>
      </x:c>
      <x:c r="B511" s="80" t="str">
        <x:v>2 — Completar aos poucos</x:v>
      </x:c>
      <x:c r="C511" s="81" t="n">
        <x:v>1999</x:v>
      </x:c>
      <x:c r="D511" s="80" t="str">
        <x:v>Porsche 930 Turbo</x:v>
      </x:c>
      <x:c r="E511" s="80" t="str">
        <x:v>Porsche 930 Turbo</x:v>
      </x:c>
      <x:c r="F511" s="82" t="str">
        <x:v>100% Hot Wheels</x:v>
      </x:c>
      <x:c r="G511" s="80" t="str"/>
      <x:c r="H511" s="80" t="str"/>
      <x:c r="I511" s="83" t="str">
        <x:v>19806</x:v>
      </x:c>
      <x:c r="J511" s="80" t="str"/>
      <x:c r="K511" s="82" t="str"/>
      <x:c r="L511" s="82" t="str"/>
      <x:c r="M511" s="82" t="str"/>
      <x:c r="N511" s="82" t="str"/>
      <x:c r="O511" s="82" t="str"/>
      <x:c r="P511" s="82" t="str"/>
      <x:c r="Q511" s="82" t="str"/>
      <x:c r="R511" s="82" t="str">
        <x:v>100% / Collectibles</x:v>
      </x:c>
      <x:c r="S511" s="82" t="str">
        <x:v>Rara</x:v>
      </x:c>
      <x:c r="T511" s="82" t="str">
        <x:v>Lançado</x:v>
      </x:c>
      <x:c r="U511" s="82" t="str"/>
      <x:c r="V511" s="80" t="str">
        <x:v>Coleção principal (~1:64)</x:v>
      </x:c>
      <x:c r="W511" s="82" t="str">
        <x:v>https://hotwheels.fandom.com/wiki/Porsche</x:v>
      </x:c>
      <x:c r="X511" s="82" t="str">
        <x:v>https://hotwheels.fandom.com/wiki/Porsche_930_Turbo</x:v>
      </x:c>
    </x:row>
    <x:row r="512">
      <x:c r="A512" s="80" t="str">
        <x:v>Não</x:v>
      </x:c>
      <x:c r="B512" s="80" t="str">
        <x:v>2 — Completar aos poucos</x:v>
      </x:c>
      <x:c r="C512" s="81" t="n">
        <x:v>1999</x:v>
      </x:c>
      <x:c r="D512" s="80" t="str">
        <x:v>Porsche 930 Turbo</x:v>
      </x:c>
      <x:c r="E512" s="80" t="str">
        <x:v>Porsche 930 Turbo</x:v>
      </x:c>
      <x:c r="F512" s="82" t="str">
        <x:v>Porsche 50th Anniversary 4-Car Set</x:v>
      </x:c>
      <x:c r="G512" s="80" t="str"/>
      <x:c r="H512" s="80" t="str"/>
      <x:c r="I512" s="83" t="str">
        <x:v>19486</x:v>
      </x:c>
      <x:c r="J512" s="80" t="str">
        <x:v>Red</x:v>
      </x:c>
      <x:c r="K512" s="82" t="str">
        <x:v>Black Stripe on side and Porsche logo on hood</x:v>
      </x:c>
      <x:c r="L512" s="82" t="str">
        <x:v>RR</x:v>
      </x:c>
      <x:c r="M512" s="82" t="str">
        <x:v>Gray / / / Metal</x:v>
      </x:c>
      <x:c r="N512" s="82" t="str">
        <x:v>Clear</x:v>
      </x:c>
      <x:c r="O512" s="82" t="str">
        <x:v>Black</x:v>
      </x:c>
      <x:c r="P512" s="82" t="str">
        <x:v>China</x:v>
      </x:c>
      <x:c r="Q512" s="82" t="str"/>
      <x:c r="R512" s="82" t="str">
        <x:v>Outra linha</x:v>
      </x:c>
      <x:c r="S512" s="82" t="str">
        <x:v>Rara</x:v>
      </x:c>
      <x:c r="T512" s="82" t="str">
        <x:v>Lançado</x:v>
      </x:c>
      <x:c r="U512" s="82" t="str"/>
      <x:c r="V512" s="80" t="str">
        <x:v>Coleção principal (~1:64)</x:v>
      </x:c>
      <x:c r="W512" s="82" t="str">
        <x:v>https://hotwheels.fandom.com/wiki/Porsche_930_Turbo</x:v>
      </x:c>
      <x:c r="X512" s="82" t="str">
        <x:v>https://hotwheels.fandom.com/wiki/Porsche_930_Turbo</x:v>
      </x:c>
    </x:row>
    <x:row r="513">
      <x:c r="A513" s="80" t="str">
        <x:v>Não</x:v>
      </x:c>
      <x:c r="B513" s="80" t="str">
        <x:v>2 — Completar aos poucos</x:v>
      </x:c>
      <x:c r="C513" s="81" t="n">
        <x:v>1999</x:v>
      </x:c>
      <x:c r="D513" s="80" t="str">
        <x:v>Porsche 959</x:v>
      </x:c>
      <x:c r="E513" s="80" t="str">
        <x:v>Porsche 959</x:v>
      </x:c>
      <x:c r="F513" s="82" t="str">
        <x:v>Criss Cross Crash 5-pack</x:v>
      </x:c>
      <x:c r="G513" s="80" t="str"/>
      <x:c r="H513" s="80" t="str"/>
      <x:c r="I513" s="83" t="str">
        <x:v>21081</x:v>
      </x:c>
      <x:c r="J513" s="80" t="str">
        <x:v>Grey</x:v>
      </x:c>
      <x:c r="K513" s="82" t="str">
        <x:v>Red, Black, White "959" "Twin Turbo"</x:v>
      </x:c>
      <x:c r="L513" s="82" t="str">
        <x:v>5DOT</x:v>
      </x:c>
      <x:c r="M513" s="82" t="str">
        <x:v>Unpainted / Metal</x:v>
      </x:c>
      <x:c r="N513" s="82" t="str">
        <x:v>Blue tint</x:v>
      </x:c>
      <x:c r="O513" s="82" t="str">
        <x:v>Black</x:v>
      </x:c>
      <x:c r="P513" s="82" t="str">
        <x:v>Malaysia, Thailand</x:v>
      </x:c>
      <x:c r="Q513" s="82" t="str"/>
      <x:c r="R513" s="82" t="str">
        <x:v>Temática / multipack</x:v>
      </x:c>
      <x:c r="S513" s="82" t="str">
        <x:v>Rara</x:v>
      </x:c>
      <x:c r="T513" s="82" t="str">
        <x:v>Lançado</x:v>
      </x:c>
      <x:c r="U513" s="82" t="str"/>
      <x:c r="V513" s="80" t="str">
        <x:v>Coleção principal (~1:64)</x:v>
      </x:c>
      <x:c r="W513" s="82" t="str">
        <x:v>https://hotwheels.fandom.com/wiki/Porsche_959</x:v>
      </x:c>
      <x:c r="X513" s="82" t="str">
        <x:v>https://hotwheels.fandom.com/wiki/Porsche_959</x:v>
      </x:c>
    </x:row>
    <x:row r="514">
      <x:c r="A514" s="80" t="str">
        <x:v>Não</x:v>
      </x:c>
      <x:c r="B514" s="80" t="str">
        <x:v>2 — Completar aos poucos</x:v>
      </x:c>
      <x:c r="C514" s="81" t="n">
        <x:v>1999</x:v>
      </x:c>
      <x:c r="D514" s="80" t="str">
        <x:v>Porsche 959</x:v>
      </x:c>
      <x:c r="E514" s="80" t="str">
        <x:v>Porsche 959</x:v>
      </x:c>
      <x:c r="F514" s="82" t="str">
        <x:v>Mainline</x:v>
      </x:c>
      <x:c r="G514" s="80" t="str"/>
      <x:c r="H514" s="80" t="str">
        <x:v>1054</x:v>
      </x:c>
      <x:c r="I514" s="83" t="str">
        <x:v>24068</x:v>
      </x:c>
      <x:c r="J514" s="80" t="str">
        <x:v>Black</x:v>
      </x:c>
      <x:c r="K514" s="82" t="str">
        <x:v>Small Hot Wheels logo on hood</x:v>
      </x:c>
      <x:c r="L514" s="82" t="str">
        <x:v>LW</x:v>
      </x:c>
      <x:c r="M514" s="82" t="str">
        <x:v>Unpainted / Metal</x:v>
      </x:c>
      <x:c r="N514" s="82" t="str">
        <x:v>Clear</x:v>
      </x:c>
      <x:c r="O514" s="82" t="str">
        <x:v>Tan</x:v>
      </x:c>
      <x:c r="P514" s="82" t="str">
        <x:v>China</x:v>
      </x:c>
      <x:c r="Q514" s="82" t="str"/>
      <x:c r="R514" s="82" t="str">
        <x:v>Mainline</x:v>
      </x:c>
      <x:c r="S514" s="82" t="str">
        <x:v>Rara</x:v>
      </x:c>
      <x:c r="T514" s="82" t="str">
        <x:v>Lançado</x:v>
      </x:c>
      <x:c r="U514" s="82" t="str"/>
      <x:c r="V514" s="80" t="str">
        <x:v>Coleção principal (~1:64)</x:v>
      </x:c>
      <x:c r="W514" s="82" t="str">
        <x:v>https://hotwheels.fandom.com/wiki/Porsche_959</x:v>
      </x:c>
      <x:c r="X514" s="82" t="str">
        <x:v>https://hotwheels.fandom.com/wiki/Porsche_959</x:v>
      </x:c>
    </x:row>
    <x:row r="515">
      <x:c r="A515" s="80" t="str">
        <x:v>Não</x:v>
      </x:c>
      <x:c r="B515" s="80" t="str">
        <x:v>2 — Completar aos poucos</x:v>
      </x:c>
      <x:c r="C515" s="81" t="n">
        <x:v>1999</x:v>
      </x:c>
      <x:c r="D515" s="80" t="str">
        <x:v>Porsche 959</x:v>
      </x:c>
      <x:c r="E515" s="80" t="str">
        <x:v>Porsche 959</x:v>
      </x:c>
      <x:c r="F515" s="82" t="str">
        <x:v>Mainline</x:v>
      </x:c>
      <x:c r="G515" s="80" t="str"/>
      <x:c r="H515" s="80" t="str">
        <x:v>1030</x:v>
      </x:c>
      <x:c r="I515" s="83" t="str">
        <x:v>22390</x:v>
      </x:c>
      <x:c r="J515" s="80" t="str">
        <x:v>Grey</x:v>
      </x:c>
      <x:c r="K515" s="82" t="str">
        <x:v>Red, Black, White "959" "Twin Turbo"</x:v>
      </x:c>
      <x:c r="L515" s="82" t="str">
        <x:v>5DOT</x:v>
      </x:c>
      <x:c r="M515" s="82" t="str">
        <x:v>Unpainted / Metal</x:v>
      </x:c>
      <x:c r="N515" s="82" t="str">
        <x:v>Blue tint</x:v>
      </x:c>
      <x:c r="O515" s="82" t="str">
        <x:v>Black</x:v>
      </x:c>
      <x:c r="P515" s="82" t="str">
        <x:v>Malaysia</x:v>
      </x:c>
      <x:c r="Q515" s="82" t="str"/>
      <x:c r="R515" s="82" t="str">
        <x:v>Mainline</x:v>
      </x:c>
      <x:c r="S515" s="82" t="str">
        <x:v>Rara</x:v>
      </x:c>
      <x:c r="T515" s="82" t="str">
        <x:v>Lançado</x:v>
      </x:c>
      <x:c r="U515" s="82" t="str">
        <x:v>Also with China base</x:v>
      </x:c>
      <x:c r="V515" s="80" t="str">
        <x:v>Coleção principal (~1:64)</x:v>
      </x:c>
      <x:c r="W515" s="82" t="str">
        <x:v>https://hotwheels.fandom.com/wiki/Porsche_959</x:v>
      </x:c>
      <x:c r="X515" s="82" t="str">
        <x:v>https://hotwheels.fandom.com/wiki/Porsche_959</x:v>
      </x:c>
    </x:row>
    <x:row r="516">
      <x:c r="A516" s="80" t="str">
        <x:v>Não</x:v>
      </x:c>
      <x:c r="B516" s="80" t="str">
        <x:v>2 — Completar aos poucos</x:v>
      </x:c>
      <x:c r="C516" s="81" t="n">
        <x:v>1998</x:v>
      </x:c>
      <x:c r="D516" s="80" t="str">
        <x:v>P-911</x:v>
      </x:c>
      <x:c r="E516" s="80" t="str">
        <x:v>P-911</x:v>
      </x:c>
      <x:c r="F516" s="82" t="str">
        <x:v>Mainline</x:v>
      </x:c>
      <x:c r="G516" s="80" t="str"/>
      <x:c r="H516" s="80" t="str"/>
      <x:c r="I516" s="83" t="str"/>
      <x:c r="J516" s="80" t="str">
        <x:v>Blue</x:v>
      </x:c>
      <x:c r="K516" s="82" t="str">
        <x:v>Tampos are Different colours hues</x:v>
      </x:c>
      <x:c r="L516" s="82" t="str">
        <x:v>3SP</x:v>
      </x:c>
      <x:c r="M516" s="82" t="str">
        <x:v>Unpainted / Metal</x:v>
      </x:c>
      <x:c r="N516" s="82" t="str">
        <x:v>Smoke tint</x:v>
      </x:c>
      <x:c r="O516" s="82" t="str">
        <x:v>Black</x:v>
      </x:c>
      <x:c r="P516" s="82" t="str">
        <x:v>Malaysia</x:v>
      </x:c>
      <x:c r="Q516" s="82" t="str"/>
      <x:c r="R516" s="82" t="str">
        <x:v>Mainline</x:v>
      </x:c>
      <x:c r="S516" s="82" t="str">
        <x:v>Rara</x:v>
      </x:c>
      <x:c r="T516" s="82" t="str">
        <x:v>Lançado</x:v>
      </x:c>
      <x:c r="U516" s="82" t="str">
        <x:v>Europe only</x:v>
      </x:c>
      <x:c r="V516" s="80" t="str">
        <x:v>Coleção principal (~1:64)</x:v>
      </x:c>
      <x:c r="W516" s="82" t="str">
        <x:v>https://hotwheels.fandom.com/wiki/P-911</x:v>
      </x:c>
      <x:c r="X516" s="82" t="str">
        <x:v>https://hotwheels.fandom.com/wiki/P-911</x:v>
      </x:c>
    </x:row>
    <x:row r="517">
      <x:c r="A517" s="80" t="str">
        <x:v>Não</x:v>
      </x:c>
      <x:c r="B517" s="80" t="str">
        <x:v>2 — Completar aos poucos</x:v>
      </x:c>
      <x:c r="C517" s="81" t="n">
        <x:v>1998</x:v>
      </x:c>
      <x:c r="D517" s="80" t="str">
        <x:v>P-911</x:v>
      </x:c>
      <x:c r="E517" s="80" t="str">
        <x:v>P-911</x:v>
      </x:c>
      <x:c r="F517" s="82" t="str">
        <x:v>Mainline</x:v>
      </x:c>
      <x:c r="G517" s="80" t="str"/>
      <x:c r="H517" s="80" t="str"/>
      <x:c r="I517" s="83" t="str"/>
      <x:c r="J517" s="80" t="str">
        <x:v>Blue</x:v>
      </x:c>
      <x:c r="K517" s="82" t="str">
        <x:v>Tampos are Different colours hues</x:v>
      </x:c>
      <x:c r="L517" s="82" t="str">
        <x:v>3SP</x:v>
      </x:c>
      <x:c r="M517" s="82" t="str">
        <x:v>Unpainted / / / Metal</x:v>
      </x:c>
      <x:c r="N517" s="82" t="str">
        <x:v>Tinted</x:v>
      </x:c>
      <x:c r="O517" s="82" t="str">
        <x:v>Black</x:v>
      </x:c>
      <x:c r="P517" s="82" t="str">
        <x:v>Malaysia</x:v>
      </x:c>
      <x:c r="Q517" s="82" t="str"/>
      <x:c r="R517" s="82" t="str">
        <x:v>Mainline</x:v>
      </x:c>
      <x:c r="S517" s="82" t="str">
        <x:v>Rara</x:v>
      </x:c>
      <x:c r="T517" s="82" t="str">
        <x:v>Lançado</x:v>
      </x:c>
      <x:c r="U517" s="82" t="str">
        <x:v>Europe only</x:v>
      </x:c>
      <x:c r="V517" s="80" t="str">
        <x:v>Coleção principal (~1:64)</x:v>
      </x:c>
      <x:c r="W517" s="82" t="str">
        <x:v>https://hotwheels.fandom.com/wiki/P-911</x:v>
      </x:c>
      <x:c r="X517" s="82" t="str">
        <x:v>https://hotwheels.fandom.com/wiki/P-911</x:v>
      </x:c>
    </x:row>
    <x:row r="518">
      <x:c r="A518" s="80" t="str">
        <x:v>Não</x:v>
      </x:c>
      <x:c r="B518" s="80" t="str">
        <x:v>2 — Completar aos poucos</x:v>
      </x:c>
      <x:c r="C518" s="81" t="n">
        <x:v>1998</x:v>
      </x:c>
      <x:c r="D518" s="80" t="str">
        <x:v>P-911</x:v>
      </x:c>
      <x:c r="E518" s="80" t="str">
        <x:v>P-911</x:v>
      </x:c>
      <x:c r="F518" s="82" t="str">
        <x:v>Mainline</x:v>
      </x:c>
      <x:c r="G518" s="80" t="str"/>
      <x:c r="H518" s="80" t="str">
        <x:v>590</x:v>
      </x:c>
      <x:c r="I518" s="83" t="str"/>
      <x:c r="J518" s="80" t="str">
        <x:v>Red</x:v>
      </x:c>
      <x:c r="K518" s="82" t="str">
        <x:v>Black hw logo on hood</x:v>
      </x:c>
      <x:c r="L518" s="82" t="str">
        <x:v>SB</x:v>
      </x:c>
      <x:c r="M518" s="82" t="str">
        <x:v>Unpainted / Metal</x:v>
      </x:c>
      <x:c r="N518" s="82" t="str">
        <x:v>Smoke tint</x:v>
      </x:c>
      <x:c r="O518" s="82" t="str">
        <x:v>Black</x:v>
      </x:c>
      <x:c r="P518" s="82" t="str">
        <x:v>Malaysia</x:v>
      </x:c>
      <x:c r="Q518" s="82" t="str"/>
      <x:c r="R518" s="82" t="str">
        <x:v>Mainline</x:v>
      </x:c>
      <x:c r="S518" s="82" t="str">
        <x:v>Rara</x:v>
      </x:c>
      <x:c r="T518" s="82" t="str">
        <x:v>Lançado</x:v>
      </x:c>
      <x:c r="U518" s="82" t="str">
        <x:v>Identical to 1996 release</x:v>
      </x:c>
      <x:c r="V518" s="80" t="str">
        <x:v>Coleção principal (~1:64)</x:v>
      </x:c>
      <x:c r="W518" s="82" t="str">
        <x:v>https://hotwheels.fandom.com/wiki/P-911</x:v>
      </x:c>
      <x:c r="X518" s="82" t="str">
        <x:v>https://hotwheels.fandom.com/wiki/P-911</x:v>
      </x:c>
    </x:row>
    <x:row r="519">
      <x:c r="A519" s="80" t="str">
        <x:v>Não</x:v>
      </x:c>
      <x:c r="B519" s="80" t="str">
        <x:v>2 — Completar aos poucos</x:v>
      </x:c>
      <x:c r="C519" s="81" t="n">
        <x:v>1998</x:v>
      </x:c>
      <x:c r="D519" s="80" t="str">
        <x:v>P-911</x:v>
      </x:c>
      <x:c r="E519" s="80" t="str">
        <x:v>P-911</x:v>
      </x:c>
      <x:c r="F519" s="82" t="str">
        <x:v>Mainline</x:v>
      </x:c>
      <x:c r="G519" s="80" t="str"/>
      <x:c r="H519" s="80" t="str">
        <x:v>590</x:v>
      </x:c>
      <x:c r="I519" s="83" t="str"/>
      <x:c r="J519" s="80" t="str">
        <x:v>Red</x:v>
      </x:c>
      <x:c r="K519" s="82" t="str">
        <x:v>Black hw logo on hood</x:v>
      </x:c>
      <x:c r="L519" s="82" t="str">
        <x:v>SB</x:v>
      </x:c>
      <x:c r="M519" s="82" t="str">
        <x:v>Unpainted / / / Metal</x:v>
      </x:c>
      <x:c r="N519" s="82" t="str">
        <x:v>Black</x:v>
      </x:c>
      <x:c r="O519" s="82" t="str">
        <x:v>Black</x:v>
      </x:c>
      <x:c r="P519" s="82" t="str">
        <x:v>Malaysia</x:v>
      </x:c>
      <x:c r="Q519" s="82" t="str"/>
      <x:c r="R519" s="82" t="str">
        <x:v>Mainline</x:v>
      </x:c>
      <x:c r="S519" s="82" t="str">
        <x:v>Rara</x:v>
      </x:c>
      <x:c r="T519" s="82" t="str">
        <x:v>Lançado</x:v>
      </x:c>
      <x:c r="U519" s="82" t="str">
        <x:v>Identical to 1996 release</x:v>
      </x:c>
      <x:c r="V519" s="80" t="str">
        <x:v>Coleção principal (~1:64)</x:v>
      </x:c>
      <x:c r="W519" s="82" t="str">
        <x:v>https://hotwheels.fandom.com/wiki/P-911</x:v>
      </x:c>
      <x:c r="X519" s="82" t="str">
        <x:v>https://hotwheels.fandom.com/wiki/P-911</x:v>
      </x:c>
    </x:row>
    <x:row r="520">
      <x:c r="A520" s="80" t="str">
        <x:v>Não</x:v>
      </x:c>
      <x:c r="B520" s="80" t="str">
        <x:v>2 — Completar aos poucos</x:v>
      </x:c>
      <x:c r="C520" s="81" t="n">
        <x:v>1998</x:v>
      </x:c>
      <x:c r="D520" s="80" t="str">
        <x:v>P-911</x:v>
      </x:c>
      <x:c r="E520" s="80" t="str">
        <x:v>P-911</x:v>
      </x:c>
      <x:c r="F520" s="82" t="str">
        <x:v>Toys R Us 10-Car Gift Set exclusive</x:v>
      </x:c>
      <x:c r="G520" s="80" t="str"/>
      <x:c r="H520" s="80" t="str"/>
      <x:c r="I520" s="83" t="str"/>
      <x:c r="J520" s="80" t="str">
        <x:v>Purple</x:v>
      </x:c>
      <x:c r="K520" s="82" t="str">
        <x:v>Black "Hot Wheels" logo on hood</x:v>
      </x:c>
      <x:c r="L520" s="82" t="str">
        <x:v>5SP</x:v>
      </x:c>
      <x:c r="M520" s="82" t="str">
        <x:v>Unpainted / Metal</x:v>
      </x:c>
      <x:c r="N520" s="82" t="str">
        <x:v>Red tint</x:v>
      </x:c>
      <x:c r="O520" s="82" t="str">
        <x:v>Red</x:v>
      </x:c>
      <x:c r="P520" s="82" t="str">
        <x:v>Malaysia</x:v>
      </x:c>
      <x:c r="Q520" s="82" t="str"/>
      <x:c r="R520" s="82" t="str">
        <x:v>Outra linha</x:v>
      </x:c>
      <x:c r="S520" s="82" t="str">
        <x:v>Rara</x:v>
      </x:c>
      <x:c r="T520" s="82" t="str">
        <x:v>Lançado</x:v>
      </x:c>
      <x:c r="U520" s="82" t="str"/>
      <x:c r="V520" s="80" t="str">
        <x:v>Coleção principal (~1:64)</x:v>
      </x:c>
      <x:c r="W520" s="82" t="str">
        <x:v>https://hotwheels.fandom.com/wiki/P-911</x:v>
      </x:c>
      <x:c r="X520" s="82" t="str">
        <x:v>https://hotwheels.fandom.com/wiki/P-911</x:v>
      </x:c>
    </x:row>
    <x:row r="521">
      <x:c r="A521" s="80" t="str">
        <x:v>Não</x:v>
      </x:c>
      <x:c r="B521" s="80" t="str">
        <x:v>2 — Completar aos poucos</x:v>
      </x:c>
      <x:c r="C521" s="81" t="n">
        <x:v>1998</x:v>
      </x:c>
      <x:c r="D521" s="80" t="str">
        <x:v>P-928</x:v>
      </x:c>
      <x:c r="E521" s="80" t="str">
        <x:v>P-928</x:v>
      </x:c>
      <x:c r="F521" s="82" t="str">
        <x:v>Flag Flyers 5-Pack</x:v>
      </x:c>
      <x:c r="G521" s="80" t="str"/>
      <x:c r="H521" s="80" t="str"/>
      <x:c r="I521" s="83" t="str">
        <x:v>18834</x:v>
      </x:c>
      <x:c r="J521" s="80" t="str">
        <x:v>Silver</x:v>
      </x:c>
      <x:c r="K521" s="82" t="str">
        <x:v>Black, Red &amp; Yellow; Porsche logo; racing decals "9"</x:v>
      </x:c>
      <x:c r="L521" s="82" t="str">
        <x:v>5DOT</x:v>
      </x:c>
      <x:c r="M521" s="82" t="str">
        <x:v>Unpainted / Metal</x:v>
      </x:c>
      <x:c r="N521" s="82" t="str">
        <x:v>Black</x:v>
      </x:c>
      <x:c r="O521" s="82" t="str"/>
      <x:c r="P521" s="82" t="str">
        <x:v>Thailand</x:v>
      </x:c>
      <x:c r="Q521" s="82" t="str"/>
      <x:c r="R521" s="82" t="str">
        <x:v>Temática / multipack</x:v>
      </x:c>
      <x:c r="S521" s="82" t="str">
        <x:v>Rara</x:v>
      </x:c>
      <x:c r="T521" s="82" t="str">
        <x:v>Lançado</x:v>
      </x:c>
      <x:c r="U521" s="82" t="str"/>
      <x:c r="V521" s="80" t="str">
        <x:v>Coleção principal (~1:64)</x:v>
      </x:c>
      <x:c r="W521" s="82" t="str">
        <x:v>https://hotwheels.fandom.com/wiki/P-928</x:v>
      </x:c>
      <x:c r="X521" s="82" t="str">
        <x:v>https://hotwheels.fandom.com/wiki/P-928</x:v>
      </x:c>
    </x:row>
    <x:row r="522">
      <x:c r="A522" s="80" t="str">
        <x:v>Não</x:v>
      </x:c>
      <x:c r="B522" s="80" t="str">
        <x:v>2 — Completar aos poucos</x:v>
      </x:c>
      <x:c r="C522" s="81" t="n">
        <x:v>1998</x:v>
      </x:c>
      <x:c r="D522" s="80" t="str">
        <x:v>P-928</x:v>
      </x:c>
      <x:c r="E522" s="80" t="str">
        <x:v>P-928</x:v>
      </x:c>
      <x:c r="F522" s="82" t="str">
        <x:v>Mainline</x:v>
      </x:c>
      <x:c r="G522" s="80" t="str"/>
      <x:c r="H522" s="80" t="str">
        <x:v>817</x:v>
      </x:c>
      <x:c r="I522" s="83" t="str">
        <x:v>19986</x:v>
      </x:c>
      <x:c r="J522" s="80" t="str">
        <x:v>Pearl White</x:v>
      </x:c>
      <x:c r="K522" s="82" t="str">
        <x:v>Red Hot Wheels logo on hood</x:v>
      </x:c>
      <x:c r="L522" s="82" t="str">
        <x:v>LW</x:v>
      </x:c>
      <x:c r="M522" s="82" t="str">
        <x:v>Unpainted / Metal</x:v>
      </x:c>
      <x:c r="N522" s="82" t="str">
        <x:v>Black</x:v>
      </x:c>
      <x:c r="O522" s="82" t="str"/>
      <x:c r="P522" s="82" t="str">
        <x:v>Malaysia</x:v>
      </x:c>
      <x:c r="Q522" s="82" t="str"/>
      <x:c r="R522" s="82" t="str">
        <x:v>Mainline</x:v>
      </x:c>
      <x:c r="S522" s="82" t="str">
        <x:v>Rara</x:v>
      </x:c>
      <x:c r="T522" s="82" t="str">
        <x:v>Lançado</x:v>
      </x:c>
      <x:c r="U522" s="82" t="str">
        <x:v>Named "Porsche 928"</x:v>
      </x:c>
      <x:c r="V522" s="80" t="str">
        <x:v>Coleção principal (~1:64)</x:v>
      </x:c>
      <x:c r="W522" s="82" t="str">
        <x:v>https://hotwheels.fandom.com/wiki/P-928</x:v>
      </x:c>
      <x:c r="X522" s="82" t="str">
        <x:v>https://hotwheels.fandom.com/wiki/P-928</x:v>
      </x:c>
    </x:row>
    <x:row r="523">
      <x:c r="A523" s="80" t="str">
        <x:v>Não</x:v>
      </x:c>
      <x:c r="B523" s="80" t="str">
        <x:v>2 — Completar aos poucos</x:v>
      </x:c>
      <x:c r="C523" s="81" t="n">
        <x:v>1998</x:v>
      </x:c>
      <x:c r="D523" s="80" t="str">
        <x:v>Porsche 911 Carrera</x:v>
      </x:c>
      <x:c r="E523" s="80" t="str">
        <x:v>Porsche 911 Carrera</x:v>
      </x:c>
      <x:c r="F523" s="82" t="str">
        <x:v>Mainline</x:v>
      </x:c>
      <x:c r="G523" s="80" t="str"/>
      <x:c r="H523" s="80" t="str">
        <x:v>818</x:v>
      </x:c>
      <x:c r="I523" s="83" t="str">
        <x:v>19987</x:v>
      </x:c>
      <x:c r="J523" s="80" t="str">
        <x:v>Metalflake Dark Red</x:v>
      </x:c>
      <x:c r="K523" s="82" t="str">
        <x:v>tiny Yellow Hot Wheels Logo</x:v>
      </x:c>
      <x:c r="L523" s="82" t="str">
        <x:v>Gold 5SP</x:v>
      </x:c>
      <x:c r="M523" s="82" t="str">
        <x:v>Unpainted / Metal</x:v>
      </x:c>
      <x:c r="N523" s="82" t="str">
        <x:v>Grey tint</x:v>
      </x:c>
      <x:c r="O523" s="82" t="str">
        <x:v>Tan</x:v>
      </x:c>
      <x:c r="P523" s="82" t="str">
        <x:v>Malaysia</x:v>
      </x:c>
      <x:c r="Q523" s="82" t="str"/>
      <x:c r="R523" s="82" t="str">
        <x:v>Mainline</x:v>
      </x:c>
      <x:c r="S523" s="82" t="str">
        <x:v>Rara</x:v>
      </x:c>
      <x:c r="T523" s="82" t="str">
        <x:v>Lançado</x:v>
      </x:c>
      <x:c r="U523" s="82" t="str"/>
      <x:c r="V523" s="80" t="str">
        <x:v>Coleção principal (~1:64)</x:v>
      </x:c>
      <x:c r="W523" s="82" t="str">
        <x:v>https://hotwheels.fandom.com/wiki/Porsche_911_Carrera</x:v>
      </x:c>
      <x:c r="X523" s="82" t="str">
        <x:v>https://hotwheels.fandom.com/wiki/Porsche_911_Carrera</x:v>
      </x:c>
    </x:row>
    <x:row r="524">
      <x:c r="A524" s="80" t="str">
        <x:v>Não</x:v>
      </x:c>
      <x:c r="B524" s="80" t="str">
        <x:v>2 — Completar aos poucos</x:v>
      </x:c>
      <x:c r="C524" s="81" t="n">
        <x:v>1998</x:v>
      </x:c>
      <x:c r="D524" s="80" t="str">
        <x:v>Porsche 911 Carrera</x:v>
      </x:c>
      <x:c r="E524" s="80" t="str">
        <x:v>Porsche 911 Carrera</x:v>
      </x:c>
      <x:c r="F524" s="82" t="str">
        <x:v>Mainline</x:v>
      </x:c>
      <x:c r="G524" s="80" t="str"/>
      <x:c r="H524" s="80" t="str">
        <x:v>829</x:v>
      </x:c>
      <x:c r="I524" s="83" t="str">
        <x:v>15066</x:v>
      </x:c>
      <x:c r="J524" s="80" t="str">
        <x:v>Metalflake Silver</x:v>
      </x:c>
      <x:c r="K524" s="82" t="str">
        <x:v>tiny Red Hot Wheels Logo</x:v>
      </x:c>
      <x:c r="L524" s="82" t="str">
        <x:v>SB Big Rear, Small Front</x:v>
      </x:c>
      <x:c r="M524" s="82" t="str">
        <x:v>Unpainted / Metal</x:v>
      </x:c>
      <x:c r="N524" s="82" t="str">
        <x:v>Clear</x:v>
      </x:c>
      <x:c r="O524" s="82" t="str">
        <x:v>Red</x:v>
      </x:c>
      <x:c r="P524" s="82" t="str">
        <x:v>Malaysia</x:v>
      </x:c>
      <x:c r="Q524" s="82" t="str"/>
      <x:c r="R524" s="82" t="str">
        <x:v>Mainline</x:v>
      </x:c>
      <x:c r="S524" s="82" t="str">
        <x:v>Rara</x:v>
      </x:c>
      <x:c r="T524" s="82" t="str">
        <x:v>Lançado</x:v>
      </x:c>
      <x:c r="U524" s="82" t="str"/>
      <x:c r="V524" s="80" t="str">
        <x:v>Coleção principal (~1:64)</x:v>
      </x:c>
      <x:c r="W524" s="82" t="str">
        <x:v>https://hotwheels.fandom.com/wiki/Porsche_911_Carrera</x:v>
      </x:c>
      <x:c r="X524" s="82" t="str">
        <x:v>https://hotwheels.fandom.com/wiki/Porsche_911_Carrera</x:v>
      </x:c>
    </x:row>
    <x:row r="525">
      <x:c r="A525" s="80" t="str">
        <x:v>Não</x:v>
      </x:c>
      <x:c r="B525" s="80" t="str">
        <x:v>2 — Completar aos poucos</x:v>
      </x:c>
      <x:c r="C525" s="81" t="n">
        <x:v>1998</x:v>
      </x:c>
      <x:c r="D525" s="80" t="str">
        <x:v>Porsche 911 Targa</x:v>
      </x:c>
      <x:c r="E525" s="80" t="str">
        <x:v>Porsche 911 Targa</x:v>
      </x:c>
      <x:c r="F525" s="82" t="str">
        <x:v>Mainline</x:v>
      </x:c>
      <x:c r="G525" s="80" t="str"/>
      <x:c r="H525" s="80" t="str">
        <x:v>608</x:v>
      </x:c>
      <x:c r="I525" s="83" t="str">
        <x:v>95537</x:v>
      </x:c>
      <x:c r="J525" s="80" t="str">
        <x:v>Metalflake Silver</x:v>
      </x:c>
      <x:c r="K525" s="82" t="str">
        <x:v>Black door handles, Red HW logo on rear window</x:v>
      </x:c>
      <x:c r="L525" s="82" t="str">
        <x:v>5SP</x:v>
      </x:c>
      <x:c r="M525" s="82" t="str">
        <x:v>Black / Plastic</x:v>
      </x:c>
      <x:c r="N525" s="82" t="str">
        <x:v>Clear</x:v>
      </x:c>
      <x:c r="O525" s="82" t="str">
        <x:v>Black</x:v>
      </x:c>
      <x:c r="P525" s="82" t="str">
        <x:v>China</x:v>
      </x:c>
      <x:c r="Q525" s="82" t="str"/>
      <x:c r="R525" s="82" t="str">
        <x:v>Mainline</x:v>
      </x:c>
      <x:c r="S525" s="82" t="str">
        <x:v>Rara</x:v>
      </x:c>
      <x:c r="T525" s="82" t="str">
        <x:v>Lançado</x:v>
      </x:c>
      <x:c r="U525" s="82" t="str"/>
      <x:c r="V525" s="80" t="str">
        <x:v>Coleção principal (~1:64)</x:v>
      </x:c>
      <x:c r="W525" s="82" t="str">
        <x:v>https://hotwheels.fandom.com/wiki/Porsche_911_Targa</x:v>
      </x:c>
      <x:c r="X525" s="82" t="str">
        <x:v>https://hotwheels.fandom.com/wiki/Porsche_911_Targa</x:v>
      </x:c>
    </x:row>
    <x:row r="526">
      <x:c r="A526" s="80" t="str">
        <x:v>Não</x:v>
      </x:c>
      <x:c r="B526" s="80" t="str">
        <x:v>2 — Completar aos poucos</x:v>
      </x:c>
      <x:c r="C526" s="81" t="n">
        <x:v>1998</x:v>
      </x:c>
      <x:c r="D526" s="80" t="str">
        <x:v>Porsche 930</x:v>
      </x:c>
      <x:c r="E526" s="80" t="str">
        <x:v>Porsche 930</x:v>
      </x:c>
      <x:c r="F526" s="82" t="str">
        <x:v>G-Force Stunt Riders 5-Pack</x:v>
      </x:c>
      <x:c r="G526" s="80" t="str"/>
      <x:c r="H526" s="80" t="str"/>
      <x:c r="I526" s="83" t="str">
        <x:v>18829</x:v>
      </x:c>
      <x:c r="J526" s="80" t="str">
        <x:v>Metalflake Red</x:v>
      </x:c>
      <x:c r="K526" s="82" t="str">
        <x:v>Orange, Black, White "ZERO G"</x:v>
      </x:c>
      <x:c r="L526" s="82" t="str">
        <x:v>3SP</x:v>
      </x:c>
      <x:c r="M526" s="82" t="str">
        <x:v>Unpainted / Metal</x:v>
      </x:c>
      <x:c r="N526" s="82" t="str">
        <x:v>Smoke tint</x:v>
      </x:c>
      <x:c r="O526" s="82" t="str">
        <x:v>Black</x:v>
      </x:c>
      <x:c r="P526" s="82" t="str">
        <x:v>Malaysia</x:v>
      </x:c>
      <x:c r="Q526" s="82" t="str"/>
      <x:c r="R526" s="82" t="str">
        <x:v>Temática / multipack</x:v>
      </x:c>
      <x:c r="S526" s="82" t="str">
        <x:v>Rara</x:v>
      </x:c>
      <x:c r="T526" s="82" t="str">
        <x:v>Lançado</x:v>
      </x:c>
      <x:c r="U526" s="82" t="str"/>
      <x:c r="V526" s="80" t="str">
        <x:v>Coleção principal (~1:64)</x:v>
      </x:c>
      <x:c r="W526" s="82" t="str">
        <x:v>https://hotwheels.fandom.com/wiki/Porsche_930</x:v>
      </x:c>
      <x:c r="X526" s="82" t="str">
        <x:v>https://hotwheels.fandom.com/wiki/Porsche_930</x:v>
      </x:c>
    </x:row>
    <x:row r="527">
      <x:c r="A527" s="80" t="str">
        <x:v>Não</x:v>
      </x:c>
      <x:c r="B527" s="80" t="str">
        <x:v>2 — Completar aos poucos</x:v>
      </x:c>
      <x:c r="C527" s="81" t="n">
        <x:v>1998</x:v>
      </x:c>
      <x:c r="D527" s="80" t="str">
        <x:v>Porsche 930</x:v>
      </x:c>
      <x:c r="E527" s="80" t="str">
        <x:v>Porsche 930</x:v>
      </x:c>
      <x:c r="F527" s="82" t="str">
        <x:v>Hot Wheels Race Team III 5-Pack</x:v>
      </x:c>
      <x:c r="G527" s="80" t="str"/>
      <x:c r="H527" s="80" t="str"/>
      <x:c r="I527" s="83" t="str">
        <x:v>18836</x:v>
      </x:c>
      <x:c r="J527" s="80" t="str">
        <x:v>Metallic Blue</x:v>
      </x:c>
      <x:c r="K527" s="82" t="str">
        <x:v>White, Red, Yellow "Hot Wheels" Race Team theme</x:v>
      </x:c>
      <x:c r="L527" s="82" t="str">
        <x:v>LW</x:v>
      </x:c>
      <x:c r="M527" s="82" t="str">
        <x:v>Unpainted / Metal</x:v>
      </x:c>
      <x:c r="N527" s="82" t="str">
        <x:v>Smoke tint</x:v>
      </x:c>
      <x:c r="O527" s="82" t="str">
        <x:v>Black</x:v>
      </x:c>
      <x:c r="P527" s="82" t="str">
        <x:v>Thailand</x:v>
      </x:c>
      <x:c r="Q527" s="82" t="str"/>
      <x:c r="R527" s="82" t="str">
        <x:v>Temática / multipack</x:v>
      </x:c>
      <x:c r="S527" s="82" t="str">
        <x:v>Rara</x:v>
      </x:c>
      <x:c r="T527" s="82" t="str">
        <x:v>Lançado</x:v>
      </x:c>
      <x:c r="U527" s="82" t="str"/>
      <x:c r="V527" s="80" t="str">
        <x:v>Coleção principal (~1:64)</x:v>
      </x:c>
      <x:c r="W527" s="82" t="str">
        <x:v>https://hotwheels.fandom.com/wiki/Porsche_930</x:v>
      </x:c>
      <x:c r="X527" s="82" t="str">
        <x:v>https://hotwheels.fandom.com/wiki/Porsche_930</x:v>
      </x:c>
    </x:row>
    <x:row r="528">
      <x:c r="A528" s="80" t="str">
        <x:v>Não</x:v>
      </x:c>
      <x:c r="B528" s="80" t="str">
        <x:v>2 — Completar aos poucos</x:v>
      </x:c>
      <x:c r="C528" s="81" t="n">
        <x:v>1998</x:v>
      </x:c>
      <x:c r="D528" s="80" t="str">
        <x:v>Porsche 930</x:v>
      </x:c>
      <x:c r="E528" s="80" t="str">
        <x:v>Porsche 930</x:v>
      </x:c>
      <x:c r="F528" s="82" t="str">
        <x:v>Mainline</x:v>
      </x:c>
      <x:c r="G528" s="80" t="str"/>
      <x:c r="H528" s="80" t="str">
        <x:v>856</x:v>
      </x:c>
      <x:c r="I528" s="83" t="str">
        <x:v>19524</x:v>
      </x:c>
      <x:c r="J528" s="80" t="str">
        <x:v>Metalflake Red</x:v>
      </x:c>
      <x:c r="K528" s="82" t="str">
        <x:v>Orange, Black, White "ZERO G"</x:v>
      </x:c>
      <x:c r="L528" s="82" t="str">
        <x:v>3SP</x:v>
      </x:c>
      <x:c r="M528" s="82" t="str">
        <x:v>Unpainted / Metal</x:v>
      </x:c>
      <x:c r="N528" s="82" t="str">
        <x:v>Smoke tint</x:v>
      </x:c>
      <x:c r="O528" s="82" t="str">
        <x:v>Black</x:v>
      </x:c>
      <x:c r="P528" s="82" t="str">
        <x:v>Malaysia, Thailand</x:v>
      </x:c>
      <x:c r="Q528" s="82" t="str"/>
      <x:c r="R528" s="82" t="str">
        <x:v>Mainline</x:v>
      </x:c>
      <x:c r="S528" s="82" t="str">
        <x:v>Rara</x:v>
      </x:c>
      <x:c r="T528" s="82" t="str">
        <x:v>Lançado</x:v>
      </x:c>
      <x:c r="U528" s="82" t="str"/>
      <x:c r="V528" s="80" t="str">
        <x:v>Coleção principal (~1:64)</x:v>
      </x:c>
      <x:c r="W528" s="82" t="str">
        <x:v>https://hotwheels.fandom.com/wiki/Porsche_930</x:v>
      </x:c>
      <x:c r="X528" s="82" t="str">
        <x:v>https://hotwheels.fandom.com/wiki/Porsche_930</x:v>
      </x:c>
    </x:row>
    <x:row r="529">
      <x:c r="A529" s="80" t="str">
        <x:v>Não</x:v>
      </x:c>
      <x:c r="B529" s="80" t="str">
        <x:v>2 — Completar aos poucos</x:v>
      </x:c>
      <x:c r="C529" s="81" t="n">
        <x:v>1998</x:v>
      </x:c>
      <x:c r="D529" s="80" t="str">
        <x:v>Porsche 935 (Corgi)</x:v>
      </x:c>
      <x:c r="E529" s="80" t="str">
        <x:v>Porsche 935</x:v>
      </x:c>
      <x:c r="F529" s="82" t="str">
        <x:v>FAO Schwarz History of Hot Wheels Racing III</x:v>
      </x:c>
      <x:c r="G529" s="80" t="str"/>
      <x:c r="H529" s="80" t="str"/>
      <x:c r="I529" s="83" t="str">
        <x:v>17138</x:v>
      </x:c>
      <x:c r="J529" s="80" t="str">
        <x:v>Metalflake Silver</x:v>
      </x:c>
      <x:c r="K529" s="82" t="str">
        <x:v>Blue &amp; red stripes on sides &amp; hood. Nº 935.</x:v>
      </x:c>
      <x:c r="L529" s="82" t="str">
        <x:v>GLW</x:v>
      </x:c>
      <x:c r="M529" s="82" t="str">
        <x:v>Black / / / Plastic</x:v>
      </x:c>
      <x:c r="N529" s="82" t="str">
        <x:v>Blue tint</x:v>
      </x:c>
      <x:c r="O529" s="82" t="str">
        <x:v>White</x:v>
      </x:c>
      <x:c r="P529" s="82" t="str">
        <x:v>China</x:v>
      </x:c>
      <x:c r="Q529" s="82" t="str"/>
      <x:c r="R529" s="82" t="str">
        <x:v>Outra linha</x:v>
      </x:c>
      <x:c r="S529" s="82" t="str">
        <x:v>Rara</x:v>
      </x:c>
      <x:c r="T529" s="82" t="str">
        <x:v>Lançado</x:v>
      </x:c>
      <x:c r="U529" s="82" t="str"/>
      <x:c r="V529" s="80" t="str">
        <x:v>Coleção principal (~1:64)</x:v>
      </x:c>
      <x:c r="W529" s="82" t="str">
        <x:v>https://hotwheels.fandom.com/wiki/Porsche_935_(Corgi)</x:v>
      </x:c>
      <x:c r="X529" s="82" t="str">
        <x:v>https://hotwheels.fandom.com/wiki/Porsche_935_(Corgi)</x:v>
      </x:c>
    </x:row>
    <x:row r="530">
      <x:c r="A530" s="80" t="str">
        <x:v>Não</x:v>
      </x:c>
      <x:c r="B530" s="80" t="str">
        <x:v>2 — Completar aos poucos</x:v>
      </x:c>
      <x:c r="C530" s="81" t="n">
        <x:v>1998</x:v>
      </x:c>
      <x:c r="D530" s="80" t="str">
        <x:v>Porsche 959</x:v>
      </x:c>
      <x:c r="E530" s="80" t="str">
        <x:v>Porsche 959</x:v>
      </x:c>
      <x:c r="F530" s="82" t="str">
        <x:v>Figure 8 Racers 5-Pack</x:v>
      </x:c>
      <x:c r="G530" s="80" t="str"/>
      <x:c r="H530" s="80" t="str"/>
      <x:c r="I530" s="83" t="str">
        <x:v>18828</x:v>
      </x:c>
      <x:c r="J530" s="80" t="str">
        <x:v>White</x:v>
      </x:c>
      <x:c r="K530" s="82" t="str">
        <x:v>Red &amp; Black "2"</x:v>
      </x:c>
      <x:c r="L530" s="82" t="str">
        <x:v>SB</x:v>
      </x:c>
      <x:c r="M530" s="82" t="str">
        <x:v>Unpainted / Metal</x:v>
      </x:c>
      <x:c r="N530" s="82" t="str">
        <x:v>Purple Tinted</x:v>
      </x:c>
      <x:c r="O530" s="82" t="str">
        <x:v>Black</x:v>
      </x:c>
      <x:c r="P530" s="82" t="str">
        <x:v>Malaysia</x:v>
      </x:c>
      <x:c r="Q530" s="82" t="str"/>
      <x:c r="R530" s="82" t="str">
        <x:v>Temática / multipack</x:v>
      </x:c>
      <x:c r="S530" s="82" t="str">
        <x:v>Rara</x:v>
      </x:c>
      <x:c r="T530" s="82" t="str">
        <x:v>Lançado</x:v>
      </x:c>
      <x:c r="U530" s="82" t="str"/>
      <x:c r="V530" s="80" t="str">
        <x:v>Coleção principal (~1:64)</x:v>
      </x:c>
      <x:c r="W530" s="82" t="str">
        <x:v>https://hotwheels.fandom.com/wiki/Porsche_959</x:v>
      </x:c>
      <x:c r="X530" s="82" t="str">
        <x:v>https://hotwheels.fandom.com/wiki/Porsche_959</x:v>
      </x:c>
    </x:row>
    <x:row r="531">
      <x:c r="A531" s="80" t="str">
        <x:v>Não</x:v>
      </x:c>
      <x:c r="B531" s="80" t="str">
        <x:v>2 — Completar aos poucos</x:v>
      </x:c>
      <x:c r="C531" s="81" t="n">
        <x:v>1998</x:v>
      </x:c>
      <x:c r="D531" s="80" t="str">
        <x:v>Porsche 959</x:v>
      </x:c>
      <x:c r="E531" s="80" t="str">
        <x:v>Porsche 959</x:v>
      </x:c>
      <x:c r="F531" s="82" t="str">
        <x:v>Hot Wheels 30th Anniversary</x:v>
      </x:c>
      <x:c r="G531" s="80" t="str"/>
      <x:c r="H531" s="80" t="str"/>
      <x:c r="I531" s="83" t="str">
        <x:v>18877</x:v>
      </x:c>
      <x:c r="J531" s="80" t="str">
        <x:v>Metallic Dark Red</x:v>
      </x:c>
      <x:c r="K531" s="82" t="str">
        <x:v>Orange &amp; Yellow "PORSCHE"</x:v>
      </x:c>
      <x:c r="L531" s="82" t="str">
        <x:v>UH</x:v>
      </x:c>
      <x:c r="M531" s="82" t="str">
        <x:v>Unpainted / Metal</x:v>
      </x:c>
      <x:c r="N531" s="82" t="str">
        <x:v>Clear</x:v>
      </x:c>
      <x:c r="O531" s="82" t="str">
        <x:v>Tan</x:v>
      </x:c>
      <x:c r="P531" s="82" t="str"/>
      <x:c r="Q531" s="82" t="str"/>
      <x:c r="R531" s="82" t="str">
        <x:v>Outra linha</x:v>
      </x:c>
      <x:c r="S531" s="82" t="str">
        <x:v>Rara</x:v>
      </x:c>
      <x:c r="T531" s="82" t="str">
        <x:v>Lançado</x:v>
      </x:c>
      <x:c r="U531" s="82" t="str"/>
      <x:c r="V531" s="80" t="str">
        <x:v>Coleção principal (~1:64)</x:v>
      </x:c>
      <x:c r="W531" s="82" t="str">
        <x:v>https://hotwheels.fandom.com/wiki/Porsche_959</x:v>
      </x:c>
      <x:c r="X531" s="82" t="str">
        <x:v>https://hotwheels.fandom.com/wiki/Porsche_959</x:v>
      </x:c>
    </x:row>
    <x:row r="532">
      <x:c r="A532" s="80" t="str">
        <x:v>Não</x:v>
      </x:c>
      <x:c r="B532" s="80" t="str">
        <x:v>2 — Completar aos poucos</x:v>
      </x:c>
      <x:c r="C532" s="81" t="n">
        <x:v>1998</x:v>
      </x:c>
      <x:c r="D532" s="80" t="str">
        <x:v>Porsche 959</x:v>
      </x:c>
      <x:c r="E532" s="80" t="str">
        <x:v>Porsche 959</x:v>
      </x:c>
      <x:c r="F532" s="82" t="str">
        <x:v>Mainline</x:v>
      </x:c>
      <x:c r="G532" s="80" t="str"/>
      <x:c r="H532" s="80" t="str">
        <x:v>854</x:v>
      </x:c>
      <x:c r="I532" s="83" t="str">
        <x:v>19519</x:v>
      </x:c>
      <x:c r="J532" s="80" t="str">
        <x:v>White</x:v>
      </x:c>
      <x:c r="K532" s="82" t="str">
        <x:v>Red &amp; Black "2"</x:v>
      </x:c>
      <x:c r="L532" s="82" t="str">
        <x:v>SB</x:v>
      </x:c>
      <x:c r="M532" s="82" t="str">
        <x:v>Unpainted / Metal</x:v>
      </x:c>
      <x:c r="N532" s="82" t="str">
        <x:v>Purple Tinted</x:v>
      </x:c>
      <x:c r="O532" s="82" t="str">
        <x:v>Black</x:v>
      </x:c>
      <x:c r="P532" s="82" t="str">
        <x:v>Malaysia</x:v>
      </x:c>
      <x:c r="Q532" s="82" t="str"/>
      <x:c r="R532" s="82" t="str">
        <x:v>Mainline</x:v>
      </x:c>
      <x:c r="S532" s="82" t="str">
        <x:v>Rara</x:v>
      </x:c>
      <x:c r="T532" s="82" t="str">
        <x:v>Lançado</x:v>
      </x:c>
      <x:c r="U532" s="82" t="str"/>
      <x:c r="V532" s="80" t="str">
        <x:v>Coleção principal (~1:64)</x:v>
      </x:c>
      <x:c r="W532" s="82" t="str">
        <x:v>https://hotwheels.fandom.com/wiki/Porsche_959</x:v>
      </x:c>
      <x:c r="X532" s="82" t="str">
        <x:v>https://hotwheels.fandom.com/wiki/Porsche_959</x:v>
      </x:c>
    </x:row>
    <x:row r="533">
      <x:c r="A533" s="80" t="str">
        <x:v>Não</x:v>
      </x:c>
      <x:c r="B533" s="80" t="str">
        <x:v>2 — Completar aos poucos</x:v>
      </x:c>
      <x:c r="C533" s="81" t="n">
        <x:v>1998</x:v>
      </x:c>
      <x:c r="D533" s="80" t="str">
        <x:v>Porsche 959</x:v>
      </x:c>
      <x:c r="E533" s="80" t="str">
        <x:v>Porsche 959</x:v>
      </x:c>
      <x:c r="F533" s="82" t="str">
        <x:v>Mainline</x:v>
      </x:c>
      <x:c r="G533" s="80" t="str"/>
      <x:c r="H533" s="80" t="str">
        <x:v>854</x:v>
      </x:c>
      <x:c r="I533" s="83" t="str">
        <x:v>19519</x:v>
      </x:c>
      <x:c r="J533" s="80" t="str">
        <x:v>White</x:v>
      </x:c>
      <x:c r="K533" s="82" t="str">
        <x:v>Red &amp; Black "2"</x:v>
      </x:c>
      <x:c r="L533" s="82" t="str">
        <x:v>3SP</x:v>
      </x:c>
      <x:c r="M533" s="82" t="str">
        <x:v>Unpainted / Metal</x:v>
      </x:c>
      <x:c r="N533" s="82" t="str"/>
      <x:c r="O533" s="82" t="str">
        <x:v>Black</x:v>
      </x:c>
      <x:c r="P533" s="82" t="str">
        <x:v>Malaysia</x:v>
      </x:c>
      <x:c r="Q533" s="82" t="str"/>
      <x:c r="R533" s="82" t="str">
        <x:v>Mainline</x:v>
      </x:c>
      <x:c r="S533" s="82" t="str">
        <x:v>Rara</x:v>
      </x:c>
      <x:c r="T533" s="82" t="str">
        <x:v>Lançado</x:v>
      </x:c>
      <x:c r="U533" s="82" t="str"/>
      <x:c r="V533" s="80" t="str">
        <x:v>Coleção principal (~1:64)</x:v>
      </x:c>
      <x:c r="W533" s="82" t="str">
        <x:v>https://hotwheels.fandom.com/wiki/Porsche_959</x:v>
      </x:c>
      <x:c r="X533" s="82" t="str">
        <x:v>https://hotwheels.fandom.com/wiki/Porsche_959</x:v>
      </x:c>
    </x:row>
    <x:row r="534">
      <x:c r="A534" s="80" t="str">
        <x:v>Não</x:v>
      </x:c>
      <x:c r="B534" s="80" t="str">
        <x:v>2 — Completar aos poucos</x:v>
      </x:c>
      <x:c r="C534" s="81" t="n">
        <x:v>1998</x:v>
      </x:c>
      <x:c r="D534" s="80" t="str">
        <x:v>Porsche 959</x:v>
      </x:c>
      <x:c r="E534" s="80" t="str">
        <x:v>Porsche 959</x:v>
      </x:c>
      <x:c r="F534" s="82" t="str">
        <x:v>Mainline</x:v>
      </x:c>
      <x:c r="G534" s="80" t="str"/>
      <x:c r="H534" s="80" t="str">
        <x:v>854</x:v>
      </x:c>
      <x:c r="I534" s="83" t="str">
        <x:v>19519</x:v>
      </x:c>
      <x:c r="J534" s="80" t="str">
        <x:v>White</x:v>
      </x:c>
      <x:c r="K534" s="82" t="str">
        <x:v>Dark Red &amp; Black "2"</x:v>
      </x:c>
      <x:c r="L534" s="82" t="str">
        <x:v>LW</x:v>
      </x:c>
      <x:c r="M534" s="82" t="str">
        <x:v>Unpainted / Metal</x:v>
      </x:c>
      <x:c r="N534" s="82" t="str">
        <x:v>Purple Tinted</x:v>
      </x:c>
      <x:c r="O534" s="82" t="str">
        <x:v>Black</x:v>
      </x:c>
      <x:c r="P534" s="82" t="str">
        <x:v>China</x:v>
      </x:c>
      <x:c r="Q534" s="82" t="str"/>
      <x:c r="R534" s="82" t="str">
        <x:v>Mainline</x:v>
      </x:c>
      <x:c r="S534" s="82" t="str">
        <x:v>Rara</x:v>
      </x:c>
      <x:c r="T534" s="82" t="str">
        <x:v>Lançado</x:v>
      </x:c>
      <x:c r="U534" s="82" t="str"/>
      <x:c r="V534" s="80" t="str">
        <x:v>Coleção principal (~1:64)</x:v>
      </x:c>
      <x:c r="W534" s="82" t="str">
        <x:v>https://hotwheels.fandom.com/wiki/Porsche_959</x:v>
      </x:c>
      <x:c r="X534" s="82" t="str">
        <x:v>https://hotwheels.fandom.com/wiki/Porsche_959</x:v>
      </x:c>
    </x:row>
    <x:row r="535">
      <x:c r="A535" s="80" t="str">
        <x:v>Não</x:v>
      </x:c>
      <x:c r="B535" s="80" t="str">
        <x:v>2 — Completar aos poucos</x:v>
      </x:c>
      <x:c r="C535" s="81" t="n">
        <x:v>1997</x:v>
      </x:c>
      <x:c r="D535" s="80" t="str">
        <x:v>P-911</x:v>
      </x:c>
      <x:c r="E535" s="80" t="str">
        <x:v>P-911</x:v>
      </x:c>
      <x:c r="F535" s="82" t="str">
        <x:v>Street Racers</x:v>
      </x:c>
      <x:c r="G535" s="80" t="str"/>
      <x:c r="H535" s="80" t="str"/>
      <x:c r="I535" s="83" t="str"/>
      <x:c r="J535" s="80" t="str">
        <x:v>Red</x:v>
      </x:c>
      <x:c r="K535" s="82" t="str">
        <x:v>Black "Hot Wheels" Logo</x:v>
      </x:c>
      <x:c r="L535" s="82" t="str">
        <x:v>7SP</x:v>
      </x:c>
      <x:c r="M535" s="82" t="str">
        <x:v>Unpainted / Metal</x:v>
      </x:c>
      <x:c r="N535" s="82" t="str">
        <x:v>Smoke tint</x:v>
      </x:c>
      <x:c r="O535" s="82" t="str">
        <x:v>Black</x:v>
      </x:c>
      <x:c r="P535" s="82" t="str">
        <x:v>Malaysia</x:v>
      </x:c>
      <x:c r="Q535" s="82" t="str"/>
      <x:c r="R535" s="82" t="str">
        <x:v>Outra linha</x:v>
      </x:c>
      <x:c r="S535" s="82" t="str">
        <x:v>Rara</x:v>
      </x:c>
      <x:c r="T535" s="82" t="str">
        <x:v>Lançado</x:v>
      </x:c>
      <x:c r="U535" s="82" t="str"/>
      <x:c r="V535" s="80" t="str">
        <x:v>Coleção principal (~1:64)</x:v>
      </x:c>
      <x:c r="W535" s="82" t="str">
        <x:v>https://hotwheels.fandom.com/wiki/P-911</x:v>
      </x:c>
      <x:c r="X535" s="82" t="str">
        <x:v>https://hotwheels.fandom.com/wiki/P-911</x:v>
      </x:c>
    </x:row>
    <x:row r="536">
      <x:c r="A536" s="80" t="str">
        <x:v>Não</x:v>
      </x:c>
      <x:c r="B536" s="80" t="str">
        <x:v>2 — Completar aos poucos</x:v>
      </x:c>
      <x:c r="C536" s="81" t="n">
        <x:v>1997</x:v>
      </x:c>
      <x:c r="D536" s="80" t="str">
        <x:v>P-911</x:v>
      </x:c>
      <x:c r="E536" s="80" t="str">
        <x:v>P-911</x:v>
      </x:c>
      <x:c r="F536" s="82" t="str">
        <x:v>Street Racers</x:v>
      </x:c>
      <x:c r="G536" s="80" t="str"/>
      <x:c r="H536" s="80" t="str"/>
      <x:c r="I536" s="83" t="str"/>
      <x:c r="J536" s="80" t="str">
        <x:v>Red</x:v>
      </x:c>
      <x:c r="K536" s="82" t="str">
        <x:v>Black "Hot Wheels" Logo</x:v>
      </x:c>
      <x:c r="L536" s="82" t="str">
        <x:v>7SP</x:v>
      </x:c>
      <x:c r="M536" s="82" t="str">
        <x:v>Unpainted / / / Metal</x:v>
      </x:c>
      <x:c r="N536" s="82" t="str">
        <x:v>Black tint</x:v>
      </x:c>
      <x:c r="O536" s="82" t="str">
        <x:v>Black</x:v>
      </x:c>
      <x:c r="P536" s="82" t="str">
        <x:v>Malaysia</x:v>
      </x:c>
      <x:c r="Q536" s="82" t="str"/>
      <x:c r="R536" s="82" t="str">
        <x:v>Outra linha</x:v>
      </x:c>
      <x:c r="S536" s="82" t="str">
        <x:v>Rara</x:v>
      </x:c>
      <x:c r="T536" s="82" t="str">
        <x:v>Lançado</x:v>
      </x:c>
      <x:c r="U536" s="82" t="str"/>
      <x:c r="V536" s="80" t="str">
        <x:v>Coleção principal (~1:64)</x:v>
      </x:c>
      <x:c r="W536" s="82" t="str">
        <x:v>https://hotwheels.fandom.com/wiki/P-911</x:v>
      </x:c>
      <x:c r="X536" s="82" t="str">
        <x:v>https://hotwheels.fandom.com/wiki/P-911</x:v>
      </x:c>
    </x:row>
    <x:row r="537">
      <x:c r="A537" s="80" t="str">
        <x:v>Não</x:v>
      </x:c>
      <x:c r="B537" s="80" t="str">
        <x:v>2 — Completar aos poucos</x:v>
      </x:c>
      <x:c r="C537" s="81" t="n">
        <x:v>1997</x:v>
      </x:c>
      <x:c r="D537" s="80" t="str">
        <x:v>P-911</x:v>
      </x:c>
      <x:c r="E537" s="80" t="str">
        <x:v>P-911</x:v>
      </x:c>
      <x:c r="F537" s="82" t="str">
        <x:v>Street Racers 3/4</x:v>
      </x:c>
      <x:c r="G537" s="80" t="str"/>
      <x:c r="H537" s="80" t="str">
        <x:v>3 of 4</x:v>
      </x:c>
      <x:c r="I537" s="83" t="str"/>
      <x:c r="J537" s="80" t="str">
        <x:v>Teal</x:v>
      </x:c>
      <x:c r="K537" s="82" t="str">
        <x:v>White circle, orange squiggle, "BAURSPORT RENNSPORT AG RACEKRAFT TURBOLAGER TECHNOLOGIES" on sides</x:v>
      </x:c>
      <x:c r="L537" s="82" t="str">
        <x:v>3SP</x:v>
      </x:c>
      <x:c r="M537" s="82" t="str">
        <x:v>Unpainted / Metal</x:v>
      </x:c>
      <x:c r="N537" s="82" t="str">
        <x:v>Smoke tint</x:v>
      </x:c>
      <x:c r="O537" s="82" t="str">
        <x:v>Black</x:v>
      </x:c>
      <x:c r="P537" s="82" t="str">
        <x:v>Malaysia</x:v>
      </x:c>
      <x:c r="Q537" s="82" t="str"/>
      <x:c r="R537" s="82" t="str">
        <x:v>Mainline</x:v>
      </x:c>
      <x:c r="S537" s="82" t="str">
        <x:v>Rara</x:v>
      </x:c>
      <x:c r="T537" s="82" t="str">
        <x:v>Lançado</x:v>
      </x:c>
      <x:c r="U537" s="82" t="str"/>
      <x:c r="V537" s="80" t="str">
        <x:v>Coleção principal (~1:64)</x:v>
      </x:c>
      <x:c r="W537" s="82" t="str">
        <x:v>https://hotwheels.fandom.com/wiki/P-911</x:v>
      </x:c>
      <x:c r="X537" s="82" t="str">
        <x:v>https://hotwheels.fandom.com/wiki/P-911</x:v>
      </x:c>
    </x:row>
    <x:row r="538">
      <x:c r="A538" s="80" t="str">
        <x:v>Não</x:v>
      </x:c>
      <x:c r="B538" s="80" t="str">
        <x:v>2 — Completar aos poucos</x:v>
      </x:c>
      <x:c r="C538" s="81" t="n">
        <x:v>1997</x:v>
      </x:c>
      <x:c r="D538" s="80" t="str">
        <x:v>P-911</x:v>
      </x:c>
      <x:c r="E538" s="80" t="str">
        <x:v>P-911</x:v>
      </x:c>
      <x:c r="F538" s="82" t="str">
        <x:v>Street Racers 3/4</x:v>
      </x:c>
      <x:c r="G538" s="80" t="str"/>
      <x:c r="H538" s="80" t="str">
        <x:v>3 of 4</x:v>
      </x:c>
      <x:c r="I538" s="83" t="str"/>
      <x:c r="J538" s="80" t="str">
        <x:v>Teal</x:v>
      </x:c>
      <x:c r="K538" s="82" t="str">
        <x:v>White circle, orange squiggle, "BAURSPORT RENNSPORT AG RACEKRAFT TURBOLAGER TECHNOLOGIES" on sides</x:v>
      </x:c>
      <x:c r="L538" s="82" t="str">
        <x:v>3SP</x:v>
      </x:c>
      <x:c r="M538" s="82" t="str">
        <x:v>Unpainted / / / Metal</x:v>
      </x:c>
      <x:c r="N538" s="82" t="str">
        <x:v>Black tint</x:v>
      </x:c>
      <x:c r="O538" s="82" t="str">
        <x:v>Black</x:v>
      </x:c>
      <x:c r="P538" s="82" t="str">
        <x:v>Malaysia</x:v>
      </x:c>
      <x:c r="Q538" s="82" t="str"/>
      <x:c r="R538" s="82" t="str">
        <x:v>Mainline</x:v>
      </x:c>
      <x:c r="S538" s="82" t="str">
        <x:v>Rara</x:v>
      </x:c>
      <x:c r="T538" s="82" t="str">
        <x:v>Lançado</x:v>
      </x:c>
      <x:c r="U538" s="82" t="str"/>
      <x:c r="V538" s="80" t="str">
        <x:v>Coleção principal (~1:64)</x:v>
      </x:c>
      <x:c r="W538" s="82" t="str">
        <x:v>https://hotwheels.fandom.com/wiki/P-911</x:v>
      </x:c>
      <x:c r="X538" s="82" t="str">
        <x:v>https://hotwheels.fandom.com/wiki/P-911</x:v>
      </x:c>
    </x:row>
    <x:row r="539">
      <x:c r="A539" s="80" t="str">
        <x:v>Não</x:v>
      </x:c>
      <x:c r="B539" s="80" t="str">
        <x:v>2 — Completar aos poucos</x:v>
      </x:c>
      <x:c r="C539" s="81" t="n">
        <x:v>1997</x:v>
      </x:c>
      <x:c r="D539" s="80" t="str">
        <x:v>Porsche 911 Carrera</x:v>
      </x:c>
      <x:c r="E539" s="80" t="str">
        <x:v>Porsche 911 Carrera</x:v>
      </x:c>
      <x:c r="F539" s="82" t="str">
        <x:v>Mainline</x:v>
      </x:c>
      <x:c r="G539" s="80" t="str"/>
      <x:c r="H539" s="80" t="str"/>
      <x:c r="I539" s="83" t="str"/>
      <x:c r="J539" s="80" t="str">
        <x:v>Black</x:v>
      </x:c>
      <x:c r="K539" s="82" t="str">
        <x:v>Orange flames &amp; white '3' &amp; Dynamic Racing' tampos</x:v>
      </x:c>
      <x:c r="L539" s="82" t="str">
        <x:v>5SP</x:v>
      </x:c>
      <x:c r="M539" s="82" t="str">
        <x:v>Unpainted / / / Metal</x:v>
      </x:c>
      <x:c r="N539" s="82" t="str">
        <x:v>Clear</x:v>
      </x:c>
      <x:c r="O539" s="82" t="str">
        <x:v>Red</x:v>
      </x:c>
      <x:c r="P539" s="82" t="str">
        <x:v>Malaysia</x:v>
      </x:c>
      <x:c r="Q539" s="82" t="str"/>
      <x:c r="R539" s="82" t="str">
        <x:v>Mainline</x:v>
      </x:c>
      <x:c r="S539" s="82" t="str">
        <x:v>Rara</x:v>
      </x:c>
      <x:c r="T539" s="82" t="str">
        <x:v>Lançado</x:v>
      </x:c>
      <x:c r="U539" s="82" t="str">
        <x:v>Europe Only Release</x:v>
      </x:c>
      <x:c r="V539" s="80" t="str">
        <x:v>Coleção principal (~1:64)</x:v>
      </x:c>
      <x:c r="W539" s="82" t="str">
        <x:v>https://hotwheels.fandom.com/wiki/Porsche_911_Carrera</x:v>
      </x:c>
      <x:c r="X539" s="82" t="str">
        <x:v>https://hotwheels.fandom.com/wiki/Porsche_911_Carrera</x:v>
      </x:c>
    </x:row>
    <x:row r="540">
      <x:c r="A540" s="80" t="str">
        <x:v>Não</x:v>
      </x:c>
      <x:c r="B540" s="80" t="str">
        <x:v>2 — Completar aos poucos</x:v>
      </x:c>
      <x:c r="C540" s="81" t="n">
        <x:v>1997</x:v>
      </x:c>
      <x:c r="D540" s="80" t="str">
        <x:v>Porsche 911 Carrera</x:v>
      </x:c>
      <x:c r="E540" s="80" t="str">
        <x:v>Porsche 911 Carrera</x:v>
      </x:c>
      <x:c r="F540" s="82" t="str">
        <x:v>Mainline</x:v>
      </x:c>
      <x:c r="G540" s="80" t="str"/>
      <x:c r="H540" s="80" t="str"/>
      <x:c r="I540" s="83" t="str"/>
      <x:c r="J540" s="80" t="str">
        <x:v>Black</x:v>
      </x:c>
      <x:c r="K540" s="82" t="str">
        <x:v>Orange flames &amp; white '3' &amp; Dynamic Racing' tampos</x:v>
      </x:c>
      <x:c r="L540" s="82" t="str">
        <x:v>SB Big Rear, Small Front</x:v>
      </x:c>
      <x:c r="M540" s="82" t="str">
        <x:v>Unpainted / / / Metal</x:v>
      </x:c>
      <x:c r="N540" s="82" t="str">
        <x:v>Clear</x:v>
      </x:c>
      <x:c r="O540" s="82" t="str">
        <x:v>Red</x:v>
      </x:c>
      <x:c r="P540" s="82" t="str">
        <x:v>Malaysia</x:v>
      </x:c>
      <x:c r="Q540" s="82" t="str"/>
      <x:c r="R540" s="82" t="str">
        <x:v>Mainline</x:v>
      </x:c>
      <x:c r="S540" s="82" t="str">
        <x:v>Rara</x:v>
      </x:c>
      <x:c r="T540" s="82" t="str">
        <x:v>Lançado</x:v>
      </x:c>
      <x:c r="U540" s="82" t="str">
        <x:v>Europe Only Release</x:v>
      </x:c>
      <x:c r="V540" s="80" t="str">
        <x:v>Coleção principal (~1:64)</x:v>
      </x:c>
      <x:c r="W540" s="82" t="str">
        <x:v>https://hotwheels.fandom.com/wiki/Porsche_911_Carrera</x:v>
      </x:c>
      <x:c r="X540" s="82" t="str">
        <x:v>https://hotwheels.fandom.com/wiki/Porsche_911_Carrera</x:v>
      </x:c>
    </x:row>
    <x:row r="541">
      <x:c r="A541" s="80" t="str">
        <x:v>Não</x:v>
      </x:c>
      <x:c r="B541" s="80" t="str">
        <x:v>2 — Completar aos poucos</x:v>
      </x:c>
      <x:c r="C541" s="81" t="n">
        <x:v>1997</x:v>
      </x:c>
      <x:c r="D541" s="80" t="str">
        <x:v>Porsche 911 Carrera</x:v>
      </x:c>
      <x:c r="E541" s="80" t="str">
        <x:v>Porsche 911 Carrera</x:v>
      </x:c>
      <x:c r="F541" s="82" t="str">
        <x:v>Mainline</x:v>
      </x:c>
      <x:c r="G541" s="80" t="str"/>
      <x:c r="H541" s="80" t="str"/>
      <x:c r="I541" s="83" t="str">
        <x:v>95520</x:v>
      </x:c>
      <x:c r="J541" s="80" t="str">
        <x:v>Black</x:v>
      </x:c>
      <x:c r="K541" s="82" t="str">
        <x:v>Orange flames &amp; white '3' &amp; Dynamic Racing' tampos</x:v>
      </x:c>
      <x:c r="L541" s="82" t="str">
        <x:v>5SP</x:v>
      </x:c>
      <x:c r="M541" s="82" t="str">
        <x:v>Unpainted / Metal</x:v>
      </x:c>
      <x:c r="N541" s="82" t="str">
        <x:v>Clear</x:v>
      </x:c>
      <x:c r="O541" s="82" t="str">
        <x:v>Red</x:v>
      </x:c>
      <x:c r="P541" s="82" t="str">
        <x:v>Malaysia</x:v>
      </x:c>
      <x:c r="Q541" s="82" t="str"/>
      <x:c r="R541" s="82" t="str">
        <x:v>Mainline</x:v>
      </x:c>
      <x:c r="S541" s="82" t="str">
        <x:v>Rara</x:v>
      </x:c>
      <x:c r="T541" s="82" t="str">
        <x:v>Lançado</x:v>
      </x:c>
      <x:c r="U541" s="82" t="str">
        <x:v>Europe Only Release</x:v>
      </x:c>
      <x:c r="V541" s="80" t="str">
        <x:v>Coleção principal (~1:64)</x:v>
      </x:c>
      <x:c r="W541" s="82" t="str">
        <x:v>https://hotwheels.fandom.com/wiki/Porsche_911_Carrera</x:v>
      </x:c>
      <x:c r="X541" s="82" t="str">
        <x:v>https://hotwheels.fandom.com/wiki/Porsche_911_Carrera</x:v>
      </x:c>
    </x:row>
    <x:row r="542">
      <x:c r="A542" s="80" t="str">
        <x:v>Não</x:v>
      </x:c>
      <x:c r="B542" s="80" t="str">
        <x:v>2 — Completar aos poucos</x:v>
      </x:c>
      <x:c r="C542" s="81" t="n">
        <x:v>1997</x:v>
      </x:c>
      <x:c r="D542" s="80" t="str">
        <x:v>Porsche 911 Carrera</x:v>
      </x:c>
      <x:c r="E542" s="80" t="str">
        <x:v>Porsche 911 Carrera</x:v>
      </x:c>
      <x:c r="F542" s="82" t="str">
        <x:v>Mainline</x:v>
      </x:c>
      <x:c r="G542" s="80" t="str"/>
      <x:c r="H542" s="80" t="str"/>
      <x:c r="I542" s="83" t="str">
        <x:v>95520</x:v>
      </x:c>
      <x:c r="J542" s="80" t="str">
        <x:v>Black</x:v>
      </x:c>
      <x:c r="K542" s="82" t="str">
        <x:v>Orange flames &amp; white '3' &amp; Dynamic Racing' tampos</x:v>
      </x:c>
      <x:c r="L542" s="82" t="str">
        <x:v>SB Big Rear, Small Front</x:v>
      </x:c>
      <x:c r="M542" s="82" t="str">
        <x:v>Unpainted / Metal</x:v>
      </x:c>
      <x:c r="N542" s="82" t="str">
        <x:v>Clear</x:v>
      </x:c>
      <x:c r="O542" s="82" t="str">
        <x:v>Red</x:v>
      </x:c>
      <x:c r="P542" s="82" t="str">
        <x:v>Malaysia</x:v>
      </x:c>
      <x:c r="Q542" s="82" t="str"/>
      <x:c r="R542" s="82" t="str">
        <x:v>Mainline</x:v>
      </x:c>
      <x:c r="S542" s="82" t="str">
        <x:v>Rara</x:v>
      </x:c>
      <x:c r="T542" s="82" t="str">
        <x:v>Lançado</x:v>
      </x:c>
      <x:c r="U542" s="82" t="str">
        <x:v>Europe Only Release</x:v>
      </x:c>
      <x:c r="V542" s="80" t="str">
        <x:v>Coleção principal (~1:64)</x:v>
      </x:c>
      <x:c r="W542" s="82" t="str">
        <x:v>https://hotwheels.fandom.com/wiki/Porsche_911_Carrera</x:v>
      </x:c>
      <x:c r="X542" s="82" t="str">
        <x:v>https://hotwheels.fandom.com/wiki/Porsche_911_Carrera</x:v>
      </x:c>
    </x:row>
    <x:row r="543">
      <x:c r="A543" s="80" t="str">
        <x:v>Não</x:v>
      </x:c>
      <x:c r="B543" s="80" t="str">
        <x:v>2 — Completar aos poucos</x:v>
      </x:c>
      <x:c r="C543" s="81" t="n">
        <x:v>1997</x:v>
      </x:c>
      <x:c r="D543" s="80" t="str">
        <x:v>Porsche 911 Targa</x:v>
      </x:c>
      <x:c r="E543" s="80" t="str">
        <x:v>Porsche 911 Targa</x:v>
      </x:c>
      <x:c r="F543" s="82" t="str">
        <x:v>Backpack 5-Pack</x:v>
      </x:c>
      <x:c r="G543" s="80" t="str"/>
      <x:c r="H543" s="80" t="str"/>
      <x:c r="I543" s="83" t="str">
        <x:v>4773</x:v>
      </x:c>
      <x:c r="J543" s="80" t="str">
        <x:v>Metallic Green</x:v>
      </x:c>
      <x:c r="K543" s="82" t="str">
        <x:v>Red HW logo on rear window</x:v>
      </x:c>
      <x:c r="L543" s="82" t="str">
        <x:v>5SP</x:v>
      </x:c>
      <x:c r="M543" s="82" t="str">
        <x:v>Black / Plastic</x:v>
      </x:c>
      <x:c r="N543" s="82" t="str">
        <x:v>Smoke</x:v>
      </x:c>
      <x:c r="O543" s="82" t="str">
        <x:v>Black</x:v>
      </x:c>
      <x:c r="P543" s="82" t="str">
        <x:v>China</x:v>
      </x:c>
      <x:c r="Q543" s="82" t="str"/>
      <x:c r="R543" s="82" t="str">
        <x:v>Temática / multipack</x:v>
      </x:c>
      <x:c r="S543" s="82" t="str">
        <x:v>Rara</x:v>
      </x:c>
      <x:c r="T543" s="82" t="str">
        <x:v>Lançado</x:v>
      </x:c>
      <x:c r="U543" s="82" t="str"/>
      <x:c r="V543" s="80" t="str">
        <x:v>Coleção principal (~1:64)</x:v>
      </x:c>
      <x:c r="W543" s="82" t="str">
        <x:v>https://hotwheels.fandom.com/wiki/Porsche_911_Targa</x:v>
      </x:c>
      <x:c r="X543" s="82" t="str">
        <x:v>https://hotwheels.fandom.com/wiki/Porsche_911_Targa</x:v>
      </x:c>
    </x:row>
    <x:row r="544">
      <x:c r="A544" s="80" t="str">
        <x:v>Não</x:v>
      </x:c>
      <x:c r="B544" s="80" t="str">
        <x:v>2 — Completar aos poucos</x:v>
      </x:c>
      <x:c r="C544" s="81" t="n">
        <x:v>1997</x:v>
      </x:c>
      <x:c r="D544" s="80" t="str">
        <x:v>Porsche 911 Targa</x:v>
      </x:c>
      <x:c r="E544" s="80" t="str">
        <x:v>Porsche 911 Targa</x:v>
      </x:c>
      <x:c r="F544" s="82" t="str">
        <x:v>Cruisin' America Set</x:v>
      </x:c>
      <x:c r="G544" s="80" t="str"/>
      <x:c r="H544" s="80" t="str"/>
      <x:c r="I544" s="83" t="str">
        <x:v>17263</x:v>
      </x:c>
      <x:c r="J544" s="80" t="str">
        <x:v>Red</x:v>
      </x:c>
      <x:c r="K544" s="82" t="str">
        <x:v>Red HW logo on rear window, White &amp; Black 'Rodeo Dr.' on rear</x:v>
      </x:c>
      <x:c r="L544" s="82" t="str">
        <x:v>Gold WSP</x:v>
      </x:c>
      <x:c r="M544" s="82" t="str">
        <x:v>Black / Plastic</x:v>
      </x:c>
      <x:c r="N544" s="82" t="str">
        <x:v>Black Framed Clear</x:v>
      </x:c>
      <x:c r="O544" s="82" t="str">
        <x:v>Beige</x:v>
      </x:c>
      <x:c r="P544" s="82" t="str">
        <x:v>China</x:v>
      </x:c>
      <x:c r="Q544" s="82" t="str">
        <x:v>Target / Red Edition</x:v>
      </x:c>
      <x:c r="R544" s="82" t="str">
        <x:v>Outra linha</x:v>
      </x:c>
      <x:c r="S544" s="82" t="str">
        <x:v>Rara</x:v>
      </x:c>
      <x:c r="T544" s="82" t="str">
        <x:v>Lançado</x:v>
      </x:c>
      <x:c r="U544" s="82" t="str">
        <x:v>Target exclusive</x:v>
      </x:c>
      <x:c r="V544" s="80" t="str">
        <x:v>Coleção principal (~1:64)</x:v>
      </x:c>
      <x:c r="W544" s="82" t="str">
        <x:v>https://hotwheels.fandom.com/wiki/Porsche_911_Targa</x:v>
      </x:c>
      <x:c r="X544" s="82" t="str">
        <x:v>https://hotwheels.fandom.com/wiki/Porsche_911_Targa</x:v>
      </x:c>
    </x:row>
    <x:row r="545">
      <x:c r="A545" s="80" t="str">
        <x:v>Não</x:v>
      </x:c>
      <x:c r="B545" s="80" t="str">
        <x:v>2 — Completar aos poucos</x:v>
      </x:c>
      <x:c r="C545" s="81" t="n">
        <x:v>1997</x:v>
      </x:c>
      <x:c r="D545" s="80" t="str">
        <x:v>Porsche 911 Targa</x:v>
      </x:c>
      <x:c r="E545" s="80" t="str">
        <x:v>Porsche 911 Targa</x:v>
      </x:c>
      <x:c r="F545" s="82" t="str">
        <x:v>Mainline</x:v>
      </x:c>
      <x:c r="G545" s="80" t="str"/>
      <x:c r="H545" s="80" t="str">
        <x:v>608</x:v>
      </x:c>
      <x:c r="I545" s="83" t="str">
        <x:v>95537</x:v>
      </x:c>
      <x:c r="J545" s="80" t="str">
        <x:v>Metalflake Silver</x:v>
      </x:c>
      <x:c r="K545" s="82" t="str">
        <x:v>Black door handles, Red HW logo on rear window</x:v>
      </x:c>
      <x:c r="L545" s="82" t="str">
        <x:v>5SP</x:v>
      </x:c>
      <x:c r="M545" s="82" t="str">
        <x:v>Black / Plastic</x:v>
      </x:c>
      <x:c r="N545" s="82" t="str">
        <x:v>Clear</x:v>
      </x:c>
      <x:c r="O545" s="82" t="str">
        <x:v>Black</x:v>
      </x:c>
      <x:c r="P545" s="82" t="str">
        <x:v>China</x:v>
      </x:c>
      <x:c r="Q545" s="82" t="str"/>
      <x:c r="R545" s="82" t="str">
        <x:v>Mainline</x:v>
      </x:c>
      <x:c r="S545" s="82" t="str">
        <x:v>Rara</x:v>
      </x:c>
      <x:c r="T545" s="82" t="str">
        <x:v>Lançado</x:v>
      </x:c>
      <x:c r="U545" s="82" t="str"/>
      <x:c r="V545" s="80" t="str">
        <x:v>Coleção principal (~1:64)</x:v>
      </x:c>
      <x:c r="W545" s="82" t="str">
        <x:v>https://hotwheels.fandom.com/wiki/Porsche_911_Targa</x:v>
      </x:c>
      <x:c r="X545" s="82" t="str">
        <x:v>https://hotwheels.fandom.com/wiki/Porsche_911_Targa</x:v>
      </x:c>
    </x:row>
    <x:row r="546">
      <x:c r="A546" s="80" t="str">
        <x:v>Não</x:v>
      </x:c>
      <x:c r="B546" s="80" t="str">
        <x:v>2 — Completar aos poucos</x:v>
      </x:c>
      <x:c r="C546" s="81" t="n">
        <x:v>1997</x:v>
      </x:c>
      <x:c r="D546" s="80" t="str">
        <x:v>Porsche 930</x:v>
      </x:c>
      <x:c r="E546" s="80" t="str">
        <x:v>Porsche 930</x:v>
      </x:c>
      <x:c r="F546" s="82" t="str">
        <x:v>Bonus Car</x:v>
      </x:c>
      <x:c r="G546" s="80" t="str"/>
      <x:c r="H546" s="80" t="str"/>
      <x:c r="I546" s="83" t="str"/>
      <x:c r="J546" s="80" t="str">
        <x:v>Metallic Dark Green</x:v>
      </x:c>
      <x:c r="K546" s="82" t="str">
        <x:v>Gold, Silver, Purple "'97 BONUS CAR"</x:v>
      </x:c>
      <x:c r="L546" s="82" t="str">
        <x:v>3SP</x:v>
      </x:c>
      <x:c r="M546" s="82" t="str">
        <x:v>Unpainted / Metal</x:v>
      </x:c>
      <x:c r="N546" s="82" t="str">
        <x:v>Black tint</x:v>
      </x:c>
      <x:c r="O546" s="82" t="str">
        <x:v>Black</x:v>
      </x:c>
      <x:c r="P546" s="82" t="str">
        <x:v>Malaysia</x:v>
      </x:c>
      <x:c r="Q546" s="82" t="str"/>
      <x:c r="R546" s="82" t="str">
        <x:v>Outra linha</x:v>
      </x:c>
      <x:c r="S546" s="82" t="str">
        <x:v>Rara</x:v>
      </x:c>
      <x:c r="T546" s="82" t="str">
        <x:v>Lançado</x:v>
      </x:c>
      <x:c r="U546" s="82" t="str">
        <x:v>Only available through mail</x:v>
      </x:c>
      <x:c r="V546" s="80" t="str">
        <x:v>Coleção principal (~1:64)</x:v>
      </x:c>
      <x:c r="W546" s="82" t="str">
        <x:v>https://hotwheels.fandom.com/wiki/Porsche_930</x:v>
      </x:c>
      <x:c r="X546" s="82" t="str">
        <x:v>https://hotwheels.fandom.com/wiki/Porsche_930</x:v>
      </x:c>
    </x:row>
    <x:row r="547">
      <x:c r="A547" s="80" t="str">
        <x:v>Não</x:v>
      </x:c>
      <x:c r="B547" s="80" t="str">
        <x:v>2 — Completar aos poucos</x:v>
      </x:c>
      <x:c r="C547" s="81" t="n">
        <x:v>1997</x:v>
      </x:c>
      <x:c r="D547" s="80" t="str">
        <x:v>Porsche 930</x:v>
      </x:c>
      <x:c r="E547" s="80" t="str">
        <x:v>Porsche 930</x:v>
      </x:c>
      <x:c r="F547" s="82" t="str">
        <x:v>G-Force Set</x:v>
      </x:c>
      <x:c r="G547" s="80" t="str"/>
      <x:c r="H547" s="80" t="str"/>
      <x:c r="I547" s="83" t="str"/>
      <x:c r="J547" s="80" t="str">
        <x:v>White</x:v>
      </x:c>
      <x:c r="K547" s="82" t="str">
        <x:v>Blue, Red, Yellow, "G-FORCE"</x:v>
      </x:c>
      <x:c r="L547" s="82" t="str">
        <x:v>SCW</x:v>
      </x:c>
      <x:c r="M547" s="82" t="str">
        <x:v>Unpainted / Metal</x:v>
      </x:c>
      <x:c r="N547" s="82" t="str">
        <x:v>Black tint</x:v>
      </x:c>
      <x:c r="O547" s="82" t="str">
        <x:v>Black</x:v>
      </x:c>
      <x:c r="P547" s="82" t="str">
        <x:v>Malaysia</x:v>
      </x:c>
      <x:c r="Q547" s="82" t="str"/>
      <x:c r="R547" s="82" t="str">
        <x:v>Outra linha</x:v>
      </x:c>
      <x:c r="S547" s="82" t="str">
        <x:v>Rara</x:v>
      </x:c>
      <x:c r="T547" s="82" t="str">
        <x:v>Lançado</x:v>
      </x:c>
      <x:c r="U547" s="82" t="str"/>
      <x:c r="V547" s="80" t="str">
        <x:v>Coleção principal (~1:64)</x:v>
      </x:c>
      <x:c r="W547" s="82" t="str">
        <x:v>https://hotwheels.fandom.com/wiki/Porsche_930</x:v>
      </x:c>
      <x:c r="X547" s="82" t="str">
        <x:v>https://hotwheels.fandom.com/wiki/Porsche_930</x:v>
      </x:c>
    </x:row>
    <x:row r="548">
      <x:c r="A548" s="80" t="str">
        <x:v>Não</x:v>
      </x:c>
      <x:c r="B548" s="80" t="str">
        <x:v>2 — Completar aos poucos</x:v>
      </x:c>
      <x:c r="C548" s="81" t="n">
        <x:v>1997</x:v>
      </x:c>
      <x:c r="D548" s="80" t="str">
        <x:v>Porsche 930</x:v>
      </x:c>
      <x:c r="E548" s="80" t="str">
        <x:v>Porsche 930</x:v>
      </x:c>
      <x:c r="F548" s="82" t="str">
        <x:v>Mainline</x:v>
      </x:c>
      <x:c r="G548" s="80" t="str"/>
      <x:c r="H548" s="80" t="str">
        <x:v>592</x:v>
      </x:c>
      <x:c r="I548" s="83" t="str">
        <x:v>15792</x:v>
      </x:c>
      <x:c r="J548" s="80" t="str">
        <x:v>Metallic Blue</x:v>
      </x:c>
      <x:c r="K548" s="82" t="str">
        <x:v>Tiny White Hot Wheels tampo on hood</x:v>
      </x:c>
      <x:c r="L548" s="82" t="str">
        <x:v>5SP</x:v>
      </x:c>
      <x:c r="M548" s="82" t="str">
        <x:v>Unpainted / Metal</x:v>
      </x:c>
      <x:c r="N548" s="82" t="str">
        <x:v>Black tint</x:v>
      </x:c>
      <x:c r="O548" s="82" t="str">
        <x:v>Black</x:v>
      </x:c>
      <x:c r="P548" s="82" t="str">
        <x:v>Malaysia</x:v>
      </x:c>
      <x:c r="Q548" s="82" t="str"/>
      <x:c r="R548" s="82" t="str">
        <x:v>Mainline</x:v>
      </x:c>
      <x:c r="S548" s="82" t="str">
        <x:v>Rara</x:v>
      </x:c>
      <x:c r="T548" s="82" t="str">
        <x:v>Lançado</x:v>
      </x:c>
      <x:c r="U548" s="82" t="str"/>
      <x:c r="V548" s="80" t="str">
        <x:v>Coleção principal (~1:64)</x:v>
      </x:c>
      <x:c r="W548" s="82" t="str">
        <x:v>https://hotwheels.fandom.com/wiki/Porsche_930</x:v>
      </x:c>
      <x:c r="X548" s="82" t="str">
        <x:v>https://hotwheels.fandom.com/wiki/Porsche_930</x:v>
      </x:c>
    </x:row>
    <x:row r="549">
      <x:c r="A549" s="80" t="str">
        <x:v>Não</x:v>
      </x:c>
      <x:c r="B549" s="80" t="str">
        <x:v>2 — Completar aos poucos</x:v>
      </x:c>
      <x:c r="C549" s="81" t="n">
        <x:v>1997</x:v>
      </x:c>
      <x:c r="D549" s="80" t="str">
        <x:v>Porsche 930</x:v>
      </x:c>
      <x:c r="E549" s="80" t="str">
        <x:v>Porsche 930</x:v>
      </x:c>
      <x:c r="F549" s="82" t="str">
        <x:v>Mainline</x:v>
      </x:c>
      <x:c r="G549" s="80" t="str"/>
      <x:c r="H549" s="80" t="str">
        <x:v>592</x:v>
      </x:c>
      <x:c r="I549" s="83" t="str">
        <x:v>15792</x:v>
      </x:c>
      <x:c r="J549" s="80" t="str">
        <x:v>Metallic Blue</x:v>
      </x:c>
      <x:c r="K549" s="82" t="str">
        <x:v>Tiny White Hot Wheels tampo on hood</x:v>
      </x:c>
      <x:c r="L549" s="82" t="str">
        <x:v>SB</x:v>
      </x:c>
      <x:c r="M549" s="82" t="str">
        <x:v>Unpainted / Metal</x:v>
      </x:c>
      <x:c r="N549" s="82" t="str">
        <x:v>Black tint</x:v>
      </x:c>
      <x:c r="O549" s="82" t="str">
        <x:v>Black</x:v>
      </x:c>
      <x:c r="P549" s="82" t="str">
        <x:v>Malaysia</x:v>
      </x:c>
      <x:c r="Q549" s="82" t="str"/>
      <x:c r="R549" s="82" t="str">
        <x:v>Mainline</x:v>
      </x:c>
      <x:c r="S549" s="82" t="str">
        <x:v>Rara</x:v>
      </x:c>
      <x:c r="T549" s="82" t="str">
        <x:v>Lançado</x:v>
      </x:c>
      <x:c r="U549" s="82" t="str"/>
      <x:c r="V549" s="80" t="str">
        <x:v>Coleção principal (~1:64)</x:v>
      </x:c>
      <x:c r="W549" s="82" t="str">
        <x:v>https://hotwheels.fandom.com/wiki/Porsche_930</x:v>
      </x:c>
      <x:c r="X549" s="82" t="str">
        <x:v>https://hotwheels.fandom.com/wiki/Porsche_930</x:v>
      </x:c>
    </x:row>
    <x:row r="550">
      <x:c r="A550" s="80" t="str">
        <x:v>Não</x:v>
      </x:c>
      <x:c r="B550" s="80" t="str">
        <x:v>2 — Completar aos poucos</x:v>
      </x:c>
      <x:c r="C550" s="81" t="n">
        <x:v>1997</x:v>
      </x:c>
      <x:c r="D550" s="80" t="str">
        <x:v>Porsche 930</x:v>
      </x:c>
      <x:c r="E550" s="80" t="str">
        <x:v>Porsche 930</x:v>
      </x:c>
      <x:c r="F550" s="82" t="str">
        <x:v>Mainline</x:v>
      </x:c>
      <x:c r="G550" s="80" t="str"/>
      <x:c r="H550" s="80" t="str">
        <x:v>592</x:v>
      </x:c>
      <x:c r="I550" s="83" t="str">
        <x:v>15792</x:v>
      </x:c>
      <x:c r="J550" s="80" t="str">
        <x:v>Metallic Blue</x:v>
      </x:c>
      <x:c r="K550" s="82" t="str">
        <x:v>Tiny White Hot Wheels tampo on hood</x:v>
      </x:c>
      <x:c r="L550" s="82" t="str">
        <x:v>5DOT</x:v>
      </x:c>
      <x:c r="M550" s="82" t="str">
        <x:v>Unpainted / Metal</x:v>
      </x:c>
      <x:c r="N550" s="82" t="str">
        <x:v>Black tint</x:v>
      </x:c>
      <x:c r="O550" s="82" t="str">
        <x:v>Black</x:v>
      </x:c>
      <x:c r="P550" s="82" t="str">
        <x:v>Malaysia</x:v>
      </x:c>
      <x:c r="Q550" s="82" t="str"/>
      <x:c r="R550" s="82" t="str">
        <x:v>Mainline</x:v>
      </x:c>
      <x:c r="S550" s="82" t="str">
        <x:v>Rara</x:v>
      </x:c>
      <x:c r="T550" s="82" t="str">
        <x:v>Lançado</x:v>
      </x:c>
      <x:c r="U550" s="82" t="str"/>
      <x:c r="V550" s="80" t="str">
        <x:v>Coleção principal (~1:64)</x:v>
      </x:c>
      <x:c r="W550" s="82" t="str">
        <x:v>https://hotwheels.fandom.com/wiki/Porsche_930</x:v>
      </x:c>
      <x:c r="X550" s="82" t="str">
        <x:v>https://hotwheels.fandom.com/wiki/Porsche_930</x:v>
      </x:c>
    </x:row>
    <x:row r="551">
      <x:c r="A551" s="80" t="str">
        <x:v>Não</x:v>
      </x:c>
      <x:c r="B551" s="80" t="str">
        <x:v>2 — Completar aos poucos</x:v>
      </x:c>
      <x:c r="C551" s="81" t="n">
        <x:v>1997</x:v>
      </x:c>
      <x:c r="D551" s="80" t="str">
        <x:v>Porsche 930</x:v>
      </x:c>
      <x:c r="E551" s="80" t="str">
        <x:v>Porsche 930</x:v>
      </x:c>
      <x:c r="F551" s="82" t="str">
        <x:v>Rockin' Rods 4/4</x:v>
      </x:c>
      <x:c r="G551" s="80" t="str"/>
      <x:c r="H551" s="80" t="str">
        <x:v>572</x:v>
      </x:c>
      <x:c r="I551" s="83" t="str"/>
      <x:c r="J551" s="80" t="str">
        <x:v>Metallic Dark Green</x:v>
      </x:c>
      <x:c r="K551" s="82" t="str">
        <x:v>Blue, Red, Orange, Yellow, White, "Metal", "Rock'n Roll"</x:v>
      </x:c>
      <x:c r="L551" s="82" t="str">
        <x:v>5DOT</x:v>
      </x:c>
      <x:c r="M551" s="82" t="str">
        <x:v>Unpainted / Metal</x:v>
      </x:c>
      <x:c r="N551" s="82" t="str">
        <x:v>Black tint</x:v>
      </x:c>
      <x:c r="O551" s="82" t="str">
        <x:v>Black</x:v>
      </x:c>
      <x:c r="P551" s="82" t="str">
        <x:v>Malaysia</x:v>
      </x:c>
      <x:c r="Q551" s="82" t="str"/>
      <x:c r="R551" s="82" t="str">
        <x:v>Mainline</x:v>
      </x:c>
      <x:c r="S551" s="82" t="str">
        <x:v>Rara</x:v>
      </x:c>
      <x:c r="T551" s="82" t="str">
        <x:v>Lançado</x:v>
      </x:c>
      <x:c r="U551" s="82" t="str"/>
      <x:c r="V551" s="80" t="str">
        <x:v>Coleção principal (~1:64)</x:v>
      </x:c>
      <x:c r="W551" s="82" t="str">
        <x:v>https://hotwheels.fandom.com/wiki/Porsche_930</x:v>
      </x:c>
      <x:c r="X551" s="82" t="str">
        <x:v>https://hotwheels.fandom.com/wiki/Porsche_930</x:v>
      </x:c>
    </x:row>
    <x:row r="552">
      <x:c r="A552" s="80" t="str">
        <x:v>Não</x:v>
      </x:c>
      <x:c r="B552" s="80" t="str">
        <x:v>2 — Completar aos poucos</x:v>
      </x:c>
      <x:c r="C552" s="81" t="n">
        <x:v>1997</x:v>
      </x:c>
      <x:c r="D552" s="80" t="str">
        <x:v>Porsche 930</x:v>
      </x:c>
      <x:c r="E552" s="80" t="str">
        <x:v>Porsche 930</x:v>
      </x:c>
      <x:c r="F552" s="82" t="str">
        <x:v>Rockin' Rods 4/4</x:v>
      </x:c>
      <x:c r="G552" s="80" t="str"/>
      <x:c r="H552" s="80" t="str">
        <x:v>572</x:v>
      </x:c>
      <x:c r="I552" s="83" t="str">
        <x:v>16945</x:v>
      </x:c>
      <x:c r="J552" s="80" t="str">
        <x:v>Metallic Dark Green</x:v>
      </x:c>
      <x:c r="K552" s="82" t="str">
        <x:v>Blue, Red, Orange, Yellow, White, "Metal", "Rock'n Roll"</x:v>
      </x:c>
      <x:c r="L552" s="82" t="str">
        <x:v>5SP</x:v>
      </x:c>
      <x:c r="M552" s="82" t="str">
        <x:v>Unpainted / Metal</x:v>
      </x:c>
      <x:c r="N552" s="82" t="str">
        <x:v>Black tint</x:v>
      </x:c>
      <x:c r="O552" s="82" t="str">
        <x:v>Black</x:v>
      </x:c>
      <x:c r="P552" s="82" t="str">
        <x:v>Malaysia</x:v>
      </x:c>
      <x:c r="Q552" s="82" t="str"/>
      <x:c r="R552" s="82" t="str">
        <x:v>Mainline</x:v>
      </x:c>
      <x:c r="S552" s="82" t="str">
        <x:v>Rara</x:v>
      </x:c>
      <x:c r="T552" s="82" t="str">
        <x:v>Lançado</x:v>
      </x:c>
      <x:c r="U552" s="82" t="str"/>
      <x:c r="V552" s="80" t="str">
        <x:v>Coleção principal (~1:64)</x:v>
      </x:c>
      <x:c r="W552" s="82" t="str">
        <x:v>https://hotwheels.fandom.com/wiki/Porsche_930</x:v>
      </x:c>
      <x:c r="X552" s="82" t="str">
        <x:v>https://hotwheels.fandom.com/wiki/Porsche_930</x:v>
      </x:c>
    </x:row>
    <x:row r="553">
      <x:c r="A553" s="80" t="str">
        <x:v>Não</x:v>
      </x:c>
      <x:c r="B553" s="80" t="str">
        <x:v>2 — Completar aos poucos</x:v>
      </x:c>
      <x:c r="C553" s="81" t="n">
        <x:v>1997</x:v>
      </x:c>
      <x:c r="D553" s="80" t="str">
        <x:v>Porsche 935 (Corgi)</x:v>
      </x:c>
      <x:c r="E553" s="80" t="str">
        <x:v>Porsche 935</x:v>
      </x:c>
      <x:c r="F553" s="82" t="str">
        <x:v>Racing / 4/4</x:v>
      </x:c>
      <x:c r="G553" s="80" t="str"/>
      <x:c r="H553" s="80" t="str"/>
      <x:c r="I553" s="83" t="str">
        <x:v>95532</x:v>
      </x:c>
      <x:c r="J553" s="80" t="str">
        <x:v>Metalflake Black</x:v>
      </x:c>
      <x:c r="K553" s="82" t="str">
        <x:v>Green, silver, &amp; purple graphicss with "4" on sides &amp; hood</x:v>
      </x:c>
      <x:c r="L553" s="82" t="str">
        <x:v>LW</x:v>
      </x:c>
      <x:c r="M553" s="82" t="str">
        <x:v>Black / / / Plastic</x:v>
      </x:c>
      <x:c r="N553" s="82" t="str">
        <x:v>Clear</x:v>
      </x:c>
      <x:c r="O553" s="82" t="str">
        <x:v>Purple</x:v>
      </x:c>
      <x:c r="P553" s="82" t="str">
        <x:v>China</x:v>
      </x:c>
      <x:c r="Q553" s="82" t="str"/>
      <x:c r="R553" s="82" t="str">
        <x:v>Mainline</x:v>
      </x:c>
      <x:c r="S553" s="82" t="str">
        <x:v>Rara</x:v>
      </x:c>
      <x:c r="T553" s="82" t="str">
        <x:v>Lançado</x:v>
      </x:c>
      <x:c r="U553" s="82" t="str">
        <x:v>Released in Europe only</x:v>
      </x:c>
      <x:c r="V553" s="80" t="str">
        <x:v>Coleção principal (~1:64)</x:v>
      </x:c>
      <x:c r="W553" s="82" t="str">
        <x:v>https://hotwheels.fandom.com/wiki/Porsche_935_(Corgi)</x:v>
      </x:c>
      <x:c r="X553" s="82" t="str">
        <x:v>https://hotwheels.fandom.com/wiki/Porsche_935_(Corgi)</x:v>
      </x:c>
    </x:row>
    <x:row r="554">
      <x:c r="A554" s="80" t="str">
        <x:v>Não</x:v>
      </x:c>
      <x:c r="B554" s="80" t="str">
        <x:v>2 — Completar aos poucos</x:v>
      </x:c>
      <x:c r="C554" s="81" t="n">
        <x:v>1997</x:v>
      </x:c>
      <x:c r="D554" s="80" t="str">
        <x:v>Porsche 959</x:v>
      </x:c>
      <x:c r="E554" s="80" t="str">
        <x:v>Porsche 959</x:v>
      </x:c>
      <x:c r="F554" s="82" t="str">
        <x:v>Mainline</x:v>
      </x:c>
      <x:c r="G554" s="80" t="str"/>
      <x:c r="H554" s="80" t="str">
        <x:v>591</x:v>
      </x:c>
      <x:c r="I554" s="83" t="str">
        <x:v>15790</x:v>
      </x:c>
      <x:c r="J554" s="80" t="str">
        <x:v>Light Blue</x:v>
      </x:c>
      <x:c r="K554" s="82" t="str">
        <x:v>tiny Blue Hot Wheels Logo on spoiler</x:v>
      </x:c>
      <x:c r="L554" s="82" t="str">
        <x:v>5SP</x:v>
      </x:c>
      <x:c r="M554" s="82" t="str">
        <x:v>Unpainted / Metal</x:v>
      </x:c>
      <x:c r="N554" s="82" t="str">
        <x:v>Purple Tinted</x:v>
      </x:c>
      <x:c r="O554" s="82" t="str">
        <x:v>Black</x:v>
      </x:c>
      <x:c r="P554" s="82" t="str">
        <x:v>Malaysia or China</x:v>
      </x:c>
      <x:c r="Q554" s="82" t="str"/>
      <x:c r="R554" s="82" t="str">
        <x:v>Mainline</x:v>
      </x:c>
      <x:c r="S554" s="82" t="str">
        <x:v>Rara</x:v>
      </x:c>
      <x:c r="T554" s="82" t="str">
        <x:v>Lançado</x:v>
      </x:c>
      <x:c r="U554" s="82" t="str"/>
      <x:c r="V554" s="80" t="str">
        <x:v>Coleção principal (~1:64)</x:v>
      </x:c>
      <x:c r="W554" s="82" t="str">
        <x:v>https://hotwheels.fandom.com/wiki/Porsche_959</x:v>
      </x:c>
      <x:c r="X554" s="82" t="str">
        <x:v>https://hotwheels.fandom.com/wiki/Porsche_959</x:v>
      </x:c>
    </x:row>
    <x:row r="555">
      <x:c r="A555" s="80" t="str">
        <x:v>Não</x:v>
      </x:c>
      <x:c r="B555" s="80" t="str">
        <x:v>2 — Completar aos poucos</x:v>
      </x:c>
      <x:c r="C555" s="81" t="n">
        <x:v>1997</x:v>
      </x:c>
      <x:c r="D555" s="80" t="str">
        <x:v>Porsche 959</x:v>
      </x:c>
      <x:c r="E555" s="80" t="str">
        <x:v>Porsche 959</x:v>
      </x:c>
      <x:c r="F555" s="82" t="str">
        <x:v>Mainline</x:v>
      </x:c>
      <x:c r="G555" s="80" t="str"/>
      <x:c r="H555" s="80" t="str">
        <x:v>591</x:v>
      </x:c>
      <x:c r="I555" s="83" t="str">
        <x:v>15790</x:v>
      </x:c>
      <x:c r="J555" s="80" t="str">
        <x:v>Light Blue</x:v>
      </x:c>
      <x:c r="K555" s="82" t="str">
        <x:v>tiny Blue Hot Wheels Logo on spoiler</x:v>
      </x:c>
      <x:c r="L555" s="82" t="str">
        <x:v>SB</x:v>
      </x:c>
      <x:c r="M555" s="82" t="str">
        <x:v>Unpainted / Metal</x:v>
      </x:c>
      <x:c r="N555" s="82" t="str">
        <x:v>Purple Tinted</x:v>
      </x:c>
      <x:c r="O555" s="82" t="str">
        <x:v>Black</x:v>
      </x:c>
      <x:c r="P555" s="82" t="str">
        <x:v>Malaysia or China</x:v>
      </x:c>
      <x:c r="Q555" s="82" t="str"/>
      <x:c r="R555" s="82" t="str">
        <x:v>Mainline</x:v>
      </x:c>
      <x:c r="S555" s="82" t="str">
        <x:v>Rara</x:v>
      </x:c>
      <x:c r="T555" s="82" t="str">
        <x:v>Lançado</x:v>
      </x:c>
      <x:c r="U555" s="82" t="str">
        <x:v>Porsche 959 MtLtBlSB</x:v>
      </x:c>
      <x:c r="V555" s="80" t="str">
        <x:v>Coleção principal (~1:64)</x:v>
      </x:c>
      <x:c r="W555" s="82" t="str">
        <x:v>https://hotwheels.fandom.com/wiki/Porsche_959</x:v>
      </x:c>
      <x:c r="X555" s="82" t="str">
        <x:v>https://hotwheels.fandom.com/wiki/Porsche_959</x:v>
      </x:c>
    </x:row>
    <x:row r="556">
      <x:c r="A556" s="80" t="str">
        <x:v>Não</x:v>
      </x:c>
      <x:c r="B556" s="80" t="str">
        <x:v>2 — Completar aos poucos</x:v>
      </x:c>
      <x:c r="C556" s="81" t="n">
        <x:v>1997</x:v>
      </x:c>
      <x:c r="D556" s="80" t="str">
        <x:v>Porsche 959</x:v>
      </x:c>
      <x:c r="E556" s="80" t="str">
        <x:v>Porsche 959</x:v>
      </x:c>
      <x:c r="F556" s="82" t="str">
        <x:v>Mainline</x:v>
      </x:c>
      <x:c r="G556" s="80" t="str"/>
      <x:c r="H556" s="80" t="str">
        <x:v>591</x:v>
      </x:c>
      <x:c r="I556" s="83" t="str">
        <x:v>15790</x:v>
      </x:c>
      <x:c r="J556" s="80" t="str">
        <x:v>Light Blue</x:v>
      </x:c>
      <x:c r="K556" s="82" t="str">
        <x:v>tiny Blue Hot Wheels Logo on spoiler</x:v>
      </x:c>
      <x:c r="L556" s="82" t="str">
        <x:v>5DOT</x:v>
      </x:c>
      <x:c r="M556" s="82" t="str">
        <x:v>Unpainted / Metal</x:v>
      </x:c>
      <x:c r="N556" s="82" t="str">
        <x:v>Purple Tinted</x:v>
      </x:c>
      <x:c r="O556" s="82" t="str">
        <x:v>Black</x:v>
      </x:c>
      <x:c r="P556" s="82" t="str">
        <x:v>Malaysia or China</x:v>
      </x:c>
      <x:c r="Q556" s="82" t="str"/>
      <x:c r="R556" s="82" t="str">
        <x:v>Mainline</x:v>
      </x:c>
      <x:c r="S556" s="82" t="str">
        <x:v>Rara</x:v>
      </x:c>
      <x:c r="T556" s="82" t="str">
        <x:v>Lançado</x:v>
      </x:c>
      <x:c r="U556" s="82" t="str">
        <x:v>Image Not Available</x:v>
      </x:c>
      <x:c r="V556" s="80" t="str">
        <x:v>Coleção principal (~1:64)</x:v>
      </x:c>
      <x:c r="W556" s="82" t="str">
        <x:v>https://hotwheels.fandom.com/wiki/Porsche_959</x:v>
      </x:c>
      <x:c r="X556" s="82" t="str">
        <x:v>https://hotwheels.fandom.com/wiki/Porsche_959</x:v>
      </x:c>
    </x:row>
    <x:row r="557">
      <x:c r="A557" s="80" t="str">
        <x:v>Não</x:v>
      </x:c>
      <x:c r="B557" s="80" t="str">
        <x:v>2 — Completar aos poucos</x:v>
      </x:c>
      <x:c r="C557" s="81" t="n">
        <x:v>1996</x:v>
      </x:c>
      <x:c r="D557" s="80" t="str">
        <x:v>P-911</x:v>
      </x:c>
      <x:c r="E557" s="80" t="str">
        <x:v>P-911</x:v>
      </x:c>
      <x:c r="F557" s="82" t="str">
        <x:v>Mainline</x:v>
      </x:c>
      <x:c r="G557" s="80" t="str"/>
      <x:c r="H557" s="80" t="str">
        <x:v>590</x:v>
      </x:c>
      <x:c r="I557" s="83" t="str"/>
      <x:c r="J557" s="80" t="str">
        <x:v>Red</x:v>
      </x:c>
      <x:c r="K557" s="82" t="str">
        <x:v>Black "Hot Wheels" logo on hood</x:v>
      </x:c>
      <x:c r="L557" s="82" t="str">
        <x:v>5DOT</x:v>
      </x:c>
      <x:c r="M557" s="82" t="str">
        <x:v>Unpainted / Metal</x:v>
      </x:c>
      <x:c r="N557" s="82" t="str">
        <x:v>Smoke tint</x:v>
      </x:c>
      <x:c r="O557" s="82" t="str">
        <x:v>Black</x:v>
      </x:c>
      <x:c r="P557" s="82" t="str">
        <x:v>Malaysia</x:v>
      </x:c>
      <x:c r="Q557" s="82" t="str"/>
      <x:c r="R557" s="82" t="str">
        <x:v>Mainline</x:v>
      </x:c>
      <x:c r="S557" s="82" t="str">
        <x:v>Rara</x:v>
      </x:c>
      <x:c r="T557" s="82" t="str">
        <x:v>Lançado</x:v>
      </x:c>
      <x:c r="U557" s="82" t="str"/>
      <x:c r="V557" s="80" t="str">
        <x:v>Coleção principal (~1:64)</x:v>
      </x:c>
      <x:c r="W557" s="82" t="str">
        <x:v>https://hotwheels.fandom.com/wiki/P-911</x:v>
      </x:c>
      <x:c r="X557" s="82" t="str">
        <x:v>https://hotwheels.fandom.com/wiki/P-911</x:v>
      </x:c>
    </x:row>
    <x:row r="558">
      <x:c r="A558" s="80" t="str">
        <x:v>Não</x:v>
      </x:c>
      <x:c r="B558" s="80" t="str">
        <x:v>2 — Completar aos poucos</x:v>
      </x:c>
      <x:c r="C558" s="81" t="n">
        <x:v>1996</x:v>
      </x:c>
      <x:c r="D558" s="80" t="str">
        <x:v>P-911</x:v>
      </x:c>
      <x:c r="E558" s="80" t="str">
        <x:v>P-911</x:v>
      </x:c>
      <x:c r="F558" s="82" t="str">
        <x:v>Mainline</x:v>
      </x:c>
      <x:c r="G558" s="80" t="str"/>
      <x:c r="H558" s="80" t="str">
        <x:v>590</x:v>
      </x:c>
      <x:c r="I558" s="83" t="str"/>
      <x:c r="J558" s="80" t="str">
        <x:v>Red</x:v>
      </x:c>
      <x:c r="K558" s="82" t="str">
        <x:v>Black "Hot Wheels" logo on hood</x:v>
      </x:c>
      <x:c r="L558" s="82" t="str">
        <x:v>SB</x:v>
      </x:c>
      <x:c r="M558" s="82" t="str">
        <x:v>Unpainted / Metal</x:v>
      </x:c>
      <x:c r="N558" s="82" t="str">
        <x:v>Smoke tint</x:v>
      </x:c>
      <x:c r="O558" s="82" t="str">
        <x:v>Black</x:v>
      </x:c>
      <x:c r="P558" s="82" t="str">
        <x:v>Malaysia</x:v>
      </x:c>
      <x:c r="Q558" s="82" t="str"/>
      <x:c r="R558" s="82" t="str">
        <x:v>Mainline</x:v>
      </x:c>
      <x:c r="S558" s="82" t="str">
        <x:v>Rara</x:v>
      </x:c>
      <x:c r="T558" s="82" t="str">
        <x:v>Lançado</x:v>
      </x:c>
      <x:c r="U558" s="82" t="str"/>
      <x:c r="V558" s="80" t="str">
        <x:v>Coleção principal (~1:64)</x:v>
      </x:c>
      <x:c r="W558" s="82" t="str">
        <x:v>https://hotwheels.fandom.com/wiki/P-911</x:v>
      </x:c>
      <x:c r="X558" s="82" t="str">
        <x:v>https://hotwheels.fandom.com/wiki/P-911</x:v>
      </x:c>
    </x:row>
    <x:row r="559">
      <x:c r="A559" s="80" t="str">
        <x:v>Não</x:v>
      </x:c>
      <x:c r="B559" s="80" t="str">
        <x:v>2 — Completar aos poucos</x:v>
      </x:c>
      <x:c r="C559" s="81" t="n">
        <x:v>1996</x:v>
      </x:c>
      <x:c r="D559" s="80" t="str">
        <x:v>P-911</x:v>
      </x:c>
      <x:c r="E559" s="80" t="str">
        <x:v>P-911</x:v>
      </x:c>
      <x:c r="F559" s="82" t="str">
        <x:v>Mainline</x:v>
      </x:c>
      <x:c r="G559" s="80" t="str"/>
      <x:c r="H559" s="80" t="str">
        <x:v>590</x:v>
      </x:c>
      <x:c r="I559" s="83" t="str"/>
      <x:c r="J559" s="80" t="str">
        <x:v>Red</x:v>
      </x:c>
      <x:c r="K559" s="82" t="str">
        <x:v>Black "Hot Wheels" logo on hood</x:v>
      </x:c>
      <x:c r="L559" s="82" t="str">
        <x:v>Larger rear SB</x:v>
      </x:c>
      <x:c r="M559" s="82" t="str">
        <x:v>Unpainted / Metal</x:v>
      </x:c>
      <x:c r="N559" s="82" t="str">
        <x:v>Smoke tint</x:v>
      </x:c>
      <x:c r="O559" s="82" t="str">
        <x:v>Black</x:v>
      </x:c>
      <x:c r="P559" s="82" t="str">
        <x:v>Malaysia</x:v>
      </x:c>
      <x:c r="Q559" s="82" t="str"/>
      <x:c r="R559" s="82" t="str">
        <x:v>Mainline</x:v>
      </x:c>
      <x:c r="S559" s="82" t="str">
        <x:v>Rara</x:v>
      </x:c>
      <x:c r="T559" s="82" t="str">
        <x:v>Lançado</x:v>
      </x:c>
      <x:c r="U559" s="82" t="str"/>
      <x:c r="V559" s="80" t="str">
        <x:v>Coleção principal (~1:64)</x:v>
      </x:c>
      <x:c r="W559" s="82" t="str">
        <x:v>https://hotwheels.fandom.com/wiki/P-911</x:v>
      </x:c>
      <x:c r="X559" s="82" t="str">
        <x:v>https://hotwheels.fandom.com/wiki/P-911</x:v>
      </x:c>
    </x:row>
    <x:row r="560">
      <x:c r="A560" s="80" t="str">
        <x:v>Não</x:v>
      </x:c>
      <x:c r="B560" s="80" t="str">
        <x:v>2 — Completar aos poucos</x:v>
      </x:c>
      <x:c r="C560" s="81" t="n">
        <x:v>1996</x:v>
      </x:c>
      <x:c r="D560" s="80" t="str">
        <x:v>P-911</x:v>
      </x:c>
      <x:c r="E560" s="80" t="str">
        <x:v>P-911</x:v>
      </x:c>
      <x:c r="F560" s="82" t="str">
        <x:v>Mainline</x:v>
      </x:c>
      <x:c r="G560" s="80" t="str"/>
      <x:c r="H560" s="80" t="str">
        <x:v>590</x:v>
      </x:c>
      <x:c r="I560" s="83" t="str"/>
      <x:c r="J560" s="80" t="str">
        <x:v>Red</x:v>
      </x:c>
      <x:c r="K560" s="82" t="str">
        <x:v>Black "Hot Wheels" logo on hood</x:v>
      </x:c>
      <x:c r="L560" s="82" t="str">
        <x:v>3SP</x:v>
      </x:c>
      <x:c r="M560" s="82" t="str">
        <x:v>Unpainted / Metal</x:v>
      </x:c>
      <x:c r="N560" s="82" t="str">
        <x:v>Smoke tint</x:v>
      </x:c>
      <x:c r="O560" s="82" t="str">
        <x:v>Black</x:v>
      </x:c>
      <x:c r="P560" s="82" t="str">
        <x:v>Malaysia</x:v>
      </x:c>
      <x:c r="Q560" s="82" t="str"/>
      <x:c r="R560" s="82" t="str">
        <x:v>Mainline</x:v>
      </x:c>
      <x:c r="S560" s="82" t="str">
        <x:v>Rara</x:v>
      </x:c>
      <x:c r="T560" s="82" t="str">
        <x:v>Lançado</x:v>
      </x:c>
      <x:c r="U560" s="82" t="str"/>
      <x:c r="V560" s="80" t="str">
        <x:v>Coleção principal (~1:64)</x:v>
      </x:c>
      <x:c r="W560" s="82" t="str">
        <x:v>https://hotwheels.fandom.com/wiki/P-911</x:v>
      </x:c>
      <x:c r="X560" s="82" t="str">
        <x:v>https://hotwheels.fandom.com/wiki/P-911</x:v>
      </x:c>
    </x:row>
    <x:row r="561">
      <x:c r="A561" s="80" t="str">
        <x:v>Não</x:v>
      </x:c>
      <x:c r="B561" s="80" t="str">
        <x:v>2 — Completar aos poucos</x:v>
      </x:c>
      <x:c r="C561" s="81" t="n">
        <x:v>1996</x:v>
      </x:c>
      <x:c r="D561" s="80" t="str">
        <x:v>P-911</x:v>
      </x:c>
      <x:c r="E561" s="80" t="str">
        <x:v>P-911</x:v>
      </x:c>
      <x:c r="F561" s="82" t="str">
        <x:v>Mainline</x:v>
      </x:c>
      <x:c r="G561" s="80" t="str"/>
      <x:c r="H561" s="80" t="str">
        <x:v>590 VHTF, euro s/c</x:v>
      </x:c>
      <x:c r="I561" s="83" t="str"/>
      <x:c r="J561" s="80" t="str">
        <x:v>Red</x:v>
      </x:c>
      <x:c r="K561" s="82" t="str">
        <x:v>Black "Hot Wheels" Logo</x:v>
      </x:c>
      <x:c r="L561" s="82" t="str">
        <x:v>7SP</x:v>
      </x:c>
      <x:c r="M561" s="82" t="str">
        <x:v>Unpainted / Metal</x:v>
      </x:c>
      <x:c r="N561" s="82" t="str">
        <x:v>Smoke tint</x:v>
      </x:c>
      <x:c r="O561" s="82" t="str">
        <x:v>Black</x:v>
      </x:c>
      <x:c r="P561" s="82" t="str">
        <x:v>Malaysia</x:v>
      </x:c>
      <x:c r="Q561" s="82" t="str"/>
      <x:c r="R561" s="82" t="str">
        <x:v>Mainline</x:v>
      </x:c>
      <x:c r="S561" s="82" t="str">
        <x:v>Rara</x:v>
      </x:c>
      <x:c r="T561" s="82" t="str">
        <x:v>Lançado</x:v>
      </x:c>
      <x:c r="U561" s="82" t="str">
        <x:v>possible Porsche 5pk</x:v>
      </x:c>
      <x:c r="V561" s="80" t="str">
        <x:v>Coleção principal (~1:64)</x:v>
      </x:c>
      <x:c r="W561" s="82" t="str">
        <x:v>https://hotwheels.fandom.com/wiki/P-911</x:v>
      </x:c>
      <x:c r="X561" s="82" t="str">
        <x:v>https://hotwheels.fandom.com/wiki/P-911</x:v>
      </x:c>
    </x:row>
    <x:row r="562">
      <x:c r="A562" s="80" t="str">
        <x:v>Não</x:v>
      </x:c>
      <x:c r="B562" s="80" t="str">
        <x:v>2 — Completar aos poucos</x:v>
      </x:c>
      <x:c r="C562" s="81" t="n">
        <x:v>1996</x:v>
      </x:c>
      <x:c r="D562" s="80" t="str">
        <x:v>P-911</x:v>
      </x:c>
      <x:c r="E562" s="80" t="str">
        <x:v>P-911</x:v>
      </x:c>
      <x:c r="F562" s="82" t="str">
        <x:v>Mainline</x:v>
      </x:c>
      <x:c r="G562" s="80" t="str"/>
      <x:c r="H562" s="80" t="str">
        <x:v>590</x:v>
      </x:c>
      <x:c r="I562" s="83" t="str"/>
      <x:c r="J562" s="80" t="str">
        <x:v>Red</x:v>
      </x:c>
      <x:c r="K562" s="82" t="str">
        <x:v>Black "Hot Wheels" logo on hood</x:v>
      </x:c>
      <x:c r="L562" s="82" t="str">
        <x:v>5DOT</x:v>
      </x:c>
      <x:c r="M562" s="82" t="str">
        <x:v>Unpainted / / / Metal</x:v>
      </x:c>
      <x:c r="N562" s="82" t="str">
        <x:v>Black tint</x:v>
      </x:c>
      <x:c r="O562" s="82" t="str">
        <x:v>Black</x:v>
      </x:c>
      <x:c r="P562" s="82" t="str">
        <x:v>Malaysia</x:v>
      </x:c>
      <x:c r="Q562" s="82" t="str"/>
      <x:c r="R562" s="82" t="str">
        <x:v>Mainline</x:v>
      </x:c>
      <x:c r="S562" s="82" t="str">
        <x:v>Rara</x:v>
      </x:c>
      <x:c r="T562" s="82" t="str">
        <x:v>Lançado</x:v>
      </x:c>
      <x:c r="U562" s="82" t="str"/>
      <x:c r="V562" s="80" t="str">
        <x:v>Coleção principal (~1:64)</x:v>
      </x:c>
      <x:c r="W562" s="82" t="str">
        <x:v>https://hotwheels.fandom.com/wiki/P-911</x:v>
      </x:c>
      <x:c r="X562" s="82" t="str">
        <x:v>https://hotwheels.fandom.com/wiki/P-911</x:v>
      </x:c>
    </x:row>
    <x:row r="563">
      <x:c r="A563" s="80" t="str">
        <x:v>Não</x:v>
      </x:c>
      <x:c r="B563" s="80" t="str">
        <x:v>2 — Completar aos poucos</x:v>
      </x:c>
      <x:c r="C563" s="81" t="n">
        <x:v>1996</x:v>
      </x:c>
      <x:c r="D563" s="80" t="str">
        <x:v>P-911</x:v>
      </x:c>
      <x:c r="E563" s="80" t="str">
        <x:v>P-911</x:v>
      </x:c>
      <x:c r="F563" s="82" t="str">
        <x:v>Mainline</x:v>
      </x:c>
      <x:c r="G563" s="80" t="str"/>
      <x:c r="H563" s="80" t="str">
        <x:v>590</x:v>
      </x:c>
      <x:c r="I563" s="83" t="str"/>
      <x:c r="J563" s="80" t="str">
        <x:v>Red</x:v>
      </x:c>
      <x:c r="K563" s="82" t="str">
        <x:v>Black "Hot Wheels" logo on hood</x:v>
      </x:c>
      <x:c r="L563" s="82" t="str">
        <x:v>SB</x:v>
      </x:c>
      <x:c r="M563" s="82" t="str">
        <x:v>Unpainted / / / Metal</x:v>
      </x:c>
      <x:c r="N563" s="82" t="str">
        <x:v>Black tint</x:v>
      </x:c>
      <x:c r="O563" s="82" t="str">
        <x:v>Black</x:v>
      </x:c>
      <x:c r="P563" s="82" t="str">
        <x:v>Malaysia</x:v>
      </x:c>
      <x:c r="Q563" s="82" t="str"/>
      <x:c r="R563" s="82" t="str">
        <x:v>Mainline</x:v>
      </x:c>
      <x:c r="S563" s="82" t="str">
        <x:v>Rara</x:v>
      </x:c>
      <x:c r="T563" s="82" t="str">
        <x:v>Lançado</x:v>
      </x:c>
      <x:c r="U563" s="82" t="str"/>
      <x:c r="V563" s="80" t="str">
        <x:v>Coleção principal (~1:64)</x:v>
      </x:c>
      <x:c r="W563" s="82" t="str">
        <x:v>https://hotwheels.fandom.com/wiki/P-911</x:v>
      </x:c>
      <x:c r="X563" s="82" t="str">
        <x:v>https://hotwheels.fandom.com/wiki/P-911</x:v>
      </x:c>
    </x:row>
    <x:row r="564">
      <x:c r="A564" s="80" t="str">
        <x:v>Não</x:v>
      </x:c>
      <x:c r="B564" s="80" t="str">
        <x:v>2 — Completar aos poucos</x:v>
      </x:c>
      <x:c r="C564" s="81" t="n">
        <x:v>1996</x:v>
      </x:c>
      <x:c r="D564" s="80" t="str">
        <x:v>P-911</x:v>
      </x:c>
      <x:c r="E564" s="80" t="str">
        <x:v>P-911</x:v>
      </x:c>
      <x:c r="F564" s="82" t="str">
        <x:v>Mainline</x:v>
      </x:c>
      <x:c r="G564" s="80" t="str"/>
      <x:c r="H564" s="80" t="str">
        <x:v>590</x:v>
      </x:c>
      <x:c r="I564" s="83" t="str"/>
      <x:c r="J564" s="80" t="str">
        <x:v>Red</x:v>
      </x:c>
      <x:c r="K564" s="82" t="str">
        <x:v>Black "Hot Wheels" logo on hood</x:v>
      </x:c>
      <x:c r="L564" s="82" t="str">
        <x:v>SB Larger rear wheels</x:v>
      </x:c>
      <x:c r="M564" s="82" t="str">
        <x:v>Unpainted / / / Metal</x:v>
      </x:c>
      <x:c r="N564" s="82" t="str">
        <x:v>Black tint</x:v>
      </x:c>
      <x:c r="O564" s="82" t="str">
        <x:v>Black</x:v>
      </x:c>
      <x:c r="P564" s="82" t="str">
        <x:v>Malaysia</x:v>
      </x:c>
      <x:c r="Q564" s="82" t="str"/>
      <x:c r="R564" s="82" t="str">
        <x:v>Mainline</x:v>
      </x:c>
      <x:c r="S564" s="82" t="str">
        <x:v>Rara</x:v>
      </x:c>
      <x:c r="T564" s="82" t="str">
        <x:v>Lançado</x:v>
      </x:c>
      <x:c r="U564" s="82" t="str"/>
      <x:c r="V564" s="80" t="str">
        <x:v>Coleção principal (~1:64)</x:v>
      </x:c>
      <x:c r="W564" s="82" t="str">
        <x:v>https://hotwheels.fandom.com/wiki/P-911</x:v>
      </x:c>
      <x:c r="X564" s="82" t="str">
        <x:v>https://hotwheels.fandom.com/wiki/P-911</x:v>
      </x:c>
    </x:row>
    <x:row r="565">
      <x:c r="A565" s="80" t="str">
        <x:v>Não</x:v>
      </x:c>
      <x:c r="B565" s="80" t="str">
        <x:v>2 — Completar aos poucos</x:v>
      </x:c>
      <x:c r="C565" s="81" t="n">
        <x:v>1996</x:v>
      </x:c>
      <x:c r="D565" s="80" t="str">
        <x:v>P-911</x:v>
      </x:c>
      <x:c r="E565" s="80" t="str">
        <x:v>P-911</x:v>
      </x:c>
      <x:c r="F565" s="82" t="str">
        <x:v>Mainline</x:v>
      </x:c>
      <x:c r="G565" s="80" t="str"/>
      <x:c r="H565" s="80" t="str">
        <x:v>590</x:v>
      </x:c>
      <x:c r="I565" s="83" t="str"/>
      <x:c r="J565" s="80" t="str">
        <x:v>Red</x:v>
      </x:c>
      <x:c r="K565" s="82" t="str">
        <x:v>Black "Hot Wheels" logo on hood</x:v>
      </x:c>
      <x:c r="L565" s="82" t="str">
        <x:v>3SP</x:v>
      </x:c>
      <x:c r="M565" s="82" t="str">
        <x:v>Unpainted / / / Metal</x:v>
      </x:c>
      <x:c r="N565" s="82" t="str">
        <x:v>Black tint</x:v>
      </x:c>
      <x:c r="O565" s="82" t="str">
        <x:v>Black</x:v>
      </x:c>
      <x:c r="P565" s="82" t="str">
        <x:v>Malaysia</x:v>
      </x:c>
      <x:c r="Q565" s="82" t="str"/>
      <x:c r="R565" s="82" t="str">
        <x:v>Mainline</x:v>
      </x:c>
      <x:c r="S565" s="82" t="str">
        <x:v>Rara</x:v>
      </x:c>
      <x:c r="T565" s="82" t="str">
        <x:v>Lançado</x:v>
      </x:c>
      <x:c r="U565" s="82" t="str"/>
      <x:c r="V565" s="80" t="str">
        <x:v>Coleção principal (~1:64)</x:v>
      </x:c>
      <x:c r="W565" s="82" t="str">
        <x:v>https://hotwheels.fandom.com/wiki/P-911</x:v>
      </x:c>
      <x:c r="X565" s="82" t="str">
        <x:v>https://hotwheels.fandom.com/wiki/P-911</x:v>
      </x:c>
    </x:row>
    <x:row r="566">
      <x:c r="A566" s="80" t="str">
        <x:v>Não</x:v>
      </x:c>
      <x:c r="B566" s="80" t="str">
        <x:v>2 — Completar aos poucos</x:v>
      </x:c>
      <x:c r="C566" s="81" t="n">
        <x:v>1996</x:v>
      </x:c>
      <x:c r="D566" s="80" t="str">
        <x:v>P-911</x:v>
      </x:c>
      <x:c r="E566" s="80" t="str">
        <x:v>P-911</x:v>
      </x:c>
      <x:c r="F566" s="82" t="str">
        <x:v>Mainline</x:v>
      </x:c>
      <x:c r="G566" s="80" t="str"/>
      <x:c r="H566" s="80" t="str">
        <x:v>590 VHTF, euro s/c</x:v>
      </x:c>
      <x:c r="I566" s="83" t="str"/>
      <x:c r="J566" s="80" t="str">
        <x:v>Red</x:v>
      </x:c>
      <x:c r="K566" s="82" t="str">
        <x:v>Black "Hot Wheels" Logo</x:v>
      </x:c>
      <x:c r="L566" s="82" t="str">
        <x:v>7SP</x:v>
      </x:c>
      <x:c r="M566" s="82" t="str">
        <x:v>Unpainted / / / Metal</x:v>
      </x:c>
      <x:c r="N566" s="82" t="str">
        <x:v>Black tint</x:v>
      </x:c>
      <x:c r="O566" s="82" t="str">
        <x:v>Black</x:v>
      </x:c>
      <x:c r="P566" s="82" t="str">
        <x:v>Malaysia</x:v>
      </x:c>
      <x:c r="Q566" s="82" t="str"/>
      <x:c r="R566" s="82" t="str">
        <x:v>Mainline</x:v>
      </x:c>
      <x:c r="S566" s="82" t="str">
        <x:v>Rara</x:v>
      </x:c>
      <x:c r="T566" s="82" t="str">
        <x:v>Lançado</x:v>
      </x:c>
      <x:c r="U566" s="82" t="str">
        <x:v>possible Porsche 5pk</x:v>
      </x:c>
      <x:c r="V566" s="80" t="str">
        <x:v>Coleção principal (~1:64)</x:v>
      </x:c>
      <x:c r="W566" s="82" t="str">
        <x:v>https://hotwheels.fandom.com/wiki/P-911</x:v>
      </x:c>
      <x:c r="X566" s="82" t="str">
        <x:v>https://hotwheels.fandom.com/wiki/P-911</x:v>
      </x:c>
    </x:row>
    <x:row r="567">
      <x:c r="A567" s="80" t="str">
        <x:v>Não</x:v>
      </x:c>
      <x:c r="B567" s="80" t="str">
        <x:v>2 — Completar aos poucos</x:v>
      </x:c>
      <x:c r="C567" s="81" t="n">
        <x:v>1996</x:v>
      </x:c>
      <x:c r="D567" s="80" t="str">
        <x:v>P-911</x:v>
      </x:c>
      <x:c r="E567" s="80" t="str">
        <x:v>P-911</x:v>
      </x:c>
      <x:c r="F567" s="82" t="str">
        <x:v>Mainline / &amp; / Porsche 5-Pack</x:v>
      </x:c>
      <x:c r="G567" s="80" t="str"/>
      <x:c r="H567" s="80" t="str">
        <x:v>590</x:v>
      </x:c>
      <x:c r="I567" s="83" t="str"/>
      <x:c r="J567" s="80" t="str">
        <x:v>Red</x:v>
      </x:c>
      <x:c r="K567" s="82" t="str">
        <x:v>Black "Hot Wheels" logo on hood</x:v>
      </x:c>
      <x:c r="L567" s="82" t="str">
        <x:v>5SP</x:v>
      </x:c>
      <x:c r="M567" s="82" t="str">
        <x:v>Unpainted / / / Metal</x:v>
      </x:c>
      <x:c r="N567" s="82" t="str">
        <x:v>Black tint</x:v>
      </x:c>
      <x:c r="O567" s="82" t="str">
        <x:v>Black</x:v>
      </x:c>
      <x:c r="P567" s="82" t="str">
        <x:v>Malaysia</x:v>
      </x:c>
      <x:c r="Q567" s="82" t="str"/>
      <x:c r="R567" s="82" t="str">
        <x:v>Temática / multipack</x:v>
      </x:c>
      <x:c r="S567" s="82" t="str">
        <x:v>Rara</x:v>
      </x:c>
      <x:c r="T567" s="82" t="str">
        <x:v>Lançado</x:v>
      </x:c>
      <x:c r="U567" s="82" t="str"/>
      <x:c r="V567" s="80" t="str">
        <x:v>Coleção principal (~1:64)</x:v>
      </x:c>
      <x:c r="W567" s="82" t="str">
        <x:v>https://hotwheels.fandom.com/wiki/P-911</x:v>
      </x:c>
      <x:c r="X567" s="82" t="str">
        <x:v>https://hotwheels.fandom.com/wiki/P-911</x:v>
      </x:c>
    </x:row>
    <x:row r="568">
      <x:c r="A568" s="80" t="str">
        <x:v>Não</x:v>
      </x:c>
      <x:c r="B568" s="80" t="str">
        <x:v>2 — Completar aos poucos</x:v>
      </x:c>
      <x:c r="C568" s="81" t="n">
        <x:v>1996</x:v>
      </x:c>
      <x:c r="D568" s="80" t="str">
        <x:v>P-911</x:v>
      </x:c>
      <x:c r="E568" s="80" t="str">
        <x:v>P-911</x:v>
      </x:c>
      <x:c r="F568" s="82" t="str">
        <x:v>Mainline / &amp; / Porsche 5-Pack</x:v>
      </x:c>
      <x:c r="G568" s="80" t="str"/>
      <x:c r="H568" s="80" t="str">
        <x:v>590</x:v>
      </x:c>
      <x:c r="I568" s="83" t="str"/>
      <x:c r="J568" s="80" t="str">
        <x:v>Red</x:v>
      </x:c>
      <x:c r="K568" s="82" t="str">
        <x:v>Black "Hot Wheels" logo on hood</x:v>
      </x:c>
      <x:c r="L568" s="82" t="str">
        <x:v>5SP Larger Rear Wheels</x:v>
      </x:c>
      <x:c r="M568" s="82" t="str">
        <x:v>Unpainted / / / Metal</x:v>
      </x:c>
      <x:c r="N568" s="82" t="str">
        <x:v>Black tint</x:v>
      </x:c>
      <x:c r="O568" s="82" t="str">
        <x:v>Black</x:v>
      </x:c>
      <x:c r="P568" s="82" t="str">
        <x:v>Malaysia</x:v>
      </x:c>
      <x:c r="Q568" s="82" t="str"/>
      <x:c r="R568" s="82" t="str">
        <x:v>Temática / multipack</x:v>
      </x:c>
      <x:c r="S568" s="82" t="str">
        <x:v>Rara</x:v>
      </x:c>
      <x:c r="T568" s="82" t="str">
        <x:v>Lançado</x:v>
      </x:c>
      <x:c r="U568" s="82" t="str"/>
      <x:c r="V568" s="80" t="str">
        <x:v>Coleção principal (~1:64)</x:v>
      </x:c>
      <x:c r="W568" s="82" t="str">
        <x:v>https://hotwheels.fandom.com/wiki/P-911</x:v>
      </x:c>
      <x:c r="X568" s="82" t="str">
        <x:v>https://hotwheels.fandom.com/wiki/P-911</x:v>
      </x:c>
    </x:row>
    <x:row r="569">
      <x:c r="A569" s="80" t="str">
        <x:v>Não</x:v>
      </x:c>
      <x:c r="B569" s="80" t="str">
        <x:v>2 — Completar aos poucos</x:v>
      </x:c>
      <x:c r="C569" s="81" t="n">
        <x:v>1996</x:v>
      </x:c>
      <x:c r="D569" s="80" t="str">
        <x:v>P-911</x:v>
      </x:c>
      <x:c r="E569" s="80" t="str">
        <x:v>P-911</x:v>
      </x:c>
      <x:c r="F569" s="82" t="str">
        <x:v>Mainline &amp;Porsche 5-Pack</x:v>
      </x:c>
      <x:c r="G569" s="80" t="str"/>
      <x:c r="H569" s="80" t="str">
        <x:v>590</x:v>
      </x:c>
      <x:c r="I569" s="83" t="str"/>
      <x:c r="J569" s="80" t="str">
        <x:v>Red</x:v>
      </x:c>
      <x:c r="K569" s="82" t="str">
        <x:v>Black "Hot Wheels" logo on hood</x:v>
      </x:c>
      <x:c r="L569" s="82" t="str">
        <x:v>5SP</x:v>
      </x:c>
      <x:c r="M569" s="82" t="str">
        <x:v>Unpainted / Metal</x:v>
      </x:c>
      <x:c r="N569" s="82" t="str">
        <x:v>Smoke tint</x:v>
      </x:c>
      <x:c r="O569" s="82" t="str">
        <x:v>Black</x:v>
      </x:c>
      <x:c r="P569" s="82" t="str">
        <x:v>Malaysia</x:v>
      </x:c>
      <x:c r="Q569" s="82" t="str"/>
      <x:c r="R569" s="82" t="str">
        <x:v>Temática / multipack</x:v>
      </x:c>
      <x:c r="S569" s="82" t="str">
        <x:v>Rara</x:v>
      </x:c>
      <x:c r="T569" s="82" t="str">
        <x:v>Lançado</x:v>
      </x:c>
      <x:c r="U569" s="82" t="str"/>
      <x:c r="V569" s="80" t="str">
        <x:v>Coleção principal (~1:64)</x:v>
      </x:c>
      <x:c r="W569" s="82" t="str">
        <x:v>https://hotwheels.fandom.com/wiki/P-911</x:v>
      </x:c>
      <x:c r="X569" s="82" t="str">
        <x:v>https://hotwheels.fandom.com/wiki/P-911</x:v>
      </x:c>
    </x:row>
    <x:row r="570">
      <x:c r="A570" s="80" t="str">
        <x:v>Não</x:v>
      </x:c>
      <x:c r="B570" s="80" t="str">
        <x:v>2 — Completar aos poucos</x:v>
      </x:c>
      <x:c r="C570" s="81" t="n">
        <x:v>1996</x:v>
      </x:c>
      <x:c r="D570" s="80" t="str">
        <x:v>P-911</x:v>
      </x:c>
      <x:c r="E570" s="80" t="str">
        <x:v>P-911</x:v>
      </x:c>
      <x:c r="F570" s="82" t="str">
        <x:v>Mainline &amp;Porsche 5-Pack</x:v>
      </x:c>
      <x:c r="G570" s="80" t="str"/>
      <x:c r="H570" s="80" t="str">
        <x:v>590</x:v>
      </x:c>
      <x:c r="I570" s="83" t="str"/>
      <x:c r="J570" s="80" t="str">
        <x:v>Red</x:v>
      </x:c>
      <x:c r="K570" s="82" t="str">
        <x:v>Black "Hot Wheels" logo on hood</x:v>
      </x:c>
      <x:c r="L570" s="82" t="str">
        <x:v>Large rear 5SP</x:v>
      </x:c>
      <x:c r="M570" s="82" t="str">
        <x:v>Unpainted / Metal</x:v>
      </x:c>
      <x:c r="N570" s="82" t="str">
        <x:v>Smoke tint</x:v>
      </x:c>
      <x:c r="O570" s="82" t="str">
        <x:v>Black</x:v>
      </x:c>
      <x:c r="P570" s="82" t="str">
        <x:v>Malaysia</x:v>
      </x:c>
      <x:c r="Q570" s="82" t="str"/>
      <x:c r="R570" s="82" t="str">
        <x:v>Temática / multipack</x:v>
      </x:c>
      <x:c r="S570" s="82" t="str">
        <x:v>Rara</x:v>
      </x:c>
      <x:c r="T570" s="82" t="str">
        <x:v>Lançado</x:v>
      </x:c>
      <x:c r="U570" s="82" t="str"/>
      <x:c r="V570" s="80" t="str">
        <x:v>Coleção principal (~1:64)</x:v>
      </x:c>
      <x:c r="W570" s="82" t="str">
        <x:v>https://hotwheels.fandom.com/wiki/P-911</x:v>
      </x:c>
      <x:c r="X570" s="82" t="str">
        <x:v>https://hotwheels.fandom.com/wiki/P-911</x:v>
      </x:c>
    </x:row>
    <x:row r="571">
      <x:c r="A571" s="80" t="str">
        <x:v>Não</x:v>
      </x:c>
      <x:c r="B571" s="80" t="str">
        <x:v>2 — Completar aos poucos</x:v>
      </x:c>
      <x:c r="C571" s="81" t="n">
        <x:v>1996</x:v>
      </x:c>
      <x:c r="D571" s="80" t="str">
        <x:v>P-928</x:v>
      </x:c>
      <x:c r="E571" s="80" t="str">
        <x:v>P-928</x:v>
      </x:c>
      <x:c r="F571" s="82" t="str">
        <x:v>Porsche 5-Pack</x:v>
      </x:c>
      <x:c r="G571" s="80" t="str"/>
      <x:c r="H571" s="80" t="str"/>
      <x:c r="I571" s="83" t="str">
        <x:v>15066</x:v>
      </x:c>
      <x:c r="J571" s="80" t="str">
        <x:v>Aqua</x:v>
      </x:c>
      <x:c r="K571" s="82" t="str">
        <x:v>White Hot Wheels logo</x:v>
      </x:c>
      <x:c r="L571" s="82" t="str">
        <x:v>5SP</x:v>
      </x:c>
      <x:c r="M571" s="82" t="str">
        <x:v>Unpainted / Metal</x:v>
      </x:c>
      <x:c r="N571" s="82" t="str">
        <x:v>Black</x:v>
      </x:c>
      <x:c r="O571" s="82" t="str"/>
      <x:c r="P571" s="82" t="str">
        <x:v>Malaysia</x:v>
      </x:c>
      <x:c r="Q571" s="82" t="str"/>
      <x:c r="R571" s="82" t="str">
        <x:v>Temática / multipack</x:v>
      </x:c>
      <x:c r="S571" s="82" t="str">
        <x:v>Rara</x:v>
      </x:c>
      <x:c r="T571" s="82" t="str">
        <x:v>Lançado</x:v>
      </x:c>
      <x:c r="U571" s="82" t="str"/>
      <x:c r="V571" s="80" t="str">
        <x:v>Coleção principal (~1:64)</x:v>
      </x:c>
      <x:c r="W571" s="82" t="str">
        <x:v>https://hotwheels.fandom.com/wiki/P-928</x:v>
      </x:c>
      <x:c r="X571" s="82" t="str">
        <x:v>https://hotwheels.fandom.com/wiki/P-928</x:v>
      </x:c>
    </x:row>
    <x:row r="572">
      <x:c r="A572" s="80" t="str">
        <x:v>Não</x:v>
      </x:c>
      <x:c r="B572" s="80" t="str">
        <x:v>2 — Completar aos poucos</x:v>
      </x:c>
      <x:c r="C572" s="81" t="n">
        <x:v>1996</x:v>
      </x:c>
      <x:c r="D572" s="80" t="str">
        <x:v>P-928</x:v>
      </x:c>
      <x:c r="E572" s="80" t="str">
        <x:v>P-928</x:v>
      </x:c>
      <x:c r="F572" s="82" t="str">
        <x:v>Porsche 5-Pack</x:v>
      </x:c>
      <x:c r="G572" s="80" t="str"/>
      <x:c r="H572" s="80" t="str">
        <x:v>LW</x:v>
      </x:c>
      <x:c r="I572" s="83" t="str">
        <x:v>15066</x:v>
      </x:c>
      <x:c r="J572" s="80" t="str">
        <x:v>Aqua</x:v>
      </x:c>
      <x:c r="K572" s="82" t="str">
        <x:v>White Hot Wheels logo</x:v>
      </x:c>
      <x:c r="L572" s="82" t="str"/>
      <x:c r="M572" s="82" t="str">
        <x:v>Unpainted / Metal</x:v>
      </x:c>
      <x:c r="N572" s="82" t="str">
        <x:v>Black</x:v>
      </x:c>
      <x:c r="O572" s="82" t="str"/>
      <x:c r="P572" s="82" t="str">
        <x:v>Malaysia</x:v>
      </x:c>
      <x:c r="Q572" s="82" t="str"/>
      <x:c r="R572" s="82" t="str">
        <x:v>Temática / multipack</x:v>
      </x:c>
      <x:c r="S572" s="82" t="str">
        <x:v>Rara</x:v>
      </x:c>
      <x:c r="T572" s="82" t="str">
        <x:v>Lançado</x:v>
      </x:c>
      <x:c r="U572" s="82" t="str">
        <x:v>P928 AquaLW</x:v>
      </x:c>
      <x:c r="V572" s="80" t="str">
        <x:v>Coleção principal (~1:64)</x:v>
      </x:c>
      <x:c r="W572" s="82" t="str">
        <x:v>https://hotwheels.fandom.com/wiki/P-928</x:v>
      </x:c>
      <x:c r="X572" s="82" t="str">
        <x:v>https://hotwheels.fandom.com/wiki/P-928</x:v>
      </x:c>
    </x:row>
    <x:row r="573">
      <x:c r="A573" s="80" t="str">
        <x:v>Não</x:v>
      </x:c>
      <x:c r="B573" s="80" t="str">
        <x:v>2 — Completar aos poucos</x:v>
      </x:c>
      <x:c r="C573" s="81" t="n">
        <x:v>1996</x:v>
      </x:c>
      <x:c r="D573" s="80" t="str">
        <x:v>P-928</x:v>
      </x:c>
      <x:c r="E573" s="80" t="str">
        <x:v>P-928</x:v>
      </x:c>
      <x:c r="F573" s="82" t="str">
        <x:v>Porsche 5-Pack</x:v>
      </x:c>
      <x:c r="G573" s="80" t="str"/>
      <x:c r="H573" s="80" t="str">
        <x:v>SB</x:v>
      </x:c>
      <x:c r="I573" s="83" t="str">
        <x:v>15066</x:v>
      </x:c>
      <x:c r="J573" s="80" t="str">
        <x:v>Aqua</x:v>
      </x:c>
      <x:c r="K573" s="82" t="str">
        <x:v>White Hot Wheels logo</x:v>
      </x:c>
      <x:c r="L573" s="82" t="str">
        <x:v>VHTF Wheel Variation</x:v>
      </x:c>
      <x:c r="M573" s="82" t="str">
        <x:v>Unpainted / Metal</x:v>
      </x:c>
      <x:c r="N573" s="82" t="str">
        <x:v>Black</x:v>
      </x:c>
      <x:c r="O573" s="82" t="str"/>
      <x:c r="P573" s="82" t="str">
        <x:v>Malaysia</x:v>
      </x:c>
      <x:c r="Q573" s="82" t="str"/>
      <x:c r="R573" s="82" t="str">
        <x:v>Temática / multipack</x:v>
      </x:c>
      <x:c r="S573" s="82" t="str">
        <x:v>Rara</x:v>
      </x:c>
      <x:c r="T573" s="82" t="str">
        <x:v>Lançado</x:v>
      </x:c>
      <x:c r="U573" s="82" t="str">
        <x:v>IMG 7047-0</x:v>
      </x:c>
      <x:c r="V573" s="80" t="str">
        <x:v>Coleção principal (~1:64)</x:v>
      </x:c>
      <x:c r="W573" s="82" t="str">
        <x:v>https://hotwheels.fandom.com/wiki/P-928</x:v>
      </x:c>
      <x:c r="X573" s="82" t="str">
        <x:v>https://hotwheels.fandom.com/wiki/P-928</x:v>
      </x:c>
    </x:row>
    <x:row r="574">
      <x:c r="A574" s="80" t="str">
        <x:v>Não</x:v>
      </x:c>
      <x:c r="B574" s="80" t="str">
        <x:v>2 — Completar aos poucos</x:v>
      </x:c>
      <x:c r="C574" s="81" t="n">
        <x:v>1996</x:v>
      </x:c>
      <x:c r="D574" s="80" t="str">
        <x:v>Porsche 911 Carrera</x:v>
      </x:c>
      <x:c r="E574" s="80" t="str">
        <x:v>Porsche 911 Carrera</x:v>
      </x:c>
      <x:c r="F574" s="82" t="str">
        <x:v>FAO Schwarz Gold Series III</x:v>
      </x:c>
      <x:c r="G574" s="80" t="str"/>
      <x:c r="H574" s="80" t="str"/>
      <x:c r="I574" s="83" t="str">
        <x:v>16020</x:v>
      </x:c>
      <x:c r="J574" s="80" t="str">
        <x:v>Black</x:v>
      </x:c>
      <x:c r="K574" s="82" t="str">
        <x:v>Yellow HW logo on front windshield</x:v>
      </x:c>
      <x:c r="L574" s="82" t="str">
        <x:v>5SP Gold</x:v>
      </x:c>
      <x:c r="M574" s="82" t="str">
        <x:v>Black / Metal</x:v>
      </x:c>
      <x:c r="N574" s="82" t="str">
        <x:v>Clear</x:v>
      </x:c>
      <x:c r="O574" s="82" t="str">
        <x:v>Tan</x:v>
      </x:c>
      <x:c r="P574" s="82" t="str">
        <x:v>China</x:v>
      </x:c>
      <x:c r="Q574" s="82" t="str"/>
      <x:c r="R574" s="82" t="str">
        <x:v>Outra linha</x:v>
      </x:c>
      <x:c r="S574" s="82" t="str">
        <x:v>Rara</x:v>
      </x:c>
      <x:c r="T574" s="82" t="str">
        <x:v>Lançado</x:v>
      </x:c>
      <x:c r="U574" s="82" t="str"/>
      <x:c r="V574" s="80" t="str">
        <x:v>Coleção principal (~1:64)</x:v>
      </x:c>
      <x:c r="W574" s="82" t="str">
        <x:v>https://hotwheels.fandom.com/wiki/Porsche_911_Carrera</x:v>
      </x:c>
      <x:c r="X574" s="82" t="str">
        <x:v>https://hotwheels.fandom.com/wiki/Porsche_911_Carrera</x:v>
      </x:c>
    </x:row>
    <x:row r="575">
      <x:c r="A575" s="80" t="str">
        <x:v>Não</x:v>
      </x:c>
      <x:c r="B575" s="80" t="str">
        <x:v>2 — Completar aos poucos</x:v>
      </x:c>
      <x:c r="C575" s="81" t="n">
        <x:v>1996</x:v>
      </x:c>
      <x:c r="D575" s="80" t="str">
        <x:v>Porsche 911 Carrera</x:v>
      </x:c>
      <x:c r="E575" s="80" t="str">
        <x:v>Porsche 911 Carrera</x:v>
      </x:c>
      <x:c r="F575" s="82" t="str">
        <x:v>Porsche 5-Pack</x:v>
      </x:c>
      <x:c r="G575" s="80" t="str"/>
      <x:c r="H575" s="80" t="str"/>
      <x:c r="I575" s="83" t="str">
        <x:v>15066</x:v>
      </x:c>
      <x:c r="J575" s="80" t="str">
        <x:v>Metalflake Silver</x:v>
      </x:c>
      <x:c r="K575" s="82" t="str">
        <x:v>Red HW logo on left side</x:v>
      </x:c>
      <x:c r="L575" s="82" t="str">
        <x:v>5SP</x:v>
      </x:c>
      <x:c r="M575" s="82" t="str">
        <x:v>Unpainted / Metal</x:v>
      </x:c>
      <x:c r="N575" s="82" t="str">
        <x:v>Clear</x:v>
      </x:c>
      <x:c r="O575" s="82" t="str">
        <x:v>Red</x:v>
      </x:c>
      <x:c r="P575" s="82" t="str">
        <x:v>Malaysia</x:v>
      </x:c>
      <x:c r="Q575" s="82" t="str"/>
      <x:c r="R575" s="82" t="str">
        <x:v>Temática / multipack</x:v>
      </x:c>
      <x:c r="S575" s="82" t="str">
        <x:v>Rara</x:v>
      </x:c>
      <x:c r="T575" s="82" t="str">
        <x:v>Lançado</x:v>
      </x:c>
      <x:c r="U575" s="82" t="str"/>
      <x:c r="V575" s="80" t="str">
        <x:v>Coleção principal (~1:64)</x:v>
      </x:c>
      <x:c r="W575" s="82" t="str">
        <x:v>https://hotwheels.fandom.com/wiki/Porsche_911_Carrera</x:v>
      </x:c>
      <x:c r="X575" s="82" t="str">
        <x:v>https://hotwheels.fandom.com/wiki/Porsche_911_Carrera</x:v>
      </x:c>
    </x:row>
    <x:row r="576">
      <x:c r="A576" s="80" t="str">
        <x:v>Não</x:v>
      </x:c>
      <x:c r="B576" s="80" t="str">
        <x:v>2 — Completar aos poucos</x:v>
      </x:c>
      <x:c r="C576" s="81" t="n">
        <x:v>1996</x:v>
      </x:c>
      <x:c r="D576" s="80" t="str">
        <x:v>Porsche 911 Carrera</x:v>
      </x:c>
      <x:c r="E576" s="80" t="str">
        <x:v>Porsche 911 Carrera</x:v>
      </x:c>
      <x:c r="F576" s="82" t="str">
        <x:v>Porsche 5-Pack</x:v>
      </x:c>
      <x:c r="G576" s="80" t="str"/>
      <x:c r="H576" s="80" t="str"/>
      <x:c r="I576" s="83" t="str">
        <x:v>15066</x:v>
      </x:c>
      <x:c r="J576" s="80" t="str">
        <x:v>Metalflake Silver</x:v>
      </x:c>
      <x:c r="K576" s="82" t="str">
        <x:v>Red HW logo on left side</x:v>
      </x:c>
      <x:c r="L576" s="82" t="str">
        <x:v>All Large 5SP</x:v>
      </x:c>
      <x:c r="M576" s="82" t="str">
        <x:v>Unpainted / Metal</x:v>
      </x:c>
      <x:c r="N576" s="82" t="str">
        <x:v>Clear</x:v>
      </x:c>
      <x:c r="O576" s="82" t="str">
        <x:v>Red</x:v>
      </x:c>
      <x:c r="P576" s="82" t="str">
        <x:v>Malaysia</x:v>
      </x:c>
      <x:c r="Q576" s="82" t="str"/>
      <x:c r="R576" s="82" t="str">
        <x:v>Temática / multipack</x:v>
      </x:c>
      <x:c r="S576" s="82" t="str">
        <x:v>Rara</x:v>
      </x:c>
      <x:c r="T576" s="82" t="str">
        <x:v>Lançado</x:v>
      </x:c>
      <x:c r="U576" s="82" t="str"/>
      <x:c r="V576" s="80" t="str">
        <x:v>Coleção principal (~1:64)</x:v>
      </x:c>
      <x:c r="W576" s="82" t="str">
        <x:v>https://hotwheels.fandom.com/wiki/Porsche_911_Carrera</x:v>
      </x:c>
      <x:c r="X576" s="82" t="str">
        <x:v>https://hotwheels.fandom.com/wiki/Porsche_911_Carrera</x:v>
      </x:c>
    </x:row>
    <x:row r="577">
      <x:c r="A577" s="80" t="str">
        <x:v>Não</x:v>
      </x:c>
      <x:c r="B577" s="80" t="str">
        <x:v>2 — Completar aos poucos</x:v>
      </x:c>
      <x:c r="C577" s="81" t="n">
        <x:v>1996</x:v>
      </x:c>
      <x:c r="D577" s="80" t="str">
        <x:v>Porsche 911 Carrera</x:v>
      </x:c>
      <x:c r="E577" s="80" t="str">
        <x:v>Porsche 911 Carrera</x:v>
      </x:c>
      <x:c r="F577" s="82" t="str">
        <x:v>Porsche 5-Pack</x:v>
      </x:c>
      <x:c r="G577" s="80" t="str"/>
      <x:c r="H577" s="80" t="str"/>
      <x:c r="I577" s="83" t="str">
        <x:v>15066</x:v>
      </x:c>
      <x:c r="J577" s="80" t="str">
        <x:v>Metalflake Silver</x:v>
      </x:c>
      <x:c r="K577" s="82" t="str">
        <x:v>tiny Red Hot Wheels Logo</x:v>
      </x:c>
      <x:c r="L577" s="82" t="str">
        <x:v>5SP Big Rear, Small Front</x:v>
      </x:c>
      <x:c r="M577" s="82" t="str">
        <x:v>Unpainted / / / Metal</x:v>
      </x:c>
      <x:c r="N577" s="82" t="str">
        <x:v>Clear</x:v>
      </x:c>
      <x:c r="O577" s="82" t="str">
        <x:v>Red</x:v>
      </x:c>
      <x:c r="P577" s="82" t="str">
        <x:v>Malaysia</x:v>
      </x:c>
      <x:c r="Q577" s="82" t="str"/>
      <x:c r="R577" s="82" t="str">
        <x:v>Temática / multipack</x:v>
      </x:c>
      <x:c r="S577" s="82" t="str">
        <x:v>Rara</x:v>
      </x:c>
      <x:c r="T577" s="82" t="str">
        <x:v>Lançado</x:v>
      </x:c>
      <x:c r="U577" s="82" t="str"/>
      <x:c r="V577" s="80" t="str">
        <x:v>Coleção principal (~1:64)</x:v>
      </x:c>
      <x:c r="W577" s="82" t="str">
        <x:v>https://hotwheels.fandom.com/wiki/Porsche_911_Carrera</x:v>
      </x:c>
      <x:c r="X577" s="82" t="str">
        <x:v>https://hotwheels.fandom.com/wiki/Porsche_911_Carrera</x:v>
      </x:c>
    </x:row>
    <x:row r="578">
      <x:c r="A578" s="80" t="str">
        <x:v>Não</x:v>
      </x:c>
      <x:c r="B578" s="80" t="str">
        <x:v>2 — Completar aos poucos</x:v>
      </x:c>
      <x:c r="C578" s="81" t="n">
        <x:v>1996</x:v>
      </x:c>
      <x:c r="D578" s="80" t="str">
        <x:v>Porsche 911 Carrera</x:v>
      </x:c>
      <x:c r="E578" s="80" t="str">
        <x:v>Porsche 911 Carrera</x:v>
      </x:c>
      <x:c r="F578" s="82" t="str">
        <x:v>Porsche 5-Pack</x:v>
      </x:c>
      <x:c r="G578" s="80" t="str"/>
      <x:c r="H578" s="80" t="str"/>
      <x:c r="I578" s="83" t="str">
        <x:v>15066</x:v>
      </x:c>
      <x:c r="J578" s="80" t="str">
        <x:v>Metalflake Silver</x:v>
      </x:c>
      <x:c r="K578" s="82" t="str">
        <x:v>Tiny Red Hot Wheels Logo</x:v>
      </x:c>
      <x:c r="L578" s="82" t="str">
        <x:v>5SP Big Rear, Big Front</x:v>
      </x:c>
      <x:c r="M578" s="82" t="str">
        <x:v>Unpainted / / / Metal</x:v>
      </x:c>
      <x:c r="N578" s="82" t="str">
        <x:v>Clear</x:v>
      </x:c>
      <x:c r="O578" s="82" t="str">
        <x:v>Red</x:v>
      </x:c>
      <x:c r="P578" s="82" t="str">
        <x:v>Malaysia</x:v>
      </x:c>
      <x:c r="Q578" s="82" t="str"/>
      <x:c r="R578" s="82" t="str">
        <x:v>Temática / multipack</x:v>
      </x:c>
      <x:c r="S578" s="82" t="str">
        <x:v>Rara</x:v>
      </x:c>
      <x:c r="T578" s="82" t="str">
        <x:v>Lançado</x:v>
      </x:c>
      <x:c r="U578" s="82" t="str"/>
      <x:c r="V578" s="80" t="str">
        <x:v>Coleção principal (~1:64)</x:v>
      </x:c>
      <x:c r="W578" s="82" t="str">
        <x:v>https://hotwheels.fandom.com/wiki/Porsche_911_Carrera</x:v>
      </x:c>
      <x:c r="X578" s="82" t="str">
        <x:v>https://hotwheels.fandom.com/wiki/Porsche_911_Carrera</x:v>
      </x:c>
    </x:row>
    <x:row r="579">
      <x:c r="A579" s="80" t="str">
        <x:v>Não</x:v>
      </x:c>
      <x:c r="B579" s="80" t="str">
        <x:v>2 — Completar aos poucos</x:v>
      </x:c>
      <x:c r="C579" s="81" t="n">
        <x:v>1996</x:v>
      </x:c>
      <x:c r="D579" s="80" t="str">
        <x:v>Porsche 911 Targa</x:v>
      </x:c>
      <x:c r="E579" s="80" t="str">
        <x:v>Porsche 911 Targa</x:v>
      </x:c>
      <x:c r="F579" s="82" t="str">
        <x:v>FAO Schwarz Series III Set</x:v>
      </x:c>
      <x:c r="G579" s="80" t="str"/>
      <x:c r="H579" s="80" t="str"/>
      <x:c r="I579" s="83" t="str">
        <x:v>16020</x:v>
      </x:c>
      <x:c r="J579" s="80" t="str">
        <x:v>Black</x:v>
      </x:c>
      <x:c r="K579" s="82" t="str">
        <x:v>Painted headlights &amp; taillights, Gold HW logo on rear window</x:v>
      </x:c>
      <x:c r="L579" s="82" t="str">
        <x:v>Gold 5SP</x:v>
      </x:c>
      <x:c r="M579" s="82" t="str">
        <x:v>Black / Plastic</x:v>
      </x:c>
      <x:c r="N579" s="82" t="str">
        <x:v>Clear</x:v>
      </x:c>
      <x:c r="O579" s="82" t="str">
        <x:v>Beige</x:v>
      </x:c>
      <x:c r="P579" s="82" t="str">
        <x:v>China</x:v>
      </x:c>
      <x:c r="Q579" s="82" t="str"/>
      <x:c r="R579" s="82" t="str">
        <x:v>Outra linha</x:v>
      </x:c>
      <x:c r="S579" s="82" t="str">
        <x:v>Rara</x:v>
      </x:c>
      <x:c r="T579" s="82" t="str">
        <x:v>Lançado</x:v>
      </x:c>
      <x:c r="U579" s="82" t="str"/>
      <x:c r="V579" s="80" t="str">
        <x:v>Coleção principal (~1:64)</x:v>
      </x:c>
      <x:c r="W579" s="82" t="str">
        <x:v>https://hotwheels.fandom.com/wiki/Porsche_911_Targa</x:v>
      </x:c>
      <x:c r="X579" s="82" t="str">
        <x:v>https://hotwheels.fandom.com/wiki/Porsche_911_Targa</x:v>
      </x:c>
    </x:row>
    <x:row r="580">
      <x:c r="A580" s="80" t="str">
        <x:v>Não</x:v>
      </x:c>
      <x:c r="B580" s="80" t="str">
        <x:v>2 — Completar aos poucos</x:v>
      </x:c>
      <x:c r="C580" s="81" t="n">
        <x:v>1996</x:v>
      </x:c>
      <x:c r="D580" s="80" t="str">
        <x:v>Porsche 911 Targa</x:v>
      </x:c>
      <x:c r="E580" s="80" t="str">
        <x:v>Porsche 911 Targa</x:v>
      </x:c>
      <x:c r="F580" s="82" t="str">
        <x:v>Holiday Cars</x:v>
      </x:c>
      <x:c r="G580" s="80" t="str"/>
      <x:c r="H580" s="80" t="str"/>
      <x:c r="I580" s="83" t="str">
        <x:v>16249</x:v>
      </x:c>
      <x:c r="J580" s="80" t="str">
        <x:v>Chrome Green</x:v>
      </x:c>
      <x:c r="K580" s="82" t="str">
        <x:v>Gold 'Happy Holidays' on sides, wreath, '96', &amp; HW logo on hood</x:v>
      </x:c>
      <x:c r="L580" s="82" t="str">
        <x:v>Red 5SP</x:v>
      </x:c>
      <x:c r="M580" s="82" t="str">
        <x:v>Metal</x:v>
      </x:c>
      <x:c r="N580" s="82" t="str">
        <x:v>Clear</x:v>
      </x:c>
      <x:c r="O580" s="82" t="str">
        <x:v>Red</x:v>
      </x:c>
      <x:c r="P580" s="82" t="str">
        <x:v>China</x:v>
      </x:c>
      <x:c r="Q580" s="82" t="str"/>
      <x:c r="R580" s="82" t="str">
        <x:v>Outra linha</x:v>
      </x:c>
      <x:c r="S580" s="82" t="str">
        <x:v>Rara</x:v>
      </x:c>
      <x:c r="T580" s="82" t="str">
        <x:v>Lançado</x:v>
      </x:c>
      <x:c r="U580" s="82" t="str"/>
      <x:c r="V580" s="80" t="str">
        <x:v>Coleção principal (~1:64)</x:v>
      </x:c>
      <x:c r="W580" s="82" t="str">
        <x:v>https://hotwheels.fandom.com/wiki/Porsche_911_Targa</x:v>
      </x:c>
      <x:c r="X580" s="82" t="str">
        <x:v>https://hotwheels.fandom.com/wiki/Porsche_911_Targa</x:v>
      </x:c>
    </x:row>
    <x:row r="581">
      <x:c r="A581" s="80" t="str">
        <x:v>Não</x:v>
      </x:c>
      <x:c r="B581" s="80" t="str">
        <x:v>2 — Completar aos poucos</x:v>
      </x:c>
      <x:c r="C581" s="81" t="n">
        <x:v>1996</x:v>
      </x:c>
      <x:c r="D581" s="80" t="str">
        <x:v>Porsche 911 Targa</x:v>
      </x:c>
      <x:c r="E581" s="80" t="str">
        <x:v>Porsche 911 Targa</x:v>
      </x:c>
      <x:c r="F581" s="82" t="str">
        <x:v>Holiday Cars</x:v>
      </x:c>
      <x:c r="G581" s="80" t="str"/>
      <x:c r="H581" s="80" t="str"/>
      <x:c r="I581" s="83" t="str">
        <x:v>16247</x:v>
      </x:c>
      <x:c r="J581" s="80" t="str">
        <x:v>Chrome Red</x:v>
      </x:c>
      <x:c r="K581" s="82" t="str">
        <x:v>Gold 'Happy Holidays' on sides, wreath, '96', &amp; HW logo on hood</x:v>
      </x:c>
      <x:c r="L581" s="82" t="str">
        <x:v>Green 5SP</x:v>
      </x:c>
      <x:c r="M581" s="82" t="str">
        <x:v>Metal</x:v>
      </x:c>
      <x:c r="N581" s="82" t="str">
        <x:v>Clear</x:v>
      </x:c>
      <x:c r="O581" s="82" t="str">
        <x:v>Green</x:v>
      </x:c>
      <x:c r="P581" s="82" t="str">
        <x:v>China</x:v>
      </x:c>
      <x:c r="Q581" s="82" t="str"/>
      <x:c r="R581" s="82" t="str">
        <x:v>Outra linha</x:v>
      </x:c>
      <x:c r="S581" s="82" t="str">
        <x:v>Rara</x:v>
      </x:c>
      <x:c r="T581" s="82" t="str">
        <x:v>Lançado</x:v>
      </x:c>
      <x:c r="U581" s="82" t="str"/>
      <x:c r="V581" s="80" t="str">
        <x:v>Coleção principal (~1:64)</x:v>
      </x:c>
      <x:c r="W581" s="82" t="str">
        <x:v>https://hotwheels.fandom.com/wiki/Porsche_911_Targa</x:v>
      </x:c>
      <x:c r="X581" s="82" t="str">
        <x:v>https://hotwheels.fandom.com/wiki/Porsche_911_Targa</x:v>
      </x:c>
    </x:row>
    <x:row r="582">
      <x:c r="A582" s="80" t="str">
        <x:v>Não</x:v>
      </x:c>
      <x:c r="B582" s="80" t="str">
        <x:v>2 — Completar aos poucos</x:v>
      </x:c>
      <x:c r="C582" s="81" t="n">
        <x:v>1996</x:v>
      </x:c>
      <x:c r="D582" s="80" t="str">
        <x:v>Porsche 911 Targa</x:v>
      </x:c>
      <x:c r="E582" s="80" t="str">
        <x:v>Porsche 911 Targa</x:v>
      </x:c>
      <x:c r="F582" s="82" t="str">
        <x:v>Hot Wheels Drag Race Set</x:v>
      </x:c>
      <x:c r="G582" s="80" t="str"/>
      <x:c r="H582" s="80" t="str"/>
      <x:c r="I582" s="83" t="str">
        <x:v>65766</x:v>
      </x:c>
      <x:c r="J582" s="80" t="str">
        <x:v>Red</x:v>
      </x:c>
      <x:c r="K582" s="82" t="str"/>
      <x:c r="L582" s="82" t="str">
        <x:v>Corgi1</x:v>
      </x:c>
      <x:c r="M582" s="82" t="str">
        <x:v>Black / Plastic</x:v>
      </x:c>
      <x:c r="N582" s="82" t="str">
        <x:v>Clear</x:v>
      </x:c>
      <x:c r="O582" s="82" t="str">
        <x:v>Black</x:v>
      </x:c>
      <x:c r="P582" s="82" t="str">
        <x:v>China</x:v>
      </x:c>
      <x:c r="Q582" s="82" t="str"/>
      <x:c r="R582" s="82" t="str">
        <x:v>Outra linha</x:v>
      </x:c>
      <x:c r="S582" s="82" t="str">
        <x:v>Rara</x:v>
      </x:c>
      <x:c r="T582" s="82" t="str">
        <x:v>Lançado</x:v>
      </x:c>
      <x:c r="U582" s="82" t="str">
        <x:v>paired with Custom Hot Rod Van</x:v>
      </x:c>
      <x:c r="V582" s="80" t="str">
        <x:v>Coleção principal (~1:64)</x:v>
      </x:c>
      <x:c r="W582" s="82" t="str">
        <x:v>https://hotwheels.fandom.com/wiki/Porsche_911_Targa</x:v>
      </x:c>
      <x:c r="X582" s="82" t="str">
        <x:v>https://hotwheels.fandom.com/wiki/Porsche_911_Targa</x:v>
      </x:c>
    </x:row>
    <x:row r="583">
      <x:c r="A583" s="80" t="str">
        <x:v>Não</x:v>
      </x:c>
      <x:c r="B583" s="80" t="str">
        <x:v>2 — Completar aos poucos</x:v>
      </x:c>
      <x:c r="C583" s="81" t="n">
        <x:v>1996</x:v>
      </x:c>
      <x:c r="D583" s="80" t="str">
        <x:v>Porsche 911 Targa</x:v>
      </x:c>
      <x:c r="E583" s="80" t="str">
        <x:v>Porsche 911 Targa</x:v>
      </x:c>
      <x:c r="F583" s="82" t="str">
        <x:v>Mainline</x:v>
      </x:c>
      <x:c r="G583" s="80" t="str"/>
      <x:c r="H583" s="80" t="str">
        <x:v>493</x:v>
      </x:c>
      <x:c r="I583" s="83" t="str">
        <x:v>16300</x:v>
      </x:c>
      <x:c r="J583" s="80" t="str">
        <x:v>Fluorescent Yellow</x:v>
      </x:c>
      <x:c r="K583" s="82" t="str">
        <x:v>Yellow HW logo on rear window, red tail lights, and silver headlights</x:v>
      </x:c>
      <x:c r="L583" s="82" t="str">
        <x:v>5SP</x:v>
      </x:c>
      <x:c r="M583" s="82" t="str">
        <x:v>Black / Plastic</x:v>
      </x:c>
      <x:c r="N583" s="82" t="str">
        <x:v>Smoke</x:v>
      </x:c>
      <x:c r="O583" s="82" t="str">
        <x:v>Black</x:v>
      </x:c>
      <x:c r="P583" s="82" t="str">
        <x:v>China</x:v>
      </x:c>
      <x:c r="Q583" s="82" t="str"/>
      <x:c r="R583" s="82" t="str">
        <x:v>Mainline</x:v>
      </x:c>
      <x:c r="S583" s="82" t="str">
        <x:v>Rara</x:v>
      </x:c>
      <x:c r="T583" s="82" t="str">
        <x:v>Lançado</x:v>
      </x:c>
      <x:c r="U583" s="82" t="str">
        <x:v>All Small Wheels</x:v>
      </x:c>
      <x:c r="V583" s="80" t="str">
        <x:v>Coleção principal (~1:64)</x:v>
      </x:c>
      <x:c r="W583" s="82" t="str">
        <x:v>https://hotwheels.fandom.com/wiki/Porsche_911_Targa</x:v>
      </x:c>
      <x:c r="X583" s="82" t="str">
        <x:v>https://hotwheels.fandom.com/wiki/Porsche_911_Targa</x:v>
      </x:c>
    </x:row>
    <x:row r="584">
      <x:c r="A584" s="80" t="str">
        <x:v>Não</x:v>
      </x:c>
      <x:c r="B584" s="80" t="str">
        <x:v>2 — Completar aos poucos</x:v>
      </x:c>
      <x:c r="C584" s="81" t="n">
        <x:v>1996</x:v>
      </x:c>
      <x:c r="D584" s="80" t="str">
        <x:v>Porsche 911 Targa</x:v>
      </x:c>
      <x:c r="E584" s="80" t="str">
        <x:v>Porsche 911 Targa</x:v>
      </x:c>
      <x:c r="F584" s="82" t="str">
        <x:v>Mainline</x:v>
      </x:c>
      <x:c r="G584" s="80" t="str"/>
      <x:c r="H584" s="80" t="str">
        <x:v>493</x:v>
      </x:c>
      <x:c r="I584" s="83" t="str">
        <x:v>16300</x:v>
      </x:c>
      <x:c r="J584" s="80" t="str">
        <x:v>Fluorescent Yellow</x:v>
      </x:c>
      <x:c r="K584" s="82" t="str">
        <x:v>Yellow HW logo on rear window, red tail lights, and silver headlights</x:v>
      </x:c>
      <x:c r="L584" s="82" t="str">
        <x:v>5SP</x:v>
      </x:c>
      <x:c r="M584" s="82" t="str">
        <x:v>Black / Plastic</x:v>
      </x:c>
      <x:c r="N584" s="82" t="str">
        <x:v>Tinted Pink</x:v>
      </x:c>
      <x:c r="O584" s="82" t="str">
        <x:v>Black</x:v>
      </x:c>
      <x:c r="P584" s="82" t="str">
        <x:v>China</x:v>
      </x:c>
      <x:c r="Q584" s="82" t="str"/>
      <x:c r="R584" s="82" t="str">
        <x:v>Mainline</x:v>
      </x:c>
      <x:c r="S584" s="82" t="str">
        <x:v>Rara</x:v>
      </x:c>
      <x:c r="T584" s="82" t="str">
        <x:v>Lançado</x:v>
      </x:c>
      <x:c r="U584" s="82" t="str">
        <x:v>All Small Wheels</x:v>
      </x:c>
      <x:c r="V584" s="80" t="str">
        <x:v>Coleção principal (~1:64)</x:v>
      </x:c>
      <x:c r="W584" s="82" t="str">
        <x:v>https://hotwheels.fandom.com/wiki/Porsche_911_Targa</x:v>
      </x:c>
      <x:c r="X584" s="82" t="str">
        <x:v>https://hotwheels.fandom.com/wiki/Porsche_911_Targa</x:v>
      </x:c>
    </x:row>
    <x:row r="585">
      <x:c r="A585" s="80" t="str">
        <x:v>Não</x:v>
      </x:c>
      <x:c r="B585" s="80" t="str">
        <x:v>2 — Completar aos poucos</x:v>
      </x:c>
      <x:c r="C585" s="81" t="n">
        <x:v>1996</x:v>
      </x:c>
      <x:c r="D585" s="80" t="str">
        <x:v>Porsche 930</x:v>
      </x:c>
      <x:c r="E585" s="80" t="str">
        <x:v>Porsche 930</x:v>
      </x:c>
      <x:c r="F585" s="82" t="str">
        <x:v>Double Barrel Set</x:v>
      </x:c>
      <x:c r="G585" s="80" t="str"/>
      <x:c r="H585" s="80" t="str"/>
      <x:c r="I585" s="83" t="str">
        <x:v>3254</x:v>
      </x:c>
      <x:c r="J585" s="80" t="str">
        <x:v>Metallic Purple</x:v>
      </x:c>
      <x:c r="K585" s="82" t="str">
        <x:v>Green, Yellow, Orange, Scribbles</x:v>
      </x:c>
      <x:c r="L585" s="82" t="str">
        <x:v>SCW</x:v>
      </x:c>
      <x:c r="M585" s="82" t="str">
        <x:v>Unpainted / Metal</x:v>
      </x:c>
      <x:c r="N585" s="82" t="str">
        <x:v>Gray tint</x:v>
      </x:c>
      <x:c r="O585" s="82" t="str">
        <x:v>Black</x:v>
      </x:c>
      <x:c r="P585" s="82" t="str">
        <x:v>Malaysia</x:v>
      </x:c>
      <x:c r="Q585" s="82" t="str"/>
      <x:c r="R585" s="82" t="str">
        <x:v>Outra linha</x:v>
      </x:c>
      <x:c r="S585" s="82" t="str">
        <x:v>Rara</x:v>
      </x:c>
      <x:c r="T585" s="82" t="str">
        <x:v>Lançado</x:v>
      </x:c>
      <x:c r="U585" s="82" t="str"/>
      <x:c r="V585" s="80" t="str">
        <x:v>Coleção principal (~1:64)</x:v>
      </x:c>
      <x:c r="W585" s="82" t="str">
        <x:v>https://hotwheels.fandom.com/wiki/Porsche_930</x:v>
      </x:c>
      <x:c r="X585" s="82" t="str">
        <x:v>https://hotwheels.fandom.com/wiki/Porsche_930</x:v>
      </x:c>
    </x:row>
    <x:row r="586">
      <x:c r="A586" s="80" t="str">
        <x:v>Não</x:v>
      </x:c>
      <x:c r="B586" s="80" t="str">
        <x:v>2 — Completar aos poucos</x:v>
      </x:c>
      <x:c r="C586" s="81" t="n">
        <x:v>1996</x:v>
      </x:c>
      <x:c r="D586" s="80" t="str">
        <x:v>Porsche 930</x:v>
      </x:c>
      <x:c r="E586" s="80" t="str">
        <x:v>Porsche 930</x:v>
      </x:c>
      <x:c r="F586" s="82" t="str">
        <x:v>Mainline</x:v>
      </x:c>
      <x:c r="G586" s="80" t="str"/>
      <x:c r="H586" s="80" t="str">
        <x:v>148</x:v>
      </x:c>
      <x:c r="I586" s="83" t="str">
        <x:v>7607</x:v>
      </x:c>
      <x:c r="J586" s="80" t="str">
        <x:v>Red</x:v>
      </x:c>
      <x:c r="K586" s="82" t="str">
        <x:v>Yellow, Black, "TURBO", White "PORSCHE 930"</x:v>
      </x:c>
      <x:c r="L586" s="82" t="str">
        <x:v>5SP</x:v>
      </x:c>
      <x:c r="M586" s="82" t="str">
        <x:v>Unpainted / Metal</x:v>
      </x:c>
      <x:c r="N586" s="82" t="str">
        <x:v>Black tint</x:v>
      </x:c>
      <x:c r="O586" s="82" t="str">
        <x:v>Black</x:v>
      </x:c>
      <x:c r="P586" s="82" t="str">
        <x:v>Malaysia</x:v>
      </x:c>
      <x:c r="Q586" s="82" t="str"/>
      <x:c r="R586" s="82" t="str">
        <x:v>Mainline</x:v>
      </x:c>
      <x:c r="S586" s="82" t="str">
        <x:v>Rara</x:v>
      </x:c>
      <x:c r="T586" s="82" t="str">
        <x:v>Lançado</x:v>
      </x:c>
      <x:c r="U586" s="82" t="str"/>
      <x:c r="V586" s="80" t="str">
        <x:v>Coleção principal (~1:64)</x:v>
      </x:c>
      <x:c r="W586" s="82" t="str">
        <x:v>https://hotwheels.fandom.com/wiki/Porsche_930</x:v>
      </x:c>
      <x:c r="X586" s="82" t="str">
        <x:v>https://hotwheels.fandom.com/wiki/Porsche_930</x:v>
      </x:c>
    </x:row>
    <x:row r="587">
      <x:c r="A587" s="80" t="str">
        <x:v>Não</x:v>
      </x:c>
      <x:c r="B587" s="80" t="str">
        <x:v>2 — Completar aos poucos</x:v>
      </x:c>
      <x:c r="C587" s="81" t="n">
        <x:v>1996</x:v>
      </x:c>
      <x:c r="D587" s="80" t="str">
        <x:v>Porsche 930</x:v>
      </x:c>
      <x:c r="E587" s="80" t="str">
        <x:v>Porsche 930</x:v>
      </x:c>
      <x:c r="F587" s="82" t="str">
        <x:v>Porsche 5-Pack</x:v>
      </x:c>
      <x:c r="G587" s="80" t="str"/>
      <x:c r="H587" s="80" t="str"/>
      <x:c r="I587" s="83" t="str">
        <x:v>15066</x:v>
      </x:c>
      <x:c r="J587" s="80" t="str">
        <x:v>Metallic Blue</x:v>
      </x:c>
      <x:c r="K587" s="82" t="str">
        <x:v>Tiny White Hot Wheels tampo on hood</x:v>
      </x:c>
      <x:c r="L587" s="82" t="str">
        <x:v>5SP</x:v>
      </x:c>
      <x:c r="M587" s="82" t="str">
        <x:v>Unpainted / Metal</x:v>
      </x:c>
      <x:c r="N587" s="82" t="str">
        <x:v>Pink</x:v>
      </x:c>
      <x:c r="O587" s="82" t="str">
        <x:v>Pink</x:v>
      </x:c>
      <x:c r="P587" s="82" t="str">
        <x:v>Malaysia</x:v>
      </x:c>
      <x:c r="Q587" s="82" t="str"/>
      <x:c r="R587" s="82" t="str">
        <x:v>Temática / multipack</x:v>
      </x:c>
      <x:c r="S587" s="82" t="str">
        <x:v>Rara</x:v>
      </x:c>
      <x:c r="T587" s="82" t="str">
        <x:v>Lançado</x:v>
      </x:c>
      <x:c r="U587" s="82" t="str"/>
      <x:c r="V587" s="80" t="str">
        <x:v>Coleção principal (~1:64)</x:v>
      </x:c>
      <x:c r="W587" s="82" t="str">
        <x:v>https://hotwheels.fandom.com/wiki/Porsche_930</x:v>
      </x:c>
      <x:c r="X587" s="82" t="str">
        <x:v>https://hotwheels.fandom.com/wiki/Porsche_930</x:v>
      </x:c>
    </x:row>
    <x:row r="588">
      <x:c r="A588" s="80" t="str">
        <x:v>Não</x:v>
      </x:c>
      <x:c r="B588" s="80" t="str">
        <x:v>2 — Completar aos poucos</x:v>
      </x:c>
      <x:c r="C588" s="81" t="n">
        <x:v>1996</x:v>
      </x:c>
      <x:c r="D588" s="80" t="str">
        <x:v>Porsche 930</x:v>
      </x:c>
      <x:c r="E588" s="80" t="str">
        <x:v>Porsche 930</x:v>
      </x:c>
      <x:c r="F588" s="82" t="str">
        <x:v>Porsche 5-Pack</x:v>
      </x:c>
      <x:c r="G588" s="80" t="str"/>
      <x:c r="H588" s="80" t="str">
        <x:v>Black tint</x:v>
      </x:c>
      <x:c r="I588" s="83" t="str">
        <x:v>15066</x:v>
      </x:c>
      <x:c r="J588" s="80" t="str">
        <x:v>Metallic Blue</x:v>
      </x:c>
      <x:c r="K588" s="82" t="str">
        <x:v>Tiny White Hot Wheels tampo on hood</x:v>
      </x:c>
      <x:c r="L588" s="82" t="str"/>
      <x:c r="M588" s="82" t="str">
        <x:v>Unpainted / Metal</x:v>
      </x:c>
      <x:c r="N588" s="82" t="str">
        <x:v>Black</x:v>
      </x:c>
      <x:c r="O588" s="82" t="str">
        <x:v>5SP</x:v>
      </x:c>
      <x:c r="P588" s="82" t="str">
        <x:v>Malaysia</x:v>
      </x:c>
      <x:c r="Q588" s="82" t="str"/>
      <x:c r="R588" s="82" t="str">
        <x:v>Temática / multipack</x:v>
      </x:c>
      <x:c r="S588" s="82" t="str">
        <x:v>Rara</x:v>
      </x:c>
      <x:c r="T588" s="82" t="str">
        <x:v>Lançado</x:v>
      </x:c>
      <x:c r="U588" s="82" t="str">
        <x:v>Porsche 930 Blu5sp</x:v>
      </x:c>
      <x:c r="V588" s="80" t="str">
        <x:v>Coleção principal (~1:64)</x:v>
      </x:c>
      <x:c r="W588" s="82" t="str">
        <x:v>https://hotwheels.fandom.com/wiki/Porsche_930</x:v>
      </x:c>
      <x:c r="X588" s="82" t="str">
        <x:v>https://hotwheels.fandom.com/wiki/Porsche_930</x:v>
      </x:c>
    </x:row>
    <x:row r="589">
      <x:c r="A589" s="80" t="str">
        <x:v>Não</x:v>
      </x:c>
      <x:c r="B589" s="80" t="str">
        <x:v>2 — Completar aos poucos</x:v>
      </x:c>
      <x:c r="C589" s="81" t="n">
        <x:v>1996</x:v>
      </x:c>
      <x:c r="D589" s="80" t="str">
        <x:v>Porsche 930</x:v>
      </x:c>
      <x:c r="E589" s="80" t="str">
        <x:v>Porsche 930</x:v>
      </x:c>
      <x:c r="F589" s="82" t="str">
        <x:v>Porsche 5-Pack</x:v>
      </x:c>
      <x:c r="G589" s="80" t="str"/>
      <x:c r="H589" s="80" t="str">
        <x:v>Black tint</x:v>
      </x:c>
      <x:c r="I589" s="83" t="str">
        <x:v>15066</x:v>
      </x:c>
      <x:c r="J589" s="80" t="str">
        <x:v>Metallic Blue</x:v>
      </x:c>
      <x:c r="K589" s="82" t="str">
        <x:v>Tiny White Hot Wheels tampo on hood</x:v>
      </x:c>
      <x:c r="L589" s="82" t="str"/>
      <x:c r="M589" s="82" t="str">
        <x:v>Unpainted / Metal</x:v>
      </x:c>
      <x:c r="N589" s="82" t="str">
        <x:v>Black</x:v>
      </x:c>
      <x:c r="O589" s="82" t="str">
        <x:v>7SP</x:v>
      </x:c>
      <x:c r="P589" s="82" t="str">
        <x:v>Malaysia</x:v>
      </x:c>
      <x:c r="Q589" s="82" t="str"/>
      <x:c r="R589" s="82" t="str">
        <x:v>Temática / multipack</x:v>
      </x:c>
      <x:c r="S589" s="82" t="str">
        <x:v>Rara</x:v>
      </x:c>
      <x:c r="T589" s="82" t="str">
        <x:v>Lançado</x:v>
      </x:c>
      <x:c r="U589" s="82" t="str">
        <x:v>Porsche 930 blue 7sp 5-pack</x:v>
      </x:c>
      <x:c r="V589" s="80" t="str">
        <x:v>Coleção principal (~1:64)</x:v>
      </x:c>
      <x:c r="W589" s="82" t="str">
        <x:v>https://hotwheels.fandom.com/wiki/Porsche_930</x:v>
      </x:c>
      <x:c r="X589" s="82" t="str">
        <x:v>https://hotwheels.fandom.com/wiki/Porsche_930</x:v>
      </x:c>
    </x:row>
    <x:row r="590">
      <x:c r="A590" s="80" t="str">
        <x:v>Não</x:v>
      </x:c>
      <x:c r="B590" s="80" t="str">
        <x:v>2 — Completar aos poucos</x:v>
      </x:c>
      <x:c r="C590" s="81" t="n">
        <x:v>1996</x:v>
      </x:c>
      <x:c r="D590" s="80" t="str">
        <x:v>Porsche 930</x:v>
      </x:c>
      <x:c r="E590" s="80" t="str">
        <x:v>Porsche 930</x:v>
      </x:c>
      <x:c r="F590" s="82" t="str">
        <x:v>Sports Car 1/4</x:v>
      </x:c>
      <x:c r="G590" s="80" t="str"/>
      <x:c r="H590" s="80" t="str">
        <x:v>404</x:v>
      </x:c>
      <x:c r="I590" s="83" t="str">
        <x:v>15248</x:v>
      </x:c>
      <x:c r="J590" s="80" t="str">
        <x:v>Metallic Silver</x:v>
      </x:c>
      <x:c r="K590" s="82" t="str">
        <x:v>Black, Red, White, Baseball, "HOME RUN"</x:v>
      </x:c>
      <x:c r="L590" s="82" t="str">
        <x:v>7SP</x:v>
      </x:c>
      <x:c r="M590" s="82" t="str">
        <x:v>Unpainted / Metal</x:v>
      </x:c>
      <x:c r="N590" s="82" t="str">
        <x:v>Black tint</x:v>
      </x:c>
      <x:c r="O590" s="82" t="str">
        <x:v>Black</x:v>
      </x:c>
      <x:c r="P590" s="82" t="str">
        <x:v>Malaysia</x:v>
      </x:c>
      <x:c r="Q590" s="82" t="str"/>
      <x:c r="R590" s="82" t="str">
        <x:v>Mainline</x:v>
      </x:c>
      <x:c r="S590" s="82" t="str">
        <x:v>Rara</x:v>
      </x:c>
      <x:c r="T590" s="82" t="str">
        <x:v>Lançado</x:v>
      </x:c>
      <x:c r="U590" s="82" t="str">
        <x:v>Closed Steering Wheel</x:v>
      </x:c>
      <x:c r="V590" s="80" t="str">
        <x:v>Coleção principal (~1:64)</x:v>
      </x:c>
      <x:c r="W590" s="82" t="str">
        <x:v>https://hotwheels.fandom.com/wiki/Porsche_930</x:v>
      </x:c>
      <x:c r="X590" s="82" t="str">
        <x:v>https://hotwheels.fandom.com/wiki/Porsche_930</x:v>
      </x:c>
    </x:row>
    <x:row r="591">
      <x:c r="A591" s="80" t="str">
        <x:v>Não</x:v>
      </x:c>
      <x:c r="B591" s="80" t="str">
        <x:v>2 — Completar aos poucos</x:v>
      </x:c>
      <x:c r="C591" s="81" t="n">
        <x:v>1996</x:v>
      </x:c>
      <x:c r="D591" s="80" t="str">
        <x:v>Porsche 935 (Corgi)</x:v>
      </x:c>
      <x:c r="E591" s="80" t="str">
        <x:v>Porsche 935</x:v>
      </x:c>
      <x:c r="F591" s="82" t="str">
        <x:v>FAO Schwarz Gold Series III</x:v>
      </x:c>
      <x:c r="G591" s="80" t="str"/>
      <x:c r="H591" s="80" t="str"/>
      <x:c r="I591" s="83" t="str">
        <x:v>16020</x:v>
      </x:c>
      <x:c r="J591" s="80" t="str">
        <x:v>Black</x:v>
      </x:c>
      <x:c r="K591" s="82" t="str">
        <x:v>Yellow HW logo on windshield</x:v>
      </x:c>
      <x:c r="L591" s="82" t="str">
        <x:v>Gold 5SP</x:v>
      </x:c>
      <x:c r="M591" s="82" t="str">
        <x:v>Black / / / Plastic</x:v>
      </x:c>
      <x:c r="N591" s="82" t="str">
        <x:v>Clear</x:v>
      </x:c>
      <x:c r="O591" s="82" t="str">
        <x:v>Yellow</x:v>
      </x:c>
      <x:c r="P591" s="82" t="str">
        <x:v>China</x:v>
      </x:c>
      <x:c r="Q591" s="82" t="str"/>
      <x:c r="R591" s="82" t="str">
        <x:v>Outra linha</x:v>
      </x:c>
      <x:c r="S591" s="82" t="str">
        <x:v>Rara</x:v>
      </x:c>
      <x:c r="T591" s="82" t="str">
        <x:v>Lançado</x:v>
      </x:c>
      <x:c r="U591" s="82" t="str"/>
      <x:c r="V591" s="80" t="str">
        <x:v>Coleção principal (~1:64)</x:v>
      </x:c>
      <x:c r="W591" s="82" t="str">
        <x:v>https://hotwheels.fandom.com/wiki/Porsche_935_(Corgi)</x:v>
      </x:c>
      <x:c r="X591" s="82" t="str">
        <x:v>https://hotwheels.fandom.com/wiki/Porsche_935_(Corgi)</x:v>
      </x:c>
    </x:row>
    <x:row r="592">
      <x:c r="A592" s="80" t="str">
        <x:v>Não</x:v>
      </x:c>
      <x:c r="B592" s="80" t="str">
        <x:v>2 — Completar aos poucos</x:v>
      </x:c>
      <x:c r="C592" s="81" t="n">
        <x:v>1996</x:v>
      </x:c>
      <x:c r="D592" s="80" t="str">
        <x:v>Porsche 959</x:v>
      </x:c>
      <x:c r="E592" s="80" t="str">
        <x:v>Porsche 959</x:v>
      </x:c>
      <x:c r="F592" s="82" t="str">
        <x:v>Porsche 5-Pack</x:v>
      </x:c>
      <x:c r="G592" s="80" t="str"/>
      <x:c r="H592" s="80" t="str"/>
      <x:c r="I592" s="83" t="str">
        <x:v>15066</x:v>
      </x:c>
      <x:c r="J592" s="80" t="str">
        <x:v>Light Blue</x:v>
      </x:c>
      <x:c r="K592" s="82" t="str">
        <x:v>tiny Blue Hot Wheels Logo on spoiler</x:v>
      </x:c>
      <x:c r="L592" s="82" t="str">
        <x:v>5SP</x:v>
      </x:c>
      <x:c r="M592" s="82" t="str">
        <x:v>Unpainted / Metal</x:v>
      </x:c>
      <x:c r="N592" s="82" t="str">
        <x:v>Purple Tinted</x:v>
      </x:c>
      <x:c r="O592" s="82" t="str">
        <x:v>Black</x:v>
      </x:c>
      <x:c r="P592" s="82" t="str">
        <x:v>Malaysia or China</x:v>
      </x:c>
      <x:c r="Q592" s="82" t="str"/>
      <x:c r="R592" s="82" t="str">
        <x:v>Temática / multipack</x:v>
      </x:c>
      <x:c r="S592" s="82" t="str">
        <x:v>Rara</x:v>
      </x:c>
      <x:c r="T592" s="82" t="str">
        <x:v>Lançado</x:v>
      </x:c>
      <x:c r="U592" s="82" t="str"/>
      <x:c r="V592" s="80" t="str">
        <x:v>Coleção principal (~1:64)</x:v>
      </x:c>
      <x:c r="W592" s="82" t="str">
        <x:v>https://hotwheels.fandom.com/wiki/Porsche_959</x:v>
      </x:c>
      <x:c r="X592" s="82" t="str">
        <x:v>https://hotwheels.fandom.com/wiki/Porsche_959</x:v>
      </x:c>
    </x:row>
    <x:row r="593">
      <x:c r="A593" s="80" t="str">
        <x:v>Não</x:v>
      </x:c>
      <x:c r="B593" s="80" t="str">
        <x:v>2 — Completar aos poucos</x:v>
      </x:c>
      <x:c r="C593" s="81" t="n">
        <x:v>1996</x:v>
      </x:c>
      <x:c r="D593" s="80" t="str">
        <x:v>Porsche 959</x:v>
      </x:c>
      <x:c r="E593" s="80" t="str">
        <x:v>Porsche 959</x:v>
      </x:c>
      <x:c r="F593" s="82" t="str">
        <x:v>Porsche 5-Pack</x:v>
      </x:c>
      <x:c r="G593" s="80" t="str"/>
      <x:c r="H593" s="80" t="str">
        <x:v>SB</x:v>
      </x:c>
      <x:c r="I593" s="83" t="str">
        <x:v>15066</x:v>
      </x:c>
      <x:c r="J593" s="80" t="str">
        <x:v>Light Blue</x:v>
      </x:c>
      <x:c r="K593" s="82" t="str">
        <x:v>tiny Blue Hot Wheels Logo on spoiler</x:v>
      </x:c>
      <x:c r="L593" s="82" t="str">
        <x:v>Porsche 959 MtLtBlSB</x:v>
      </x:c>
      <x:c r="M593" s="82" t="str">
        <x:v>Unpainted / Metal</x:v>
      </x:c>
      <x:c r="N593" s="82" t="str">
        <x:v>Purple Tinted</x:v>
      </x:c>
      <x:c r="O593" s="82" t="str">
        <x:v>Black</x:v>
      </x:c>
      <x:c r="P593" s="82" t="str">
        <x:v>Malaysia or China</x:v>
      </x:c>
      <x:c r="Q593" s="82" t="str"/>
      <x:c r="R593" s="82" t="str">
        <x:v>Temática / multipack</x:v>
      </x:c>
      <x:c r="S593" s="82" t="str">
        <x:v>Rara</x:v>
      </x:c>
      <x:c r="T593" s="82" t="str">
        <x:v>Lançado</x:v>
      </x:c>
      <x:c r="U593" s="82" t="str"/>
      <x:c r="V593" s="80" t="str">
        <x:v>Coleção principal (~1:64)</x:v>
      </x:c>
      <x:c r="W593" s="82" t="str">
        <x:v>https://hotwheels.fandom.com/wiki/Porsche_959</x:v>
      </x:c>
      <x:c r="X593" s="82" t="str">
        <x:v>https://hotwheels.fandom.com/wiki/Porsche_959</x:v>
      </x:c>
    </x:row>
    <x:row r="594">
      <x:c r="A594" s="80" t="str">
        <x:v>Não</x:v>
      </x:c>
      <x:c r="B594" s="80" t="str">
        <x:v>2 — Completar aos poucos</x:v>
      </x:c>
      <x:c r="C594" s="81" t="n">
        <x:v>1996</x:v>
      </x:c>
      <x:c r="D594" s="80" t="str">
        <x:v>Porsche 959</x:v>
      </x:c>
      <x:c r="E594" s="80" t="str">
        <x:v>Porsche 959</x:v>
      </x:c>
      <x:c r="F594" s="82" t="str">
        <x:v>Porsche 5-Pack</x:v>
      </x:c>
      <x:c r="G594" s="80" t="str"/>
      <x:c r="H594" s="80" t="str">
        <x:v>5DOT</x:v>
      </x:c>
      <x:c r="I594" s="83" t="str">
        <x:v>15066</x:v>
      </x:c>
      <x:c r="J594" s="80" t="str">
        <x:v>Light Blue</x:v>
      </x:c>
      <x:c r="K594" s="82" t="str">
        <x:v>tiny Blue Hot Wheels Logo on spoiler</x:v>
      </x:c>
      <x:c r="L594" s="82" t="str">
        <x:v>Image Not Available</x:v>
      </x:c>
      <x:c r="M594" s="82" t="str">
        <x:v>Unpainted / Metal</x:v>
      </x:c>
      <x:c r="N594" s="82" t="str">
        <x:v>Purple Tinted</x:v>
      </x:c>
      <x:c r="O594" s="82" t="str">
        <x:v>Black</x:v>
      </x:c>
      <x:c r="P594" s="82" t="str">
        <x:v>Malaysia or China</x:v>
      </x:c>
      <x:c r="Q594" s="82" t="str"/>
      <x:c r="R594" s="82" t="str">
        <x:v>Temática / multipack</x:v>
      </x:c>
      <x:c r="S594" s="82" t="str">
        <x:v>Rara</x:v>
      </x:c>
      <x:c r="T594" s="82" t="str">
        <x:v>Lançado</x:v>
      </x:c>
      <x:c r="U594" s="82" t="str"/>
      <x:c r="V594" s="80" t="str">
        <x:v>Coleção principal (~1:64)</x:v>
      </x:c>
      <x:c r="W594" s="82" t="str">
        <x:v>https://hotwheels.fandom.com/wiki/Porsche_959</x:v>
      </x:c>
      <x:c r="X594" s="82" t="str">
        <x:v>https://hotwheels.fandom.com/wiki/Porsche_959</x:v>
      </x:c>
    </x:row>
    <x:row r="595">
      <x:c r="A595" s="80" t="str">
        <x:v>Não</x:v>
      </x:c>
      <x:c r="B595" s="80" t="str">
        <x:v>2 — Completar aos poucos</x:v>
      </x:c>
      <x:c r="C595" s="81" t="n">
        <x:v>1996</x:v>
      </x:c>
      <x:c r="D595" s="80" t="str">
        <x:v>Porsche 959</x:v>
      </x:c>
      <x:c r="E595" s="80" t="str">
        <x:v>Porsche 959</x:v>
      </x:c>
      <x:c r="F595" s="82" t="str">
        <x:v>Porsche 5-Pack</x:v>
      </x:c>
      <x:c r="G595" s="80" t="str"/>
      <x:c r="H595" s="80" t="str">
        <x:v>SB</x:v>
      </x:c>
      <x:c r="I595" s="83" t="str">
        <x:v>15066</x:v>
      </x:c>
      <x:c r="J595" s="80" t="str">
        <x:v>Light Blue</x:v>
      </x:c>
      <x:c r="K595" s="82" t="str">
        <x:v>tiny Blue Hot Wheels Logo on spoiler</x:v>
      </x:c>
      <x:c r="L595" s="82" t="str"/>
      <x:c r="M595" s="82" t="str">
        <x:v>Unpainted / / / Metal</x:v>
      </x:c>
      <x:c r="N595" s="82" t="str">
        <x:v>Purple Tinted</x:v>
      </x:c>
      <x:c r="O595" s="82" t="str">
        <x:v>Black</x:v>
      </x:c>
      <x:c r="P595" s="82" t="str">
        <x:v>Malaysia or China</x:v>
      </x:c>
      <x:c r="Q595" s="82" t="str"/>
      <x:c r="R595" s="82" t="str">
        <x:v>Temática / multipack</x:v>
      </x:c>
      <x:c r="S595" s="82" t="str">
        <x:v>Rara</x:v>
      </x:c>
      <x:c r="T595" s="82" t="str">
        <x:v>Lançado</x:v>
      </x:c>
      <x:c r="U595" s="82" t="str"/>
      <x:c r="V595" s="80" t="str">
        <x:v>Coleção principal (~1:64)</x:v>
      </x:c>
      <x:c r="W595" s="82" t="str">
        <x:v>https://hotwheels.fandom.com/wiki/Porsche_959</x:v>
      </x:c>
      <x:c r="X595" s="82" t="str">
        <x:v>https://hotwheels.fandom.com/wiki/Porsche_959</x:v>
      </x:c>
    </x:row>
    <x:row r="596">
      <x:c r="A596" s="80" t="str">
        <x:v>Não</x:v>
      </x:c>
      <x:c r="B596" s="80" t="str">
        <x:v>2 — Completar aos poucos</x:v>
      </x:c>
      <x:c r="C596" s="81" t="n">
        <x:v>1996</x:v>
      </x:c>
      <x:c r="D596" s="80" t="str">
        <x:v>Porsche 959</x:v>
      </x:c>
      <x:c r="E596" s="80" t="str">
        <x:v>Porsche 959</x:v>
      </x:c>
      <x:c r="F596" s="82" t="str">
        <x:v>Sto &amp; Go Parking Garage set</x:v>
      </x:c>
      <x:c r="G596" s="80" t="str"/>
      <x:c r="H596" s="80" t="str"/>
      <x:c r="I596" s="83" t="str"/>
      <x:c r="J596" s="80" t="str">
        <x:v>Red</x:v>
      </x:c>
      <x:c r="K596" s="82" t="str"/>
      <x:c r="L596" s="82" t="str">
        <x:v>BW</x:v>
      </x:c>
      <x:c r="M596" s="82" t="str">
        <x:v>Unpainted / Metal</x:v>
      </x:c>
      <x:c r="N596" s="82" t="str"/>
      <x:c r="O596" s="82" t="str"/>
      <x:c r="P596" s="82" t="str"/>
      <x:c r="Q596" s="82" t="str"/>
      <x:c r="R596" s="82" t="str">
        <x:v>Outra linha</x:v>
      </x:c>
      <x:c r="S596" s="82" t="str">
        <x:v>Rara</x:v>
      </x:c>
      <x:c r="T596" s="82" t="str">
        <x:v>Lançado</x:v>
      </x:c>
      <x:c r="U596" s="82" t="str"/>
      <x:c r="V596" s="80" t="str">
        <x:v>Coleção principal (~1:64)</x:v>
      </x:c>
      <x:c r="W596" s="82" t="str">
        <x:v>https://hotwheels.fandom.com/wiki/Porsche_959</x:v>
      </x:c>
      <x:c r="X596" s="82" t="str">
        <x:v>https://hotwheels.fandom.com/wiki/Porsche_959</x:v>
      </x:c>
    </x:row>
    <x:row r="597">
      <x:c r="A597" s="80" t="str">
        <x:v>Não</x:v>
      </x:c>
      <x:c r="B597" s="80" t="str">
        <x:v>2 — Completar aos poucos</x:v>
      </x:c>
      <x:c r="C597" s="81" t="n">
        <x:v>1995</x:v>
      </x:c>
      <x:c r="D597" s="80" t="str">
        <x:v>Porsche 930</x:v>
      </x:c>
      <x:c r="E597" s="80" t="str">
        <x:v>Porsche 930</x:v>
      </x:c>
      <x:c r="F597" s="82" t="str">
        <x:v>Mainline</x:v>
      </x:c>
      <x:c r="G597" s="80" t="str"/>
      <x:c r="H597" s="80" t="str">
        <x:v>148</x:v>
      </x:c>
      <x:c r="I597" s="83" t="str">
        <x:v>7607</x:v>
      </x:c>
      <x:c r="J597" s="80" t="str">
        <x:v>Lime Green w/ Gold Glitter</x:v>
      </x:c>
      <x:c r="K597" s="82" t="str">
        <x:v>Blue, Yellow, Pink, Scribbles</x:v>
      </x:c>
      <x:c r="L597" s="82" t="str">
        <x:v>BW</x:v>
      </x:c>
      <x:c r="M597" s="82" t="str">
        <x:v>Unpainted / Metal</x:v>
      </x:c>
      <x:c r="N597" s="82" t="str">
        <x:v>Pink tint</x:v>
      </x:c>
      <x:c r="O597" s="82" t="str">
        <x:v>Pink</x:v>
      </x:c>
      <x:c r="P597" s="82" t="str">
        <x:v>Malaysia</x:v>
      </x:c>
      <x:c r="Q597" s="82" t="str"/>
      <x:c r="R597" s="82" t="str">
        <x:v>Mainline</x:v>
      </x:c>
      <x:c r="S597" s="82" t="str">
        <x:v>Rara</x:v>
      </x:c>
      <x:c r="T597" s="82" t="str">
        <x:v>Lançado</x:v>
      </x:c>
      <x:c r="U597" s="82" t="str"/>
      <x:c r="V597" s="80" t="str">
        <x:v>Coleção principal (~1:64)</x:v>
      </x:c>
      <x:c r="W597" s="82" t="str">
        <x:v>https://hotwheels.fandom.com/wiki/Porsche_930</x:v>
      </x:c>
      <x:c r="X597" s="82" t="str">
        <x:v>https://hotwheels.fandom.com/wiki/Porsche_930</x:v>
      </x:c>
    </x:row>
    <x:row r="598">
      <x:c r="A598" s="80" t="str">
        <x:v>Não</x:v>
      </x:c>
      <x:c r="B598" s="80" t="str">
        <x:v>2 — Completar aos poucos</x:v>
      </x:c>
      <x:c r="C598" s="81" t="n">
        <x:v>1995</x:v>
      </x:c>
      <x:c r="D598" s="80" t="str">
        <x:v>Porsche 930</x:v>
      </x:c>
      <x:c r="E598" s="80" t="str">
        <x:v>Porsche 930</x:v>
      </x:c>
      <x:c r="F598" s="82" t="str">
        <x:v>Mainline</x:v>
      </x:c>
      <x:c r="G598" s="80" t="str"/>
      <x:c r="H598" s="80" t="str"/>
      <x:c r="I598" s="83" t="str">
        <x:v>7607</x:v>
      </x:c>
      <x:c r="J598" s="80" t="str">
        <x:v>Red</x:v>
      </x:c>
      <x:c r="K598" s="82" t="str">
        <x:v>Yellow, Black, "TURBO", White "PORSCHE 930"</x:v>
      </x:c>
      <x:c r="L598" s="82" t="str">
        <x:v>Gold 7SP</x:v>
      </x:c>
      <x:c r="M598" s="82" t="str">
        <x:v>Unpainted / Metal</x:v>
      </x:c>
      <x:c r="N598" s="82" t="str">
        <x:v>Black tint</x:v>
      </x:c>
      <x:c r="O598" s="82" t="str">
        <x:v>Black</x:v>
      </x:c>
      <x:c r="P598" s="82" t="str">
        <x:v>Malaysia</x:v>
      </x:c>
      <x:c r="Q598" s="82" t="str"/>
      <x:c r="R598" s="82" t="str">
        <x:v>Mainline</x:v>
      </x:c>
      <x:c r="S598" s="82" t="str">
        <x:v>Rara</x:v>
      </x:c>
      <x:c r="T598" s="82" t="str">
        <x:v>Lançado</x:v>
      </x:c>
      <x:c r="U598" s="82" t="str">
        <x:v>International Release</x:v>
      </x:c>
      <x:c r="V598" s="80" t="str">
        <x:v>Coleção principal (~1:64)</x:v>
      </x:c>
      <x:c r="W598" s="82" t="str">
        <x:v>https://hotwheels.fandom.com/wiki/Porsche_930</x:v>
      </x:c>
      <x:c r="X598" s="82" t="str">
        <x:v>https://hotwheels.fandom.com/wiki/Porsche_930</x:v>
      </x:c>
    </x:row>
    <x:row r="599">
      <x:c r="A599" s="80" t="str">
        <x:v>Não</x:v>
      </x:c>
      <x:c r="B599" s="80" t="str">
        <x:v>2 — Completar aos poucos</x:v>
      </x:c>
      <x:c r="C599" s="81" t="n">
        <x:v>1995</x:v>
      </x:c>
      <x:c r="D599" s="80" t="str">
        <x:v>Porsche 959</x:v>
      </x:c>
      <x:c r="E599" s="80" t="str">
        <x:v>Porsche 959</x:v>
      </x:c>
      <x:c r="F599" s="82" t="str">
        <x:v>3 Level Parking Garage</x:v>
      </x:c>
      <x:c r="G599" s="80" t="str"/>
      <x:c r="H599" s="80" t="str"/>
      <x:c r="I599" s="83" t="str">
        <x:v>2592</x:v>
      </x:c>
      <x:c r="J599" s="80" t="str">
        <x:v>Yellow</x:v>
      </x:c>
      <x:c r="K599" s="82" t="str">
        <x:v>Orange flame</x:v>
      </x:c>
      <x:c r="L599" s="82" t="str">
        <x:v>BW</x:v>
      </x:c>
      <x:c r="M599" s="82" t="str">
        <x:v>Unpainted / Metal</x:v>
      </x:c>
      <x:c r="N599" s="82" t="str">
        <x:v>Clear</x:v>
      </x:c>
      <x:c r="O599" s="82" t="str">
        <x:v>Grey</x:v>
      </x:c>
      <x:c r="P599" s="82" t="str">
        <x:v>Malaysia</x:v>
      </x:c>
      <x:c r="Q599" s="82" t="str"/>
      <x:c r="R599" s="82" t="str">
        <x:v>Outra linha</x:v>
      </x:c>
      <x:c r="S599" s="82" t="str">
        <x:v>Rara</x:v>
      </x:c>
      <x:c r="T599" s="82" t="str">
        <x:v>Lançado</x:v>
      </x:c>
      <x:c r="U599" s="82" t="str">
        <x:v>paired with BMW 323</x:v>
      </x:c>
      <x:c r="V599" s="80" t="str">
        <x:v>Coleção principal (~1:64)</x:v>
      </x:c>
      <x:c r="W599" s="82" t="str">
        <x:v>https://hotwheels.fandom.com/wiki/Porsche_959</x:v>
      </x:c>
      <x:c r="X599" s="82" t="str">
        <x:v>https://hotwheels.fandom.com/wiki/Porsche_959</x:v>
      </x:c>
    </x:row>
    <x:row r="600">
      <x:c r="A600" s="80" t="str">
        <x:v>Não</x:v>
      </x:c>
      <x:c r="B600" s="80" t="str">
        <x:v>2 — Completar aos poucos</x:v>
      </x:c>
      <x:c r="C600" s="81" t="n">
        <x:v>1995</x:v>
      </x:c>
      <x:c r="D600" s="80" t="str">
        <x:v>Porsche 959</x:v>
      </x:c>
      <x:c r="E600" s="80" t="str">
        <x:v>Porsche 959</x:v>
      </x:c>
      <x:c r="F600" s="82" t="str">
        <x:v>Color FX</x:v>
      </x:c>
      <x:c r="G600" s="80" t="str"/>
      <x:c r="H600" s="80" t="str"/>
      <x:c r="I600" s="83" t="str">
        <x:v>12027</x:v>
      </x:c>
      <x:c r="J600" s="80" t="str">
        <x:v>Cold: Purple / Warm: Pink</x:v>
      </x:c>
      <x:c r="K600" s="82" t="str"/>
      <x:c r="L600" s="82" t="str">
        <x:v>UH</x:v>
      </x:c>
      <x:c r="M600" s="82" t="str">
        <x:v>Unpainted / / / Metal</x:v>
      </x:c>
      <x:c r="N600" s="82" t="str">
        <x:v>Clear</x:v>
      </x:c>
      <x:c r="O600" s="82" t="str"/>
      <x:c r="P600" s="82" t="str">
        <x:v>Malaysia</x:v>
      </x:c>
      <x:c r="Q600" s="82" t="str"/>
      <x:c r="R600" s="82" t="str">
        <x:v>Outra linha</x:v>
      </x:c>
      <x:c r="S600" s="82" t="str">
        <x:v>Rara</x:v>
      </x:c>
      <x:c r="T600" s="82" t="str">
        <x:v>Lançado</x:v>
      </x:c>
      <x:c r="U600" s="82" t="str">
        <x:v>Plastic Body</x:v>
      </x:c>
      <x:c r="V600" s="80" t="str">
        <x:v>Coleção principal (~1:64)</x:v>
      </x:c>
      <x:c r="W600" s="82" t="str">
        <x:v>https://hotwheels.fandom.com/wiki/Porsche_959</x:v>
      </x:c>
      <x:c r="X600" s="82" t="str">
        <x:v>https://hotwheels.fandom.com/wiki/Porsche_959</x:v>
      </x:c>
    </x:row>
    <x:row r="601">
      <x:c r="A601" s="80" t="str">
        <x:v>Não</x:v>
      </x:c>
      <x:c r="B601" s="80" t="str">
        <x:v>2 — Completar aos poucos</x:v>
      </x:c>
      <x:c r="C601" s="81" t="n">
        <x:v>1995</x:v>
      </x:c>
      <x:c r="D601" s="80" t="str">
        <x:v>Porsche 959</x:v>
      </x:c>
      <x:c r="E601" s="80" t="str">
        <x:v>Porsche 959</x:v>
      </x:c>
      <x:c r="F601" s="82" t="str">
        <x:v>Color FX</x:v>
      </x:c>
      <x:c r="G601" s="80" t="str"/>
      <x:c r="H601" s="80" t="str"/>
      <x:c r="I601" s="83" t="str">
        <x:v>12027</x:v>
      </x:c>
      <x:c r="J601" s="80" t="str">
        <x:v>Cold: PurpleWarm: Pink</x:v>
      </x:c>
      <x:c r="K601" s="82" t="str"/>
      <x:c r="L601" s="82" t="str">
        <x:v>UH</x:v>
      </x:c>
      <x:c r="M601" s="82" t="str">
        <x:v>Unpainted / Metal</x:v>
      </x:c>
      <x:c r="N601" s="82" t="str">
        <x:v>Clear</x:v>
      </x:c>
      <x:c r="O601" s="82" t="str"/>
      <x:c r="P601" s="82" t="str">
        <x:v>Malaysia</x:v>
      </x:c>
      <x:c r="Q601" s="82" t="str"/>
      <x:c r="R601" s="82" t="str">
        <x:v>Outra linha</x:v>
      </x:c>
      <x:c r="S601" s="82" t="str">
        <x:v>Rara</x:v>
      </x:c>
      <x:c r="T601" s="82" t="str">
        <x:v>Lançado</x:v>
      </x:c>
      <x:c r="U601" s="82" t="str">
        <x:v>Plastic Body</x:v>
      </x:c>
      <x:c r="V601" s="80" t="str">
        <x:v>Coleção principal (~1:64)</x:v>
      </x:c>
      <x:c r="W601" s="82" t="str">
        <x:v>https://hotwheels.fandom.com/wiki/Porsche_959</x:v>
      </x:c>
      <x:c r="X601" s="82" t="str">
        <x:v>https://hotwheels.fandom.com/wiki/Porsche_959</x:v>
      </x:c>
    </x:row>
    <x:row r="602">
      <x:c r="A602" s="80" t="str">
        <x:v>Não</x:v>
      </x:c>
      <x:c r="B602" s="80" t="str">
        <x:v>2 — Completar aos poucos</x:v>
      </x:c>
      <x:c r="C602" s="81" t="n">
        <x:v>1995</x:v>
      </x:c>
      <x:c r="D602" s="80" t="str">
        <x:v>Porsche 959</x:v>
      </x:c>
      <x:c r="E602" s="80" t="str">
        <x:v>Porsche 959</x:v>
      </x:c>
      <x:c r="F602" s="82" t="str">
        <x:v>Gleam Team, Mainline</x:v>
      </x:c>
      <x:c r="G602" s="80" t="str"/>
      <x:c r="H602" s="80" t="str">
        <x:v>193</x:v>
      </x:c>
      <x:c r="I602" s="83" t="str">
        <x:v>1794</x:v>
      </x:c>
      <x:c r="J602" s="80" t="str">
        <x:v>Textured Pink Chrome</x:v>
      </x:c>
      <x:c r="K602" s="82" t="str">
        <x:v>No Tampo</x:v>
      </x:c>
      <x:c r="L602" s="82" t="str">
        <x:v>GUH</x:v>
      </x:c>
      <x:c r="M602" s="82" t="str">
        <x:v>Unpainted / Metal</x:v>
      </x:c>
      <x:c r="N602" s="82" t="str">
        <x:v>Purple Tinted</x:v>
      </x:c>
      <x:c r="O602" s="82" t="str">
        <x:v>Black</x:v>
      </x:c>
      <x:c r="P602" s="82" t="str">
        <x:v>Malaysia</x:v>
      </x:c>
      <x:c r="Q602" s="82" t="str"/>
      <x:c r="R602" s="82" t="str">
        <x:v>Mainline</x:v>
      </x:c>
      <x:c r="S602" s="82" t="str">
        <x:v>Rara</x:v>
      </x:c>
      <x:c r="T602" s="82" t="str">
        <x:v>Lançado</x:v>
      </x:c>
      <x:c r="U602" s="82" t="str">
        <x:v>Plastic bodyVHTF Wheel Variation</x:v>
      </x:c>
      <x:c r="V602" s="80" t="str">
        <x:v>Coleção principal (~1:64)</x:v>
      </x:c>
      <x:c r="W602" s="82" t="str">
        <x:v>https://hotwheels.fandom.com/wiki/Porsche_959</x:v>
      </x:c>
      <x:c r="X602" s="82" t="str">
        <x:v>https://hotwheels.fandom.com/wiki/Porsche_959</x:v>
      </x:c>
    </x:row>
    <x:row r="603">
      <x:c r="A603" s="80" t="str">
        <x:v>Não</x:v>
      </x:c>
      <x:c r="B603" s="80" t="str">
        <x:v>2 — Completar aos poucos</x:v>
      </x:c>
      <x:c r="C603" s="81" t="n">
        <x:v>1995</x:v>
      </x:c>
      <x:c r="D603" s="80" t="str">
        <x:v>Porsche 959</x:v>
      </x:c>
      <x:c r="E603" s="80" t="str">
        <x:v>Porsche 959</x:v>
      </x:c>
      <x:c r="F603" s="82" t="str">
        <x:v>Gleam Team, Mainline</x:v>
      </x:c>
      <x:c r="G603" s="80" t="str"/>
      <x:c r="H603" s="80" t="str">
        <x:v>193</x:v>
      </x:c>
      <x:c r="I603" s="83" t="str">
        <x:v>1794</x:v>
      </x:c>
      <x:c r="J603" s="80" t="str">
        <x:v>Textured Pink Chrome</x:v>
      </x:c>
      <x:c r="K603" s="82" t="str">
        <x:v>No Tampo</x:v>
      </x:c>
      <x:c r="L603" s="82" t="str">
        <x:v>5SP</x:v>
      </x:c>
      <x:c r="M603" s="82" t="str">
        <x:v>Unpainted / Metal</x:v>
      </x:c>
      <x:c r="N603" s="82" t="str">
        <x:v>Purple Tinted</x:v>
      </x:c>
      <x:c r="O603" s="82" t="str">
        <x:v>Black</x:v>
      </x:c>
      <x:c r="P603" s="82" t="str">
        <x:v>Malaysia</x:v>
      </x:c>
      <x:c r="Q603" s="82" t="str"/>
      <x:c r="R603" s="82" t="str">
        <x:v>Mainline</x:v>
      </x:c>
      <x:c r="S603" s="82" t="str">
        <x:v>Rara</x:v>
      </x:c>
      <x:c r="T603" s="82" t="str">
        <x:v>Lançado</x:v>
      </x:c>
      <x:c r="U603" s="82" t="str">
        <x:v>plastic bodyVHTF Wheel Variation</x:v>
      </x:c>
      <x:c r="V603" s="80" t="str">
        <x:v>Coleção principal (~1:64)</x:v>
      </x:c>
      <x:c r="W603" s="82" t="str">
        <x:v>https://hotwheels.fandom.com/wiki/Porsche_959</x:v>
      </x:c>
      <x:c r="X603" s="82" t="str">
        <x:v>https://hotwheels.fandom.com/wiki/Porsche_959</x:v>
      </x:c>
    </x:row>
    <x:row r="604">
      <x:c r="A604" s="80" t="str">
        <x:v>Não</x:v>
      </x:c>
      <x:c r="B604" s="80" t="str">
        <x:v>2 — Completar aos poucos</x:v>
      </x:c>
      <x:c r="C604" s="81" t="n">
        <x:v>1995</x:v>
      </x:c>
      <x:c r="D604" s="80" t="str">
        <x:v>Porsche 959</x:v>
      </x:c>
      <x:c r="E604" s="80" t="str">
        <x:v>Porsche 959</x:v>
      </x:c>
      <x:c r="F604" s="82" t="str">
        <x:v>Track System 5-Pack</x:v>
      </x:c>
      <x:c r="G604" s="80" t="str"/>
      <x:c r="H604" s="80" t="str"/>
      <x:c r="I604" s="83" t="str">
        <x:v>13366</x:v>
      </x:c>
      <x:c r="J604" s="80" t="str">
        <x:v>White</x:v>
      </x:c>
      <x:c r="K604" s="82" t="str">
        <x:v>Black, Pinkish-Purple, Blue markings</x:v>
      </x:c>
      <x:c r="L604" s="82" t="str">
        <x:v>Gold UH</x:v>
      </x:c>
      <x:c r="M604" s="82" t="str">
        <x:v>Unpainted / Metal</x:v>
      </x:c>
      <x:c r="N604" s="82" t="str">
        <x:v>Blue Tint</x:v>
      </x:c>
      <x:c r="O604" s="82" t="str">
        <x:v>White</x:v>
      </x:c>
      <x:c r="P604" s="82" t="str">
        <x:v>Malaysia</x:v>
      </x:c>
      <x:c r="Q604" s="82" t="str"/>
      <x:c r="R604" s="82" t="str">
        <x:v>Temática / multipack</x:v>
      </x:c>
      <x:c r="S604" s="82" t="str">
        <x:v>Rara</x:v>
      </x:c>
      <x:c r="T604" s="82" t="str">
        <x:v>Lançado</x:v>
      </x:c>
      <x:c r="U604" s="82" t="str">
        <x:v>Plastic Body</x:v>
      </x:c>
      <x:c r="V604" s="80" t="str">
        <x:v>Coleção principal (~1:64)</x:v>
      </x:c>
      <x:c r="W604" s="82" t="str">
        <x:v>https://hotwheels.fandom.com/wiki/Porsche_959</x:v>
      </x:c>
      <x:c r="X604" s="82" t="str">
        <x:v>https://hotwheels.fandom.com/wiki/Porsche_959</x:v>
      </x:c>
    </x:row>
    <x:row r="605">
      <x:c r="A605" s="80" t="str">
        <x:v>Não</x:v>
      </x:c>
      <x:c r="B605" s="80" t="str">
        <x:v>2 — Completar aos poucos</x:v>
      </x:c>
      <x:c r="C605" s="81" t="n">
        <x:v>1995</x:v>
      </x:c>
      <x:c r="D605" s="80" t="str">
        <x:v>Porsche 959</x:v>
      </x:c>
      <x:c r="E605" s="80" t="str">
        <x:v>Porsche 959</x:v>
      </x:c>
      <x:c r="F605" s="82" t="str">
        <x:v>Track System 5-Pack</x:v>
      </x:c>
      <x:c r="G605" s="80" t="str"/>
      <x:c r="H605" s="80" t="str">
        <x:v>Gold 5SP</x:v>
      </x:c>
      <x:c r="I605" s="83" t="str">
        <x:v>13366</x:v>
      </x:c>
      <x:c r="J605" s="80" t="str">
        <x:v>White</x:v>
      </x:c>
      <x:c r="K605" s="82" t="str">
        <x:v>Black, Pinkish-Purple, Blue markings</x:v>
      </x:c>
      <x:c r="L605" s="82" t="str">
        <x:v>Porsche 959 Wht5sp</x:v>
      </x:c>
      <x:c r="M605" s="82" t="str">
        <x:v>Unpainted / Metal</x:v>
      </x:c>
      <x:c r="N605" s="82" t="str">
        <x:v>Blue Tint</x:v>
      </x:c>
      <x:c r="O605" s="82" t="str">
        <x:v>White</x:v>
      </x:c>
      <x:c r="P605" s="82" t="str">
        <x:v>Malaysia</x:v>
      </x:c>
      <x:c r="Q605" s="82" t="str"/>
      <x:c r="R605" s="82" t="str">
        <x:v>Temática / multipack</x:v>
      </x:c>
      <x:c r="S605" s="82" t="str">
        <x:v>Rara</x:v>
      </x:c>
      <x:c r="T605" s="82" t="str">
        <x:v>Lançado</x:v>
      </x:c>
      <x:c r="U605" s="82" t="str">
        <x:v>Plastic Body</x:v>
      </x:c>
      <x:c r="V605" s="80" t="str">
        <x:v>Coleção principal (~1:64)</x:v>
      </x:c>
      <x:c r="W605" s="82" t="str">
        <x:v>https://hotwheels.fandom.com/wiki/Porsche_959</x:v>
      </x:c>
      <x:c r="X605" s="82" t="str">
        <x:v>https://hotwheels.fandom.com/wiki/Porsche_959</x:v>
      </x:c>
    </x:row>
    <x:row r="606">
      <x:c r="A606" s="80" t="str">
        <x:v>Não</x:v>
      </x:c>
      <x:c r="B606" s="80" t="str">
        <x:v>2 — Completar aos poucos</x:v>
      </x:c>
      <x:c r="C606" s="81" t="n">
        <x:v>1995</x:v>
      </x:c>
      <x:c r="D606" s="80" t="str">
        <x:v>Porsche 959</x:v>
      </x:c>
      <x:c r="E606" s="80" t="str">
        <x:v>Porsche 959</x:v>
      </x:c>
      <x:c r="F606" s="82" t="str">
        <x:v>Track System 5-Pack</x:v>
      </x:c>
      <x:c r="G606" s="80" t="str"/>
      <x:c r="H606" s="80" t="str">
        <x:v>Gold 3SP</x:v>
      </x:c>
      <x:c r="I606" s="83" t="str">
        <x:v>13366</x:v>
      </x:c>
      <x:c r="J606" s="80" t="str">
        <x:v>White</x:v>
      </x:c>
      <x:c r="K606" s="82" t="str">
        <x:v>Black, Pinkish-Purple, Blue markings</x:v>
      </x:c>
      <x:c r="L606" s="82" t="str">
        <x:v>Porsche 959 Wht3sp</x:v>
      </x:c>
      <x:c r="M606" s="82" t="str">
        <x:v>Unpainted / Metal</x:v>
      </x:c>
      <x:c r="N606" s="82" t="str">
        <x:v>Blue Tint</x:v>
      </x:c>
      <x:c r="O606" s="82" t="str">
        <x:v>White</x:v>
      </x:c>
      <x:c r="P606" s="82" t="str">
        <x:v>Malaysia</x:v>
      </x:c>
      <x:c r="Q606" s="82" t="str"/>
      <x:c r="R606" s="82" t="str">
        <x:v>Temática / multipack</x:v>
      </x:c>
      <x:c r="S606" s="82" t="str">
        <x:v>Rara</x:v>
      </x:c>
      <x:c r="T606" s="82" t="str">
        <x:v>Lançado</x:v>
      </x:c>
      <x:c r="U606" s="82" t="str">
        <x:v>Plastic Body</x:v>
      </x:c>
      <x:c r="V606" s="80" t="str">
        <x:v>Coleção principal (~1:64)</x:v>
      </x:c>
      <x:c r="W606" s="82" t="str">
        <x:v>https://hotwheels.fandom.com/wiki/Porsche_959</x:v>
      </x:c>
      <x:c r="X606" s="82" t="str">
        <x:v>https://hotwheels.fandom.com/wiki/Porsche_959</x:v>
      </x:c>
    </x:row>
    <x:row r="607">
      <x:c r="A607" s="80" t="str">
        <x:v>Não</x:v>
      </x:c>
      <x:c r="B607" s="80" t="str">
        <x:v>2 — Completar aos poucos</x:v>
      </x:c>
      <x:c r="C607" s="81" t="n">
        <x:v>1995</x:v>
      </x:c>
      <x:c r="D607" s="80" t="str">
        <x:v>Porsche 959</x:v>
      </x:c>
      <x:c r="E607" s="80" t="str">
        <x:v>Porsche 959</x:v>
      </x:c>
      <x:c r="F607" s="82" t="str">
        <x:v>Track System 5-Pack</x:v>
      </x:c>
      <x:c r="G607" s="80" t="str"/>
      <x:c r="H607" s="80" t="str">
        <x:v>Gold 5SP</x:v>
      </x:c>
      <x:c r="I607" s="83" t="str">
        <x:v>13366</x:v>
      </x:c>
      <x:c r="J607" s="80" t="str">
        <x:v>White</x:v>
      </x:c>
      <x:c r="K607" s="82" t="str">
        <x:v>Black, Pinkish-Purple, Blue markings</x:v>
      </x:c>
      <x:c r="L607" s="82" t="str"/>
      <x:c r="M607" s="82" t="str">
        <x:v>Unpainted / / / Metal</x:v>
      </x:c>
      <x:c r="N607" s="82" t="str">
        <x:v>Blue Tint</x:v>
      </x:c>
      <x:c r="O607" s="82" t="str">
        <x:v>White</x:v>
      </x:c>
      <x:c r="P607" s="82" t="str">
        <x:v>Malaysia</x:v>
      </x:c>
      <x:c r="Q607" s="82" t="str"/>
      <x:c r="R607" s="82" t="str">
        <x:v>Temática / multipack</x:v>
      </x:c>
      <x:c r="S607" s="82" t="str">
        <x:v>Rara</x:v>
      </x:c>
      <x:c r="T607" s="82" t="str">
        <x:v>Lançado</x:v>
      </x:c>
      <x:c r="U607" s="82" t="str">
        <x:v>Plastic Body</x:v>
      </x:c>
      <x:c r="V607" s="80" t="str">
        <x:v>Coleção principal (~1:64)</x:v>
      </x:c>
      <x:c r="W607" s="82" t="str">
        <x:v>https://hotwheels.fandom.com/wiki/Porsche_959</x:v>
      </x:c>
      <x:c r="X607" s="82" t="str">
        <x:v>https://hotwheels.fandom.com/wiki/Porsche_959</x:v>
      </x:c>
    </x:row>
    <x:row r="608">
      <x:c r="A608" s="80" t="str">
        <x:v>Não</x:v>
      </x:c>
      <x:c r="B608" s="80" t="str">
        <x:v>2 — Completar aos poucos</x:v>
      </x:c>
      <x:c r="C608" s="81" t="n">
        <x:v>1994</x:v>
      </x:c>
      <x:c r="D608" s="80" t="str">
        <x:v>Porsche 911 Targa</x:v>
      </x:c>
      <x:c r="E608" s="80" t="str">
        <x:v>Porsche 911 Targa</x:v>
      </x:c>
      <x:c r="F608" s="82" t="str">
        <x:v>Auto-City Single Packs</x:v>
      </x:c>
      <x:c r="G608" s="80" t="str"/>
      <x:c r="H608" s="80" t="str"/>
      <x:c r="I608" s="83" t="str">
        <x:v>93182</x:v>
      </x:c>
      <x:c r="J608" s="80" t="str">
        <x:v>Metallic Gray</x:v>
      </x:c>
      <x:c r="K608" s="82" t="str">
        <x:v>Porsche emblem on hood</x:v>
      </x:c>
      <x:c r="L608" s="82" t="str">
        <x:v>Corgi1</x:v>
      </x:c>
      <x:c r="M608" s="82" t="str">
        <x:v>Black / Plastic</x:v>
      </x:c>
      <x:c r="N608" s="82" t="str">
        <x:v>Clear</x:v>
      </x:c>
      <x:c r="O608" s="82" t="str">
        <x:v>Black</x:v>
      </x:c>
      <x:c r="P608" s="82" t="str">
        <x:v>China</x:v>
      </x:c>
      <x:c r="Q608" s="82" t="str"/>
      <x:c r="R608" s="82" t="str">
        <x:v>Outra linha</x:v>
      </x:c>
      <x:c r="S608" s="82" t="str">
        <x:v>Rara</x:v>
      </x:c>
      <x:c r="T608" s="82" t="str">
        <x:v>Lançado</x:v>
      </x:c>
      <x:c r="U608" s="82" t="str"/>
      <x:c r="V608" s="80" t="str">
        <x:v>Coleção principal (~1:64)</x:v>
      </x:c>
      <x:c r="W608" s="82" t="str">
        <x:v>https://hotwheels.fandom.com/wiki/Porsche_911_Targa</x:v>
      </x:c>
      <x:c r="X608" s="82" t="str">
        <x:v>https://hotwheels.fandom.com/wiki/Porsche_911_Targa</x:v>
      </x:c>
    </x:row>
    <x:row r="609">
      <x:c r="A609" s="80" t="str">
        <x:v>Não</x:v>
      </x:c>
      <x:c r="B609" s="80" t="str">
        <x:v>2 — Completar aos poucos</x:v>
      </x:c>
      <x:c r="C609" s="81" t="n">
        <x:v>1994</x:v>
      </x:c>
      <x:c r="D609" s="80" t="str">
        <x:v>Porsche 930</x:v>
      </x:c>
      <x:c r="E609" s="80" t="str">
        <x:v>Porsche 930</x:v>
      </x:c>
      <x:c r="F609" s="82" t="str">
        <x:v>G-Force Set</x:v>
      </x:c>
      <x:c r="G609" s="80" t="str"/>
      <x:c r="H609" s="80" t="str"/>
      <x:c r="I609" s="83" t="str"/>
      <x:c r="J609" s="80" t="str">
        <x:v>Lime Green w/ Gold Glitter</x:v>
      </x:c>
      <x:c r="K609" s="82" t="str">
        <x:v>Blue, Yellow, Pink, Scribbles</x:v>
      </x:c>
      <x:c r="L609" s="82" t="str">
        <x:v>SCW</x:v>
      </x:c>
      <x:c r="M609" s="82" t="str">
        <x:v>Unpainted / Metal</x:v>
      </x:c>
      <x:c r="N609" s="82" t="str">
        <x:v>Pink tint</x:v>
      </x:c>
      <x:c r="O609" s="82" t="str">
        <x:v>Pink</x:v>
      </x:c>
      <x:c r="P609" s="82" t="str">
        <x:v>Malaysia</x:v>
      </x:c>
      <x:c r="Q609" s="82" t="str"/>
      <x:c r="R609" s="82" t="str">
        <x:v>Outra linha</x:v>
      </x:c>
      <x:c r="S609" s="82" t="str">
        <x:v>Rara</x:v>
      </x:c>
      <x:c r="T609" s="82" t="str">
        <x:v>Lançado</x:v>
      </x:c>
      <x:c r="U609" s="82" t="str"/>
      <x:c r="V609" s="80" t="str">
        <x:v>Coleção principal (~1:64)</x:v>
      </x:c>
      <x:c r="W609" s="82" t="str">
        <x:v>https://hotwheels.fandom.com/wiki/Porsche_930</x:v>
      </x:c>
      <x:c r="X609" s="82" t="str">
        <x:v>https://hotwheels.fandom.com/wiki/Porsche_930</x:v>
      </x:c>
    </x:row>
    <x:row r="610">
      <x:c r="A610" s="80" t="str">
        <x:v>Não</x:v>
      </x:c>
      <x:c r="B610" s="80" t="str">
        <x:v>2 — Completar aos poucos</x:v>
      </x:c>
      <x:c r="C610" s="81" t="n">
        <x:v>1994</x:v>
      </x:c>
      <x:c r="D610" s="80" t="str">
        <x:v>Porsche 935 (Corgi)</x:v>
      </x:c>
      <x:c r="E610" s="80" t="str">
        <x:v>Porsche 935</x:v>
      </x:c>
      <x:c r="F610" s="82" t="str">
        <x:v>Auto City</x:v>
      </x:c>
      <x:c r="G610" s="80" t="str"/>
      <x:c r="H610" s="80" t="str"/>
      <x:c r="I610" s="83" t="str">
        <x:v>93182</x:v>
      </x:c>
      <x:c r="J610" s="80" t="str">
        <x:v>Neon Orange</x:v>
      </x:c>
      <x:c r="K610" s="82" t="str">
        <x:v>Blue &amp; White swirls "935" "PORSCHE"</x:v>
      </x:c>
      <x:c r="L610" s="82" t="str">
        <x:v>Corgi1</x:v>
      </x:c>
      <x:c r="M610" s="82" t="str">
        <x:v>Black / / / Plastic</x:v>
      </x:c>
      <x:c r="N610" s="82" t="str">
        <x:v>Clear</x:v>
      </x:c>
      <x:c r="O610" s="82" t="str">
        <x:v>Chrome</x:v>
      </x:c>
      <x:c r="P610" s="82" t="str">
        <x:v>China</x:v>
      </x:c>
      <x:c r="Q610" s="82" t="str"/>
      <x:c r="R610" s="82" t="str">
        <x:v>Outra linha</x:v>
      </x:c>
      <x:c r="S610" s="82" t="str">
        <x:v>Rara</x:v>
      </x:c>
      <x:c r="T610" s="82" t="str">
        <x:v>Lançado</x:v>
      </x:c>
      <x:c r="U610" s="82" t="str">
        <x:v>also on Corgi/MATTEL Auto City short cards</x:v>
      </x:c>
      <x:c r="V610" s="80" t="str">
        <x:v>Coleção principal (~1:64)</x:v>
      </x:c>
      <x:c r="W610" s="82" t="str">
        <x:v>https://hotwheels.fandom.com/wiki/Porsche_935_(Corgi)</x:v>
      </x:c>
      <x:c r="X610" s="82" t="str">
        <x:v>https://hotwheels.fandom.com/wiki/Porsche_935_(Corgi)</x:v>
      </x:c>
    </x:row>
    <x:row r="611">
      <x:c r="A611" s="80" t="str">
        <x:v>Não</x:v>
      </x:c>
      <x:c r="B611" s="80" t="str">
        <x:v>2 — Completar aos poucos</x:v>
      </x:c>
      <x:c r="C611" s="81" t="n">
        <x:v>1993</x:v>
      </x:c>
      <x:c r="D611" s="80" t="str">
        <x:v>Porsche 930</x:v>
      </x:c>
      <x:c r="E611" s="80" t="str">
        <x:v>Porsche 930</x:v>
      </x:c>
      <x:c r="F611" s="82" t="str">
        <x:v>Revealers</x:v>
      </x:c>
      <x:c r="G611" s="80" t="str"/>
      <x:c r="H611" s="80" t="str"/>
      <x:c r="I611" s="83" t="str">
        <x:v>7607</x:v>
      </x:c>
      <x:c r="J611" s="80" t="str">
        <x:v>Maroon</x:v>
      </x:c>
      <x:c r="K611" s="82" t="str">
        <x:v>Yellow &amp; Red explosion, White jewels</x:v>
      </x:c>
      <x:c r="L611" s="82" t="str">
        <x:v>Pink UH</x:v>
      </x:c>
      <x:c r="M611" s="82" t="str">
        <x:v>Unpainted / / / Metal</x:v>
      </x:c>
      <x:c r="N611" s="82" t="str">
        <x:v>Black tint</x:v>
      </x:c>
      <x:c r="O611" s="82" t="str">
        <x:v>Black</x:v>
      </x:c>
      <x:c r="P611" s="82" t="str">
        <x:v>Malaysia</x:v>
      </x:c>
      <x:c r="Q611" s="82" t="str"/>
      <x:c r="R611" s="82" t="str">
        <x:v>Outra linha</x:v>
      </x:c>
      <x:c r="S611" s="82" t="str">
        <x:v>Rara</x:v>
      </x:c>
      <x:c r="T611" s="82" t="str">
        <x:v>Lançado</x:v>
      </x:c>
      <x:c r="U611" s="82" t="str"/>
      <x:c r="V611" s="80" t="str">
        <x:v>Coleção principal (~1:64)</x:v>
      </x:c>
      <x:c r="W611" s="82" t="str">
        <x:v>https://hotwheels.fandom.com/wiki/Porsche_930</x:v>
      </x:c>
      <x:c r="X611" s="82" t="str">
        <x:v>https://hotwheels.fandom.com/wiki/Porsche_930</x:v>
      </x:c>
    </x:row>
    <x:row r="612">
      <x:c r="A612" s="80" t="str">
        <x:v>Não</x:v>
      </x:c>
      <x:c r="B612" s="80" t="str">
        <x:v>2 — Completar aos poucos</x:v>
      </x:c>
      <x:c r="C612" s="81" t="n">
        <x:v>1993</x:v>
      </x:c>
      <x:c r="D612" s="80" t="str">
        <x:v>Porsche 930</x:v>
      </x:c>
      <x:c r="E612" s="80" t="str">
        <x:v>Porsche 930</x:v>
      </x:c>
      <x:c r="F612" s="82" t="str">
        <x:v>Revealers</x:v>
      </x:c>
      <x:c r="G612" s="80" t="str"/>
      <x:c r="H612" s="80" t="str"/>
      <x:c r="I612" s="83" t="str">
        <x:v>7607</x:v>
      </x:c>
      <x:c r="J612" s="80" t="str">
        <x:v>Metallic Blue</x:v>
      </x:c>
      <x:c r="K612" s="82" t="str">
        <x:v>Yellow &amp; Red explosion, White jewels</x:v>
      </x:c>
      <x:c r="L612" s="82" t="str">
        <x:v>UH Lime</x:v>
      </x:c>
      <x:c r="M612" s="82" t="str">
        <x:v>Unpainted / / / Metal</x:v>
      </x:c>
      <x:c r="N612" s="82" t="str">
        <x:v>Black tint</x:v>
      </x:c>
      <x:c r="O612" s="82" t="str">
        <x:v>Black</x:v>
      </x:c>
      <x:c r="P612" s="82" t="str">
        <x:v>Malaysia</x:v>
      </x:c>
      <x:c r="Q612" s="82" t="str"/>
      <x:c r="R612" s="82" t="str">
        <x:v>Outra linha</x:v>
      </x:c>
      <x:c r="S612" s="82" t="str">
        <x:v>Rara</x:v>
      </x:c>
      <x:c r="T612" s="82" t="str">
        <x:v>Lançado</x:v>
      </x:c>
      <x:c r="U612" s="82" t="str"/>
      <x:c r="V612" s="80" t="str">
        <x:v>Coleção principal (~1:64)</x:v>
      </x:c>
      <x:c r="W612" s="82" t="str">
        <x:v>https://hotwheels.fandom.com/wiki/Porsche_930</x:v>
      </x:c>
      <x:c r="X612" s="82" t="str">
        <x:v>https://hotwheels.fandom.com/wiki/Porsche_930</x:v>
      </x:c>
    </x:row>
    <x:row r="613">
      <x:c r="A613" s="80" t="str">
        <x:v>Não</x:v>
      </x:c>
      <x:c r="B613" s="80" t="str">
        <x:v>2 — Completar aos poucos</x:v>
      </x:c>
      <x:c r="C613" s="81" t="n">
        <x:v>1993</x:v>
      </x:c>
      <x:c r="D613" s="80" t="str">
        <x:v>Porsche 930</x:v>
      </x:c>
      <x:c r="E613" s="80" t="str">
        <x:v>Porsche 930</x:v>
      </x:c>
      <x:c r="F613" s="82" t="str">
        <x:v>Revealers</x:v>
      </x:c>
      <x:c r="G613" s="80" t="str"/>
      <x:c r="H613" s="80" t="str"/>
      <x:c r="I613" s="83" t="str">
        <x:v>7607</x:v>
      </x:c>
      <x:c r="J613" s="80" t="str">
        <x:v>Metallic Green</x:v>
      </x:c>
      <x:c r="K613" s="82" t="str">
        <x:v>Yellow &amp; Red explosion, White jewels</x:v>
      </x:c>
      <x:c r="L613" s="82" t="str">
        <x:v>UH Lime</x:v>
      </x:c>
      <x:c r="M613" s="82" t="str">
        <x:v>Unpainted / / / Metal</x:v>
      </x:c>
      <x:c r="N613" s="82" t="str">
        <x:v>Black tint</x:v>
      </x:c>
      <x:c r="O613" s="82" t="str">
        <x:v>Black</x:v>
      </x:c>
      <x:c r="P613" s="82" t="str">
        <x:v>Malaysia</x:v>
      </x:c>
      <x:c r="Q613" s="82" t="str"/>
      <x:c r="R613" s="82" t="str">
        <x:v>Outra linha</x:v>
      </x:c>
      <x:c r="S613" s="82" t="str">
        <x:v>Rara</x:v>
      </x:c>
      <x:c r="T613" s="82" t="str">
        <x:v>Lançado</x:v>
      </x:c>
      <x:c r="U613" s="82" t="str"/>
      <x:c r="V613" s="80" t="str">
        <x:v>Coleção principal (~1:64)</x:v>
      </x:c>
      <x:c r="W613" s="82" t="str">
        <x:v>https://hotwheels.fandom.com/wiki/Porsche_930</x:v>
      </x:c>
      <x:c r="X613" s="82" t="str">
        <x:v>https://hotwheels.fandom.com/wiki/Porsche_930</x:v>
      </x:c>
    </x:row>
    <x:row r="614">
      <x:c r="A614" s="80" t="str">
        <x:v>Não</x:v>
      </x:c>
      <x:c r="B614" s="80" t="str">
        <x:v>2 — Completar aos poucos</x:v>
      </x:c>
      <x:c r="C614" s="81" t="n">
        <x:v>1993</x:v>
      </x:c>
      <x:c r="D614" s="80" t="str">
        <x:v>Porsche 930</x:v>
      </x:c>
      <x:c r="E614" s="80" t="str">
        <x:v>Porsche 930</x:v>
      </x:c>
      <x:c r="F614" s="82" t="str">
        <x:v>Revealers 9/12</x:v>
      </x:c>
      <x:c r="G614" s="80" t="str"/>
      <x:c r="H614" s="80" t="str"/>
      <x:c r="I614" s="83" t="str">
        <x:v>10035</x:v>
      </x:c>
      <x:c r="J614" s="80" t="str">
        <x:v>Maroon</x:v>
      </x:c>
      <x:c r="K614" s="82" t="str">
        <x:v>Yellow &amp; Red explosion, White jewels</x:v>
      </x:c>
      <x:c r="L614" s="82" t="str">
        <x:v>Pink UH</x:v>
      </x:c>
      <x:c r="M614" s="82" t="str">
        <x:v>Unpainted / Metal</x:v>
      </x:c>
      <x:c r="N614" s="82" t="str">
        <x:v>Black tint</x:v>
      </x:c>
      <x:c r="O614" s="82" t="str">
        <x:v>Black</x:v>
      </x:c>
      <x:c r="P614" s="82" t="str">
        <x:v>Malaysia</x:v>
      </x:c>
      <x:c r="Q614" s="82" t="str"/>
      <x:c r="R614" s="82" t="str">
        <x:v>Outra linha</x:v>
      </x:c>
      <x:c r="S614" s="82" t="str">
        <x:v>Rara</x:v>
      </x:c>
      <x:c r="T614" s="82" t="str">
        <x:v>Lançado</x:v>
      </x:c>
      <x:c r="U614" s="82" t="str"/>
      <x:c r="V614" s="80" t="str">
        <x:v>Coleção principal (~1:64)</x:v>
      </x:c>
      <x:c r="W614" s="82" t="str">
        <x:v>https://hotwheels.fandom.com/wiki/Porsche_930</x:v>
      </x:c>
      <x:c r="X614" s="82" t="str">
        <x:v>https://hotwheels.fandom.com/wiki/Porsche_930</x:v>
      </x:c>
    </x:row>
    <x:row r="615">
      <x:c r="A615" s="80" t="str">
        <x:v>Não</x:v>
      </x:c>
      <x:c r="B615" s="80" t="str">
        <x:v>2 — Completar aos poucos</x:v>
      </x:c>
      <x:c r="C615" s="81" t="n">
        <x:v>1993</x:v>
      </x:c>
      <x:c r="D615" s="80" t="str">
        <x:v>Porsche 930</x:v>
      </x:c>
      <x:c r="E615" s="80" t="str">
        <x:v>Porsche 930</x:v>
      </x:c>
      <x:c r="F615" s="82" t="str">
        <x:v>Revealers 9/12</x:v>
      </x:c>
      <x:c r="G615" s="80" t="str"/>
      <x:c r="H615" s="80" t="str"/>
      <x:c r="I615" s="83" t="str">
        <x:v>10035</x:v>
      </x:c>
      <x:c r="J615" s="80" t="str">
        <x:v>Metallic Blue</x:v>
      </x:c>
      <x:c r="K615" s="82" t="str">
        <x:v>Yellow &amp; Red explosion, White jewels</x:v>
      </x:c>
      <x:c r="L615" s="82" t="str">
        <x:v>Lime UH</x:v>
      </x:c>
      <x:c r="M615" s="82" t="str">
        <x:v>Unpainted / Metal</x:v>
      </x:c>
      <x:c r="N615" s="82" t="str">
        <x:v>Black tint</x:v>
      </x:c>
      <x:c r="O615" s="82" t="str">
        <x:v>Black</x:v>
      </x:c>
      <x:c r="P615" s="82" t="str">
        <x:v>Malaysia</x:v>
      </x:c>
      <x:c r="Q615" s="82" t="str"/>
      <x:c r="R615" s="82" t="str">
        <x:v>Outra linha</x:v>
      </x:c>
      <x:c r="S615" s="82" t="str">
        <x:v>Rara</x:v>
      </x:c>
      <x:c r="T615" s="82" t="str">
        <x:v>Lançado</x:v>
      </x:c>
      <x:c r="U615" s="82" t="str"/>
      <x:c r="V615" s="80" t="str">
        <x:v>Coleção principal (~1:64)</x:v>
      </x:c>
      <x:c r="W615" s="82" t="str">
        <x:v>https://hotwheels.fandom.com/wiki/Porsche_930</x:v>
      </x:c>
      <x:c r="X615" s="82" t="str">
        <x:v>https://hotwheels.fandom.com/wiki/Porsche_930</x:v>
      </x:c>
    </x:row>
    <x:row r="616">
      <x:c r="A616" s="80" t="str">
        <x:v>Não</x:v>
      </x:c>
      <x:c r="B616" s="80" t="str">
        <x:v>2 — Completar aos poucos</x:v>
      </x:c>
      <x:c r="C616" s="81" t="n">
        <x:v>1993</x:v>
      </x:c>
      <x:c r="D616" s="80" t="str">
        <x:v>Porsche 930</x:v>
      </x:c>
      <x:c r="E616" s="80" t="str">
        <x:v>Porsche 930</x:v>
      </x:c>
      <x:c r="F616" s="82" t="str">
        <x:v>Revealers 9/12</x:v>
      </x:c>
      <x:c r="G616" s="80" t="str"/>
      <x:c r="H616" s="80" t="str"/>
      <x:c r="I616" s="83" t="str">
        <x:v>10035</x:v>
      </x:c>
      <x:c r="J616" s="80" t="str">
        <x:v>Metallic Green</x:v>
      </x:c>
      <x:c r="K616" s="82" t="str">
        <x:v>Yellow &amp; Red explosion, White jewels</x:v>
      </x:c>
      <x:c r="L616" s="82" t="str">
        <x:v>Lime UH</x:v>
      </x:c>
      <x:c r="M616" s="82" t="str">
        <x:v>Unpainted / Metal</x:v>
      </x:c>
      <x:c r="N616" s="82" t="str">
        <x:v>Black tint</x:v>
      </x:c>
      <x:c r="O616" s="82" t="str">
        <x:v>Black</x:v>
      </x:c>
      <x:c r="P616" s="82" t="str">
        <x:v>Malaysia</x:v>
      </x:c>
      <x:c r="Q616" s="82" t="str"/>
      <x:c r="R616" s="82" t="str">
        <x:v>Outra linha</x:v>
      </x:c>
      <x:c r="S616" s="82" t="str">
        <x:v>Rara</x:v>
      </x:c>
      <x:c r="T616" s="82" t="str">
        <x:v>Lançado</x:v>
      </x:c>
      <x:c r="U616" s="82" t="str"/>
      <x:c r="V616" s="80" t="str">
        <x:v>Coleção principal (~1:64)</x:v>
      </x:c>
      <x:c r="W616" s="82" t="str">
        <x:v>https://hotwheels.fandom.com/wiki/Porsche_930</x:v>
      </x:c>
      <x:c r="X616" s="82" t="str">
        <x:v>https://hotwheels.fandom.com/wiki/Porsche_930</x:v>
      </x:c>
    </x:row>
    <x:row r="617">
      <x:c r="A617" s="80" t="str">
        <x:v>Não</x:v>
      </x:c>
      <x:c r="B617" s="80" t="str">
        <x:v>2 — Completar aos poucos</x:v>
      </x:c>
      <x:c r="C617" s="81" t="n">
        <x:v>1993</x:v>
      </x:c>
      <x:c r="D617" s="80" t="str">
        <x:v>Porsche 930</x:v>
      </x:c>
      <x:c r="E617" s="80" t="str">
        <x:v>Porsche 930</x:v>
      </x:c>
      <x:c r="F617" s="82" t="str">
        <x:v>Revealers Blue Token 10-Pack</x:v>
      </x:c>
      <x:c r="G617" s="80" t="str"/>
      <x:c r="H617" s="80" t="str"/>
      <x:c r="I617" s="83" t="str">
        <x:v>10493</x:v>
      </x:c>
      <x:c r="J617" s="80" t="str">
        <x:v>Bright Orange</x:v>
      </x:c>
      <x:c r="K617" s="82" t="str">
        <x:v>White "REVEALERS" on windshield</x:v>
      </x:c>
      <x:c r="L617" s="82" t="str">
        <x:v>BW</x:v>
      </x:c>
      <x:c r="M617" s="82" t="str">
        <x:v>Unpainted / Metal</x:v>
      </x:c>
      <x:c r="N617" s="82" t="str">
        <x:v>Black tint</x:v>
      </x:c>
      <x:c r="O617" s="82" t="str">
        <x:v>Black</x:v>
      </x:c>
      <x:c r="P617" s="82" t="str">
        <x:v>Malaysia</x:v>
      </x:c>
      <x:c r="Q617" s="82" t="str"/>
      <x:c r="R617" s="82" t="str">
        <x:v>Outra linha</x:v>
      </x:c>
      <x:c r="S617" s="82" t="str">
        <x:v>Rara</x:v>
      </x:c>
      <x:c r="T617" s="82" t="str">
        <x:v>Lançado</x:v>
      </x:c>
      <x:c r="U617" s="82" t="str">
        <x:v>10-Car box set was a prize Individually Baggie within slotted boxed, certificate</x:v>
      </x:c>
      <x:c r="V617" s="80" t="str">
        <x:v>Coleção principal (~1:64)</x:v>
      </x:c>
      <x:c r="W617" s="82" t="str">
        <x:v>https://hotwheels.fandom.com/wiki/Porsche_930</x:v>
      </x:c>
      <x:c r="X617" s="82" t="str">
        <x:v>https://hotwheels.fandom.com/wiki/Porsche_930</x:v>
      </x:c>
    </x:row>
    <x:row r="618">
      <x:c r="A618" s="80" t="str">
        <x:v>Não</x:v>
      </x:c>
      <x:c r="B618" s="80" t="str">
        <x:v>2 — Completar aos poucos</x:v>
      </x:c>
      <x:c r="C618" s="81" t="n">
        <x:v>1993</x:v>
      </x:c>
      <x:c r="D618" s="80" t="str">
        <x:v>Porsche 959</x:v>
      </x:c>
      <x:c r="E618" s="80" t="str">
        <x:v>Porsche 959</x:v>
      </x:c>
      <x:c r="F618" s="82" t="str">
        <x:v>Sto &amp; Go City</x:v>
      </x:c>
      <x:c r="G618" s="80" t="str"/>
      <x:c r="H618" s="80" t="str"/>
      <x:c r="I618" s="83" t="str">
        <x:v>65602</x:v>
      </x:c>
      <x:c r="J618" s="80" t="str">
        <x:v>Red</x:v>
      </x:c>
      <x:c r="K618" s="82" t="str">
        <x:v>No Tampo</x:v>
      </x:c>
      <x:c r="L618" s="82" t="str">
        <x:v>BW</x:v>
      </x:c>
      <x:c r="M618" s="82" t="str">
        <x:v>Unpainted / Polished Metal</x:v>
      </x:c>
      <x:c r="N618" s="82" t="str">
        <x:v>Clear</x:v>
      </x:c>
      <x:c r="O618" s="82" t="str">
        <x:v>Grey</x:v>
      </x:c>
      <x:c r="P618" s="82" t="str">
        <x:v>China</x:v>
      </x:c>
      <x:c r="Q618" s="82" t="str"/>
      <x:c r="R618" s="82" t="str">
        <x:v>Outra linha</x:v>
      </x:c>
      <x:c r="S618" s="82" t="str">
        <x:v>Rara</x:v>
      </x:c>
      <x:c r="T618" s="82" t="str">
        <x:v>Lançado</x:v>
      </x:c>
      <x:c r="U618" s="82" t="str">
        <x:v>Only came in Sto &amp; Go City Playset</x:v>
      </x:c>
      <x:c r="V618" s="80" t="str">
        <x:v>Coleção principal (~1:64)</x:v>
      </x:c>
      <x:c r="W618" s="82" t="str">
        <x:v>https://hotwheels.fandom.com/wiki/Porsche_959</x:v>
      </x:c>
      <x:c r="X618" s="82" t="str">
        <x:v>https://hotwheels.fandom.com/wiki/Porsche_959</x:v>
      </x:c>
    </x:row>
    <x:row r="619">
      <x:c r="A619" s="80" t="str">
        <x:v>Não</x:v>
      </x:c>
      <x:c r="B619" s="80" t="str">
        <x:v>2 — Completar aos poucos</x:v>
      </x:c>
      <x:c r="C619" s="81" t="n">
        <x:v>1993</x:v>
      </x:c>
      <x:c r="D619" s="80" t="str">
        <x:v>Porsche 959</x:v>
      </x:c>
      <x:c r="E619" s="80" t="str">
        <x:v>Porsche 959</x:v>
      </x:c>
      <x:c r="F619" s="82" t="str">
        <x:v>Tattoo Machines</x:v>
      </x:c>
      <x:c r="G619" s="80" t="str"/>
      <x:c r="H619" s="80" t="str"/>
      <x:c r="I619" s="83" t="str">
        <x:v>3493</x:v>
      </x:c>
      <x:c r="J619" s="80" t="str">
        <x:v>Yellow &amp; Light Green</x:v>
      </x:c>
      <x:c r="K619" s="82" t="str">
        <x:v>Red, Black &amp; Blue Eyes</x:v>
      </x:c>
      <x:c r="L619" s="82" t="str">
        <x:v>BW</x:v>
      </x:c>
      <x:c r="M619" s="82" t="str">
        <x:v>Unpainted / Metal</x:v>
      </x:c>
      <x:c r="N619" s="82" t="str">
        <x:v>Clear</x:v>
      </x:c>
      <x:c r="O619" s="82" t="str">
        <x:v>Grey</x:v>
      </x:c>
      <x:c r="P619" s="82" t="str">
        <x:v>China</x:v>
      </x:c>
      <x:c r="Q619" s="82" t="str"/>
      <x:c r="R619" s="82" t="str">
        <x:v>Outra linha</x:v>
      </x:c>
      <x:c r="S619" s="82" t="str">
        <x:v>Rara</x:v>
      </x:c>
      <x:c r="T619" s="82" t="str">
        <x:v>Lançado</x:v>
      </x:c>
      <x:c r="U619" s="82" t="str">
        <x:v>Named Eye-gor</x:v>
      </x:c>
      <x:c r="V619" s="80" t="str">
        <x:v>Coleção principal (~1:64)</x:v>
      </x:c>
      <x:c r="W619" s="82" t="str">
        <x:v>https://hotwheels.fandom.com/wiki/Porsche_959</x:v>
      </x:c>
      <x:c r="X619" s="82" t="str">
        <x:v>https://hotwheels.fandom.com/wiki/Porsche_959</x:v>
      </x:c>
    </x:row>
    <x:row r="620">
      <x:c r="A620" s="80" t="str">
        <x:v>Não</x:v>
      </x:c>
      <x:c r="B620" s="80" t="str">
        <x:v>2 — Completar aos poucos</x:v>
      </x:c>
      <x:c r="C620" s="81" t="n">
        <x:v>1992</x:v>
      </x:c>
      <x:c r="D620" s="80" t="str">
        <x:v>Porsche 959</x:v>
      </x:c>
      <x:c r="E620" s="80" t="str">
        <x:v>Porsche 959</x:v>
      </x:c>
      <x:c r="F620" s="82" t="str">
        <x:v>Automagic</x:v>
      </x:c>
      <x:c r="G620" s="80" t="str"/>
      <x:c r="H620" s="80" t="str"/>
      <x:c r="I620" s="83" t="str">
        <x:v>7276</x:v>
      </x:c>
      <x:c r="J620" s="80" t="str">
        <x:v>Purple to Blue</x:v>
      </x:c>
      <x:c r="K620" s="82" t="str">
        <x:v>Blue center stripes</x:v>
      </x:c>
      <x:c r="L620" s="82" t="str">
        <x:v>BW</x:v>
      </x:c>
      <x:c r="M620" s="82" t="str">
        <x:v>Unpainted / Metal</x:v>
      </x:c>
      <x:c r="N620" s="82" t="str">
        <x:v>Clear</x:v>
      </x:c>
      <x:c r="O620" s="82" t="str"/>
      <x:c r="P620" s="82" t="str"/>
      <x:c r="Q620" s="82" t="str"/>
      <x:c r="R620" s="82" t="str">
        <x:v>Outra linha</x:v>
      </x:c>
      <x:c r="S620" s="82" t="str">
        <x:v>Rara</x:v>
      </x:c>
      <x:c r="T620" s="82" t="str">
        <x:v>Lançado</x:v>
      </x:c>
      <x:c r="U620" s="82" t="str">
        <x:v>International only Baggie carVery hard to find</x:v>
      </x:c>
      <x:c r="V620" s="80" t="str">
        <x:v>Coleção principal (~1:64)</x:v>
      </x:c>
      <x:c r="W620" s="82" t="str">
        <x:v>https://hotwheels.fandom.com/wiki/Porsche_959</x:v>
      </x:c>
      <x:c r="X620" s="82" t="str">
        <x:v>https://hotwheels.fandom.com/wiki/Porsche_959</x:v>
      </x:c>
    </x:row>
    <x:row r="621">
      <x:c r="A621" s="80" t="str">
        <x:v>Não</x:v>
      </x:c>
      <x:c r="B621" s="80" t="str">
        <x:v>2 — Completar aos poucos</x:v>
      </x:c>
      <x:c r="C621" s="81" t="n">
        <x:v>1992</x:v>
      </x:c>
      <x:c r="D621" s="80" t="str">
        <x:v>Porsche 959</x:v>
      </x:c>
      <x:c r="E621" s="80" t="str">
        <x:v>Porsche 959</x:v>
      </x:c>
      <x:c r="F621" s="82" t="str">
        <x:v>Gleam Team, Mainline</x:v>
      </x:c>
      <x:c r="G621" s="80" t="str"/>
      <x:c r="H621" s="80" t="str">
        <x:v>193</x:v>
      </x:c>
      <x:c r="I621" s="83" t="str">
        <x:v>1794</x:v>
      </x:c>
      <x:c r="J621" s="80" t="str">
        <x:v>Textured Chrome</x:v>
      </x:c>
      <x:c r="K621" s="82" t="str">
        <x:v>No Tampo</x:v>
      </x:c>
      <x:c r="L621" s="82" t="str">
        <x:v>UH</x:v>
      </x:c>
      <x:c r="M621" s="82" t="str">
        <x:v>Unpainted / Metal</x:v>
      </x:c>
      <x:c r="N621" s="82" t="str">
        <x:v>Purple Tinted</x:v>
      </x:c>
      <x:c r="O621" s="82" t="str">
        <x:v>Black</x:v>
      </x:c>
      <x:c r="P621" s="82" t="str">
        <x:v>Malaysia</x:v>
      </x:c>
      <x:c r="Q621" s="82" t="str"/>
      <x:c r="R621" s="82" t="str">
        <x:v>Mainline</x:v>
      </x:c>
      <x:c r="S621" s="82" t="str">
        <x:v>Rara</x:v>
      </x:c>
      <x:c r="T621" s="82" t="str">
        <x:v>Lançado</x:v>
      </x:c>
      <x:c r="U621" s="82" t="str">
        <x:v>plastic body</x:v>
      </x:c>
      <x:c r="V621" s="80" t="str">
        <x:v>Coleção principal (~1:64)</x:v>
      </x:c>
      <x:c r="W621" s="82" t="str">
        <x:v>https://hotwheels.fandom.com/wiki/Porsche_959</x:v>
      </x:c>
      <x:c r="X621" s="82" t="str">
        <x:v>https://hotwheels.fandom.com/wiki/Porsche_959</x:v>
      </x:c>
    </x:row>
    <x:row r="622">
      <x:c r="A622" s="80" t="str">
        <x:v>Não</x:v>
      </x:c>
      <x:c r="B622" s="80" t="str">
        <x:v>2 — Completar aos poucos</x:v>
      </x:c>
      <x:c r="C622" s="81" t="n">
        <x:v>1992</x:v>
      </x:c>
      <x:c r="D622" s="80" t="str">
        <x:v>Porsche 959</x:v>
      </x:c>
      <x:c r="E622" s="80" t="str">
        <x:v>Porsche 959</x:v>
      </x:c>
      <x:c r="F622" s="82" t="str">
        <x:v>Gleam Team, Mainline</x:v>
      </x:c>
      <x:c r="G622" s="80" t="str"/>
      <x:c r="H622" s="80" t="str">
        <x:v>193</x:v>
      </x:c>
      <x:c r="I622" s="83" t="str">
        <x:v>1794</x:v>
      </x:c>
      <x:c r="J622" s="80" t="str">
        <x:v>Textured Pink Chrome</x:v>
      </x:c>
      <x:c r="K622" s="82" t="str">
        <x:v>No Tampo</x:v>
      </x:c>
      <x:c r="L622" s="82" t="str">
        <x:v>UH</x:v>
      </x:c>
      <x:c r="M622" s="82" t="str">
        <x:v>Unpainted / Metal</x:v>
      </x:c>
      <x:c r="N622" s="82" t="str">
        <x:v>Purple Tinted</x:v>
      </x:c>
      <x:c r="O622" s="82" t="str">
        <x:v>Black</x:v>
      </x:c>
      <x:c r="P622" s="82" t="str">
        <x:v>Malaysia</x:v>
      </x:c>
      <x:c r="Q622" s="82" t="str"/>
      <x:c r="R622" s="82" t="str">
        <x:v>Mainline</x:v>
      </x:c>
      <x:c r="S622" s="82" t="str">
        <x:v>Rara</x:v>
      </x:c>
      <x:c r="T622" s="82" t="str">
        <x:v>Lançado</x:v>
      </x:c>
      <x:c r="U622" s="82" t="str">
        <x:v>Plastic Body</x:v>
      </x:c>
      <x:c r="V622" s="80" t="str">
        <x:v>Coleção principal (~1:64)</x:v>
      </x:c>
      <x:c r="W622" s="82" t="str">
        <x:v>https://hotwheels.fandom.com/wiki/Porsche_959</x:v>
      </x:c>
      <x:c r="X622" s="82" t="str">
        <x:v>https://hotwheels.fandom.com/wiki/Porsche_959</x:v>
      </x:c>
    </x:row>
    <x:row r="623">
      <x:c r="A623" s="80" t="str">
        <x:v>Não</x:v>
      </x:c>
      <x:c r="B623" s="80" t="str">
        <x:v>2 — Completar aos poucos</x:v>
      </x:c>
      <x:c r="C623" s="81" t="n">
        <x:v>1992</x:v>
      </x:c>
      <x:c r="D623" s="80" t="str">
        <x:v>Porsche 959</x:v>
      </x:c>
      <x:c r="E623" s="80" t="str">
        <x:v>Porsche 959</x:v>
      </x:c>
      <x:c r="F623" s="82" t="str">
        <x:v>Mainline</x:v>
      </x:c>
      <x:c r="G623" s="80" t="str"/>
      <x:c r="H623" s="80" t="str">
        <x:v>179</x:v>
      </x:c>
      <x:c r="I623" s="83" t="str">
        <x:v>0463</x:v>
      </x:c>
      <x:c r="J623" s="80" t="str">
        <x:v>Met. Purple</x:v>
      </x:c>
      <x:c r="K623" s="82" t="str">
        <x:v>Grey, Pink &amp; Yellow "PORSCHE" "5"</x:v>
      </x:c>
      <x:c r="L623" s="82" t="str">
        <x:v>HO</x:v>
      </x:c>
      <x:c r="M623" s="82" t="str">
        <x:v>Unpainted / Metal</x:v>
      </x:c>
      <x:c r="N623" s="82" t="str">
        <x:v>Chrome</x:v>
      </x:c>
      <x:c r="O623" s="82" t="str">
        <x:v>Unseen</x:v>
      </x:c>
      <x:c r="P623" s="82" t="str">
        <x:v>Malaysia</x:v>
      </x:c>
      <x:c r="Q623" s="82" t="str"/>
      <x:c r="R623" s="82" t="str">
        <x:v>Mainline</x:v>
      </x:c>
      <x:c r="S623" s="82" t="str">
        <x:v>Rara</x:v>
      </x:c>
      <x:c r="T623" s="82" t="str">
        <x:v>Lançado</x:v>
      </x:c>
      <x:c r="U623" s="82" t="str"/>
      <x:c r="V623" s="80" t="str">
        <x:v>Coleção principal (~1:64)</x:v>
      </x:c>
      <x:c r="W623" s="82" t="str">
        <x:v>https://hotwheels.fandom.com/wiki/Porsche_959</x:v>
      </x:c>
      <x:c r="X623" s="82" t="str">
        <x:v>https://hotwheels.fandom.com/wiki/Porsche_959</x:v>
      </x:c>
    </x:row>
    <x:row r="624">
      <x:c r="A624" s="80" t="str">
        <x:v>Não</x:v>
      </x:c>
      <x:c r="B624" s="80" t="str">
        <x:v>2 — Completar aos poucos</x:v>
      </x:c>
      <x:c r="C624" s="81" t="n">
        <x:v>1992</x:v>
      </x:c>
      <x:c r="D624" s="80" t="str">
        <x:v>Porsche 959</x:v>
      </x:c>
      <x:c r="E624" s="80" t="str">
        <x:v>Porsche 959</x:v>
      </x:c>
      <x:c r="F624" s="82" t="str">
        <x:v>Mainline</x:v>
      </x:c>
      <x:c r="G624" s="80" t="str"/>
      <x:c r="H624" s="80" t="str">
        <x:v>179</x:v>
      </x:c>
      <x:c r="I624" s="83" t="str">
        <x:v>0463</x:v>
      </x:c>
      <x:c r="J624" s="80" t="str">
        <x:v>Met. Purple</x:v>
      </x:c>
      <x:c r="K624" s="82" t="str">
        <x:v>Grey, Pink &amp; Yellow "PORSCHE" "5"</x:v>
      </x:c>
      <x:c r="L624" s="82" t="str">
        <x:v>UH</x:v>
      </x:c>
      <x:c r="M624" s="82" t="str">
        <x:v>Unpainted / Metal</x:v>
      </x:c>
      <x:c r="N624" s="82" t="str">
        <x:v>Chrome</x:v>
      </x:c>
      <x:c r="O624" s="82" t="str">
        <x:v>Unseen</x:v>
      </x:c>
      <x:c r="P624" s="82" t="str">
        <x:v>Malaysia</x:v>
      </x:c>
      <x:c r="Q624" s="82" t="str"/>
      <x:c r="R624" s="82" t="str">
        <x:v>Mainline</x:v>
      </x:c>
      <x:c r="S624" s="82" t="str">
        <x:v>Rara</x:v>
      </x:c>
      <x:c r="T624" s="82" t="str">
        <x:v>Lançado</x:v>
      </x:c>
      <x:c r="U624" s="82" t="str"/>
      <x:c r="V624" s="80" t="str">
        <x:v>Coleção principal (~1:64)</x:v>
      </x:c>
      <x:c r="W624" s="82" t="str">
        <x:v>https://hotwheels.fandom.com/wiki/Porsche_959</x:v>
      </x:c>
      <x:c r="X624" s="82" t="str">
        <x:v>https://hotwheels.fandom.com/wiki/Porsche_959</x:v>
      </x:c>
    </x:row>
    <x:row r="625">
      <x:c r="A625" s="80" t="str">
        <x:v>Não</x:v>
      </x:c>
      <x:c r="B625" s="80" t="str">
        <x:v>2 — Completar aos poucos</x:v>
      </x:c>
      <x:c r="C625" s="81" t="n">
        <x:v>1992</x:v>
      </x:c>
      <x:c r="D625" s="80" t="str">
        <x:v>Porsche 959</x:v>
      </x:c>
      <x:c r="E625" s="80" t="str">
        <x:v>Porsche 959</x:v>
      </x:c>
      <x:c r="F625" s="82" t="str">
        <x:v>Super Sportscars 5-Pack</x:v>
      </x:c>
      <x:c r="G625" s="80" t="str"/>
      <x:c r="H625" s="80" t="str"/>
      <x:c r="I625" s="83" t="str"/>
      <x:c r="J625" s="80" t="str"/>
      <x:c r="K625" s="82" t="str"/>
      <x:c r="L625" s="82" t="str"/>
      <x:c r="M625" s="82" t="str"/>
      <x:c r="N625" s="82" t="str"/>
      <x:c r="O625" s="82" t="str"/>
      <x:c r="P625" s="82" t="str">
        <x:v>Malaysia</x:v>
      </x:c>
      <x:c r="Q625" s="82" t="str"/>
      <x:c r="R625" s="82" t="str">
        <x:v>Temática / multipack</x:v>
      </x:c>
      <x:c r="S625" s="82" t="str">
        <x:v>Rara</x:v>
      </x:c>
      <x:c r="T625" s="82" t="str">
        <x:v>Lançado</x:v>
      </x:c>
      <x:c r="U625" s="82" t="str"/>
      <x:c r="V625" s="80" t="str">
        <x:v>Coleção principal (~1:64)</x:v>
      </x:c>
      <x:c r="W625" s="82" t="str">
        <x:v>https://hotwheels.fandom.com/wiki/Porsche_959</x:v>
      </x:c>
      <x:c r="X625" s="82" t="str">
        <x:v>https://hotwheels.fandom.com/wiki/Porsche_959</x:v>
      </x:c>
    </x:row>
    <x:row r="626">
      <x:c r="A626" s="80" t="str">
        <x:v>Não</x:v>
      </x:c>
      <x:c r="B626" s="80" t="str">
        <x:v>2 — Completar aos poucos</x:v>
      </x:c>
      <x:c r="C626" s="81" t="n">
        <x:v>1991</x:v>
      </x:c>
      <x:c r="D626" s="80" t="str">
        <x:v>P-911</x:v>
      </x:c>
      <x:c r="E626" s="80" t="str">
        <x:v>P-911</x:v>
      </x:c>
      <x:c r="F626" s="82" t="str">
        <x:v>California Custom</x:v>
      </x:c>
      <x:c r="G626" s="80" t="str"/>
      <x:c r="H626" s="80" t="str"/>
      <x:c r="I626" s="83" t="str"/>
      <x:c r="J626" s="80" t="str">
        <x:v>Fluorescent Pink</x:v>
      </x:c>
      <x:c r="K626" s="82" t="str">
        <x:v>Green, Blue, with Black confetti</x:v>
      </x:c>
      <x:c r="L626" s="82" t="str">
        <x:v>Yellow TW</x:v>
      </x:c>
      <x:c r="M626" s="82" t="str">
        <x:v>Unpainted / Metal</x:v>
      </x:c>
      <x:c r="N626" s="82" t="str">
        <x:v>Smoke tint</x:v>
      </x:c>
      <x:c r="O626" s="82" t="str">
        <x:v>Black</x:v>
      </x:c>
      <x:c r="P626" s="82" t="str">
        <x:v>Malaysia</x:v>
      </x:c>
      <x:c r="Q626" s="82" t="str"/>
      <x:c r="R626" s="82" t="str">
        <x:v>Outra linha</x:v>
      </x:c>
      <x:c r="S626" s="82" t="str">
        <x:v>Rara</x:v>
      </x:c>
      <x:c r="T626" s="82" t="str">
        <x:v>Lançado</x:v>
      </x:c>
      <x:c r="U626" s="82" t="str"/>
      <x:c r="V626" s="80" t="str">
        <x:v>Coleção principal (~1:64)</x:v>
      </x:c>
      <x:c r="W626" s="82" t="str">
        <x:v>https://hotwheels.fandom.com/wiki/P-911</x:v>
      </x:c>
      <x:c r="X626" s="82" t="str">
        <x:v>https://hotwheels.fandom.com/wiki/P-911</x:v>
      </x:c>
    </x:row>
    <x:row r="627">
      <x:c r="A627" s="80" t="str">
        <x:v>Não</x:v>
      </x:c>
      <x:c r="B627" s="80" t="str">
        <x:v>2 — Completar aos poucos</x:v>
      </x:c>
      <x:c r="C627" s="81" t="n">
        <x:v>1991</x:v>
      </x:c>
      <x:c r="D627" s="80" t="str">
        <x:v>P-911</x:v>
      </x:c>
      <x:c r="E627" s="80" t="str">
        <x:v>P-911</x:v>
      </x:c>
      <x:c r="F627" s="82" t="str">
        <x:v>California Custom</x:v>
      </x:c>
      <x:c r="G627" s="80" t="str"/>
      <x:c r="H627" s="80" t="str"/>
      <x:c r="I627" s="83" t="str"/>
      <x:c r="J627" s="80" t="str">
        <x:v>Fluorescent Pink</x:v>
      </x:c>
      <x:c r="K627" s="82" t="str">
        <x:v>Green, Blue, with Black confetti</x:v>
      </x:c>
      <x:c r="L627" s="82" t="str">
        <x:v>Lime TW</x:v>
      </x:c>
      <x:c r="M627" s="82" t="str">
        <x:v>Unpainted / Metal</x:v>
      </x:c>
      <x:c r="N627" s="82" t="str">
        <x:v>Smoke tint</x:v>
      </x:c>
      <x:c r="O627" s="82" t="str">
        <x:v>Black</x:v>
      </x:c>
      <x:c r="P627" s="82" t="str">
        <x:v>Malaysia</x:v>
      </x:c>
      <x:c r="Q627" s="82" t="str"/>
      <x:c r="R627" s="82" t="str">
        <x:v>Outra linha</x:v>
      </x:c>
      <x:c r="S627" s="82" t="str">
        <x:v>Rara</x:v>
      </x:c>
      <x:c r="T627" s="82" t="str">
        <x:v>Lançado</x:v>
      </x:c>
      <x:c r="U627" s="82" t="str"/>
      <x:c r="V627" s="80" t="str">
        <x:v>Coleção principal (~1:64)</x:v>
      </x:c>
      <x:c r="W627" s="82" t="str">
        <x:v>https://hotwheels.fandom.com/wiki/P-911</x:v>
      </x:c>
      <x:c r="X627" s="82" t="str">
        <x:v>https://hotwheels.fandom.com/wiki/P-911</x:v>
      </x:c>
    </x:row>
    <x:row r="628">
      <x:c r="A628" s="80" t="str">
        <x:v>Não</x:v>
      </x:c>
      <x:c r="B628" s="80" t="str">
        <x:v>2 — Completar aos poucos</x:v>
      </x:c>
      <x:c r="C628" s="81" t="n">
        <x:v>1991</x:v>
      </x:c>
      <x:c r="D628" s="80" t="str">
        <x:v>P-911</x:v>
      </x:c>
      <x:c r="E628" s="80" t="str">
        <x:v>P-911</x:v>
      </x:c>
      <x:c r="F628" s="82" t="str">
        <x:v>California Custom</x:v>
      </x:c>
      <x:c r="G628" s="80" t="str"/>
      <x:c r="H628" s="80" t="str"/>
      <x:c r="I628" s="83" t="str"/>
      <x:c r="J628" s="80" t="str">
        <x:v>Fluorescent Pink</x:v>
      </x:c>
      <x:c r="K628" s="82" t="str">
        <x:v>Green, Blue, with Black confetti</x:v>
      </x:c>
      <x:c r="L628" s="82" t="str">
        <x:v>TW</x:v>
      </x:c>
      <x:c r="M628" s="82" t="str">
        <x:v>Unpainted / Metal</x:v>
      </x:c>
      <x:c r="N628" s="82" t="str">
        <x:v>Smoke tint</x:v>
      </x:c>
      <x:c r="O628" s="82" t="str">
        <x:v>Black</x:v>
      </x:c>
      <x:c r="P628" s="82" t="str">
        <x:v>Malaysia</x:v>
      </x:c>
      <x:c r="Q628" s="82" t="str"/>
      <x:c r="R628" s="82" t="str">
        <x:v>Outra linha</x:v>
      </x:c>
      <x:c r="S628" s="82" t="str">
        <x:v>Rara</x:v>
      </x:c>
      <x:c r="T628" s="82" t="str">
        <x:v>Lançado</x:v>
      </x:c>
      <x:c r="U628" s="82" t="str"/>
      <x:c r="V628" s="80" t="str">
        <x:v>Coleção principal (~1:64)</x:v>
      </x:c>
      <x:c r="W628" s="82" t="str">
        <x:v>https://hotwheels.fandom.com/wiki/P-911</x:v>
      </x:c>
      <x:c r="X628" s="82" t="str">
        <x:v>https://hotwheels.fandom.com/wiki/P-911</x:v>
      </x:c>
    </x:row>
    <x:row r="629">
      <x:c r="A629" s="80" t="str">
        <x:v>Não</x:v>
      </x:c>
      <x:c r="B629" s="80" t="str">
        <x:v>2 — Completar aos poucos</x:v>
      </x:c>
      <x:c r="C629" s="81" t="n">
        <x:v>1991</x:v>
      </x:c>
      <x:c r="D629" s="80" t="str">
        <x:v>P-911</x:v>
      </x:c>
      <x:c r="E629" s="80" t="str">
        <x:v>P-911</x:v>
      </x:c>
      <x:c r="F629" s="82" t="str">
        <x:v>California Custom</x:v>
      </x:c>
      <x:c r="G629" s="80" t="str"/>
      <x:c r="H629" s="80" t="str"/>
      <x:c r="I629" s="83" t="str"/>
      <x:c r="J629" s="80" t="str">
        <x:v>Fluorescent Pink</x:v>
      </x:c>
      <x:c r="K629" s="82" t="str">
        <x:v>Green, Blue, with Black confetti</x:v>
      </x:c>
      <x:c r="L629" s="82" t="str">
        <x:v>TW Yellow</x:v>
      </x:c>
      <x:c r="M629" s="82" t="str">
        <x:v>Unpainted / / / Metal</x:v>
      </x:c>
      <x:c r="N629" s="82" t="str">
        <x:v>Black tint</x:v>
      </x:c>
      <x:c r="O629" s="82" t="str">
        <x:v>Black</x:v>
      </x:c>
      <x:c r="P629" s="82" t="str">
        <x:v>Malaysia</x:v>
      </x:c>
      <x:c r="Q629" s="82" t="str"/>
      <x:c r="R629" s="82" t="str">
        <x:v>Outra linha</x:v>
      </x:c>
      <x:c r="S629" s="82" t="str">
        <x:v>Rara</x:v>
      </x:c>
      <x:c r="T629" s="82" t="str">
        <x:v>Lançado</x:v>
      </x:c>
      <x:c r="U629" s="82" t="str"/>
      <x:c r="V629" s="80" t="str">
        <x:v>Coleção principal (~1:64)</x:v>
      </x:c>
      <x:c r="W629" s="82" t="str">
        <x:v>https://hotwheels.fandom.com/wiki/P-911</x:v>
      </x:c>
      <x:c r="X629" s="82" t="str">
        <x:v>https://hotwheels.fandom.com/wiki/P-911</x:v>
      </x:c>
    </x:row>
    <x:row r="630">
      <x:c r="A630" s="80" t="str">
        <x:v>Não</x:v>
      </x:c>
      <x:c r="B630" s="80" t="str">
        <x:v>2 — Completar aos poucos</x:v>
      </x:c>
      <x:c r="C630" s="81" t="n">
        <x:v>1991</x:v>
      </x:c>
      <x:c r="D630" s="80" t="str">
        <x:v>P-911</x:v>
      </x:c>
      <x:c r="E630" s="80" t="str">
        <x:v>P-911</x:v>
      </x:c>
      <x:c r="F630" s="82" t="str">
        <x:v>California Custom</x:v>
      </x:c>
      <x:c r="G630" s="80" t="str"/>
      <x:c r="H630" s="80" t="str"/>
      <x:c r="I630" s="83" t="str"/>
      <x:c r="J630" s="80" t="str">
        <x:v>Fluorescent Pink</x:v>
      </x:c>
      <x:c r="K630" s="82" t="str">
        <x:v>Green, Blue, with Black confetti</x:v>
      </x:c>
      <x:c r="L630" s="82" t="str">
        <x:v>TW Lime</x:v>
      </x:c>
      <x:c r="M630" s="82" t="str">
        <x:v>Unpainted / / / Metal</x:v>
      </x:c>
      <x:c r="N630" s="82" t="str">
        <x:v>Black tint</x:v>
      </x:c>
      <x:c r="O630" s="82" t="str">
        <x:v>Black</x:v>
      </x:c>
      <x:c r="P630" s="82" t="str">
        <x:v>Malaysia</x:v>
      </x:c>
      <x:c r="Q630" s="82" t="str"/>
      <x:c r="R630" s="82" t="str">
        <x:v>Outra linha</x:v>
      </x:c>
      <x:c r="S630" s="82" t="str">
        <x:v>Rara</x:v>
      </x:c>
      <x:c r="T630" s="82" t="str">
        <x:v>Lançado</x:v>
      </x:c>
      <x:c r="U630" s="82" t="str"/>
      <x:c r="V630" s="80" t="str">
        <x:v>Coleção principal (~1:64)</x:v>
      </x:c>
      <x:c r="W630" s="82" t="str">
        <x:v>https://hotwheels.fandom.com/wiki/P-911</x:v>
      </x:c>
      <x:c r="X630" s="82" t="str">
        <x:v>https://hotwheels.fandom.com/wiki/P-911</x:v>
      </x:c>
    </x:row>
    <x:row r="631">
      <x:c r="A631" s="80" t="str">
        <x:v>Não</x:v>
      </x:c>
      <x:c r="B631" s="80" t="str">
        <x:v>2 — Completar aos poucos</x:v>
      </x:c>
      <x:c r="C631" s="81" t="n">
        <x:v>1991</x:v>
      </x:c>
      <x:c r="D631" s="80" t="str">
        <x:v>P-911</x:v>
      </x:c>
      <x:c r="E631" s="80" t="str">
        <x:v>P-911</x:v>
      </x:c>
      <x:c r="F631" s="82" t="str">
        <x:v>California Custom</x:v>
      </x:c>
      <x:c r="G631" s="80" t="str"/>
      <x:c r="H631" s="80" t="str"/>
      <x:c r="I631" s="83" t="str"/>
      <x:c r="J631" s="80" t="str">
        <x:v>Fluorescent Pink</x:v>
      </x:c>
      <x:c r="K631" s="82" t="str">
        <x:v>Green, Blue, with Black confetti</x:v>
      </x:c>
      <x:c r="L631" s="82" t="str">
        <x:v>TW Chrome</x:v>
      </x:c>
      <x:c r="M631" s="82" t="str">
        <x:v>Unpainted / / / Metal</x:v>
      </x:c>
      <x:c r="N631" s="82" t="str">
        <x:v>Black tint</x:v>
      </x:c>
      <x:c r="O631" s="82" t="str">
        <x:v>Black</x:v>
      </x:c>
      <x:c r="P631" s="82" t="str">
        <x:v>Malaysia</x:v>
      </x:c>
      <x:c r="Q631" s="82" t="str"/>
      <x:c r="R631" s="82" t="str">
        <x:v>Outra linha</x:v>
      </x:c>
      <x:c r="S631" s="82" t="str">
        <x:v>Rara</x:v>
      </x:c>
      <x:c r="T631" s="82" t="str">
        <x:v>Lançado</x:v>
      </x:c>
      <x:c r="U631" s="82" t="str"/>
      <x:c r="V631" s="80" t="str">
        <x:v>Coleção principal (~1:64)</x:v>
      </x:c>
      <x:c r="W631" s="82" t="str">
        <x:v>https://hotwheels.fandom.com/wiki/P-911</x:v>
      </x:c>
      <x:c r="X631" s="82" t="str">
        <x:v>https://hotwheels.fandom.com/wiki/P-911</x:v>
      </x:c>
    </x:row>
    <x:row r="632">
      <x:c r="A632" s="80" t="str">
        <x:v>Não</x:v>
      </x:c>
      <x:c r="B632" s="80" t="str">
        <x:v>2 — Completar aos poucos</x:v>
      </x:c>
      <x:c r="C632" s="81" t="n">
        <x:v>1991</x:v>
      </x:c>
      <x:c r="D632" s="80" t="str">
        <x:v>P-911</x:v>
      </x:c>
      <x:c r="E632" s="80" t="str">
        <x:v>P-911</x:v>
      </x:c>
      <x:c r="F632" s="82" t="str">
        <x:v>California Custom</x:v>
      </x:c>
      <x:c r="G632" s="80" t="str"/>
      <x:c r="H632" s="80" t="str"/>
      <x:c r="I632" s="83" t="str"/>
      <x:c r="J632" s="80" t="str">
        <x:v>Pink Chrome</x:v>
      </x:c>
      <x:c r="K632" s="82" t="str">
        <x:v>Yellow, Red &amp; Blue confetti</x:v>
      </x:c>
      <x:c r="L632" s="82" t="str">
        <x:v>Yellow TW</x:v>
      </x:c>
      <x:c r="M632" s="82" t="str">
        <x:v>Unpainted / Metal</x:v>
      </x:c>
      <x:c r="N632" s="82" t="str">
        <x:v>Smoke tint</x:v>
      </x:c>
      <x:c r="O632" s="82" t="str">
        <x:v>Black</x:v>
      </x:c>
      <x:c r="P632" s="82" t="str">
        <x:v>Malaysia</x:v>
      </x:c>
      <x:c r="Q632" s="82" t="str"/>
      <x:c r="R632" s="82" t="str">
        <x:v>Outra linha</x:v>
      </x:c>
      <x:c r="S632" s="82" t="str">
        <x:v>Rara</x:v>
      </x:c>
      <x:c r="T632" s="82" t="str">
        <x:v>Lançado</x:v>
      </x:c>
      <x:c r="U632" s="82" t="str"/>
      <x:c r="V632" s="80" t="str">
        <x:v>Coleção principal (~1:64)</x:v>
      </x:c>
      <x:c r="W632" s="82" t="str">
        <x:v>https://hotwheels.fandom.com/wiki/P-911</x:v>
      </x:c>
      <x:c r="X632" s="82" t="str">
        <x:v>https://hotwheels.fandom.com/wiki/P-911</x:v>
      </x:c>
    </x:row>
    <x:row r="633">
      <x:c r="A633" s="80" t="str">
        <x:v>Não</x:v>
      </x:c>
      <x:c r="B633" s="80" t="str">
        <x:v>2 — Completar aos poucos</x:v>
      </x:c>
      <x:c r="C633" s="81" t="n">
        <x:v>1991</x:v>
      </x:c>
      <x:c r="D633" s="80" t="str">
        <x:v>P-911</x:v>
      </x:c>
      <x:c r="E633" s="80" t="str">
        <x:v>P-911</x:v>
      </x:c>
      <x:c r="F633" s="82" t="str">
        <x:v>California Custom</x:v>
      </x:c>
      <x:c r="G633" s="80" t="str"/>
      <x:c r="H633" s="80" t="str"/>
      <x:c r="I633" s="83" t="str"/>
      <x:c r="J633" s="80" t="str">
        <x:v>Pink Chrome</x:v>
      </x:c>
      <x:c r="K633" s="82" t="str">
        <x:v>Yellow, Red &amp; Blue confetti</x:v>
      </x:c>
      <x:c r="L633" s="82" t="str">
        <x:v>Lime TW</x:v>
      </x:c>
      <x:c r="M633" s="82" t="str">
        <x:v>Unpainted / Metal</x:v>
      </x:c>
      <x:c r="N633" s="82" t="str">
        <x:v>Smoke tint</x:v>
      </x:c>
      <x:c r="O633" s="82" t="str">
        <x:v>Black</x:v>
      </x:c>
      <x:c r="P633" s="82" t="str">
        <x:v>Malaysia</x:v>
      </x:c>
      <x:c r="Q633" s="82" t="str"/>
      <x:c r="R633" s="82" t="str">
        <x:v>Outra linha</x:v>
      </x:c>
      <x:c r="S633" s="82" t="str">
        <x:v>Rara</x:v>
      </x:c>
      <x:c r="T633" s="82" t="str">
        <x:v>Lançado</x:v>
      </x:c>
      <x:c r="U633" s="82" t="str"/>
      <x:c r="V633" s="80" t="str">
        <x:v>Coleção principal (~1:64)</x:v>
      </x:c>
      <x:c r="W633" s="82" t="str">
        <x:v>https://hotwheels.fandom.com/wiki/P-911</x:v>
      </x:c>
      <x:c r="X633" s="82" t="str">
        <x:v>https://hotwheels.fandom.com/wiki/P-911</x:v>
      </x:c>
    </x:row>
    <x:row r="634">
      <x:c r="A634" s="80" t="str">
        <x:v>Não</x:v>
      </x:c>
      <x:c r="B634" s="80" t="str">
        <x:v>2 — Completar aos poucos</x:v>
      </x:c>
      <x:c r="C634" s="81" t="n">
        <x:v>1991</x:v>
      </x:c>
      <x:c r="D634" s="80" t="str">
        <x:v>P-911</x:v>
      </x:c>
      <x:c r="E634" s="80" t="str">
        <x:v>P-911</x:v>
      </x:c>
      <x:c r="F634" s="82" t="str">
        <x:v>California Custom</x:v>
      </x:c>
      <x:c r="G634" s="80" t="str"/>
      <x:c r="H634" s="80" t="str"/>
      <x:c r="I634" s="83" t="str"/>
      <x:c r="J634" s="80" t="str">
        <x:v>Pink Chrome</x:v>
      </x:c>
      <x:c r="K634" s="82" t="str">
        <x:v>Yellow, Red &amp; Blue confetti</x:v>
      </x:c>
      <x:c r="L634" s="82" t="str">
        <x:v>TW Yellow</x:v>
      </x:c>
      <x:c r="M634" s="82" t="str">
        <x:v>Unpainted / / / Metal</x:v>
      </x:c>
      <x:c r="N634" s="82" t="str">
        <x:v>Black tint</x:v>
      </x:c>
      <x:c r="O634" s="82" t="str">
        <x:v>Black</x:v>
      </x:c>
      <x:c r="P634" s="82" t="str">
        <x:v>Malaysia</x:v>
      </x:c>
      <x:c r="Q634" s="82" t="str"/>
      <x:c r="R634" s="82" t="str">
        <x:v>Outra linha</x:v>
      </x:c>
      <x:c r="S634" s="82" t="str">
        <x:v>Rara</x:v>
      </x:c>
      <x:c r="T634" s="82" t="str">
        <x:v>Lançado</x:v>
      </x:c>
      <x:c r="U634" s="82" t="str"/>
      <x:c r="V634" s="80" t="str">
        <x:v>Coleção principal (~1:64)</x:v>
      </x:c>
      <x:c r="W634" s="82" t="str">
        <x:v>https://hotwheels.fandom.com/wiki/P-911</x:v>
      </x:c>
      <x:c r="X634" s="82" t="str">
        <x:v>https://hotwheels.fandom.com/wiki/P-911</x:v>
      </x:c>
    </x:row>
    <x:row r="635">
      <x:c r="A635" s="80" t="str">
        <x:v>Não</x:v>
      </x:c>
      <x:c r="B635" s="80" t="str">
        <x:v>2 — Completar aos poucos</x:v>
      </x:c>
      <x:c r="C635" s="81" t="n">
        <x:v>1991</x:v>
      </x:c>
      <x:c r="D635" s="80" t="str">
        <x:v>P-911</x:v>
      </x:c>
      <x:c r="E635" s="80" t="str">
        <x:v>P-911</x:v>
      </x:c>
      <x:c r="F635" s="82" t="str">
        <x:v>California Custom</x:v>
      </x:c>
      <x:c r="G635" s="80" t="str"/>
      <x:c r="H635" s="80" t="str"/>
      <x:c r="I635" s="83" t="str"/>
      <x:c r="J635" s="80" t="str">
        <x:v>Pink Chrome</x:v>
      </x:c>
      <x:c r="K635" s="82" t="str">
        <x:v>Yellow, Red &amp; Blue confetti</x:v>
      </x:c>
      <x:c r="L635" s="82" t="str">
        <x:v>TW Lime</x:v>
      </x:c>
      <x:c r="M635" s="82" t="str">
        <x:v>Unpainted / / / Metal</x:v>
      </x:c>
      <x:c r="N635" s="82" t="str">
        <x:v>Black tint</x:v>
      </x:c>
      <x:c r="O635" s="82" t="str">
        <x:v>Black</x:v>
      </x:c>
      <x:c r="P635" s="82" t="str">
        <x:v>Malaysia</x:v>
      </x:c>
      <x:c r="Q635" s="82" t="str"/>
      <x:c r="R635" s="82" t="str">
        <x:v>Outra linha</x:v>
      </x:c>
      <x:c r="S635" s="82" t="str">
        <x:v>Rara</x:v>
      </x:c>
      <x:c r="T635" s="82" t="str">
        <x:v>Lançado</x:v>
      </x:c>
      <x:c r="U635" s="82" t="str"/>
      <x:c r="V635" s="80" t="str">
        <x:v>Coleção principal (~1:64)</x:v>
      </x:c>
      <x:c r="W635" s="82" t="str">
        <x:v>https://hotwheels.fandom.com/wiki/P-911</x:v>
      </x:c>
      <x:c r="X635" s="82" t="str">
        <x:v>https://hotwheels.fandom.com/wiki/P-911</x:v>
      </x:c>
    </x:row>
    <x:row r="636">
      <x:c r="A636" s="80" t="str">
        <x:v>Não</x:v>
      </x:c>
      <x:c r="B636" s="80" t="str">
        <x:v>2 — Completar aos poucos</x:v>
      </x:c>
      <x:c r="C636" s="81" t="n">
        <x:v>1991</x:v>
      </x:c>
      <x:c r="D636" s="80" t="str">
        <x:v>Porsche 930</x:v>
      </x:c>
      <x:c r="E636" s="80" t="str">
        <x:v>Porsche 930</x:v>
      </x:c>
      <x:c r="F636" s="82" t="str">
        <x:v>Automagic Lava</x:v>
      </x:c>
      <x:c r="G636" s="80" t="str"/>
      <x:c r="H636" s="80" t="str"/>
      <x:c r="I636" s="83" t="str">
        <x:v>2891</x:v>
      </x:c>
      <x:c r="J636" s="80" t="str">
        <x:v>Yellow</x:v>
      </x:c>
      <x:c r="K636" s="82" t="str">
        <x:v>Yellow, Black, "TURBO", black "PORSCHE 930"</x:v>
      </x:c>
      <x:c r="L636" s="82" t="str">
        <x:v>BW</x:v>
      </x:c>
      <x:c r="M636" s="82" t="str">
        <x:v>Unpainted / Metal</x:v>
      </x:c>
      <x:c r="N636" s="82" t="str">
        <x:v>Black tint</x:v>
      </x:c>
      <x:c r="O636" s="82" t="str">
        <x:v>Black</x:v>
      </x:c>
      <x:c r="P636" s="82" t="str">
        <x:v>Malaysia</x:v>
      </x:c>
      <x:c r="Q636" s="82" t="str"/>
      <x:c r="R636" s="82" t="str">
        <x:v>Outra linha</x:v>
      </x:c>
      <x:c r="S636" s="82" t="str">
        <x:v>Rara</x:v>
      </x:c>
      <x:c r="T636" s="82" t="str">
        <x:v>Lançado</x:v>
      </x:c>
      <x:c r="U636" s="82" t="str">
        <x:v>Brazil only</x:v>
      </x:c>
      <x:c r="V636" s="80" t="str">
        <x:v>Coleção principal (~1:64)</x:v>
      </x:c>
      <x:c r="W636" s="82" t="str">
        <x:v>https://hotwheels.fandom.com/wiki/Porsche_930</x:v>
      </x:c>
      <x:c r="X636" s="82" t="str">
        <x:v>https://hotwheels.fandom.com/wiki/Porsche_930</x:v>
      </x:c>
    </x:row>
    <x:row r="637">
      <x:c r="A637" s="80" t="str">
        <x:v>Não</x:v>
      </x:c>
      <x:c r="B637" s="80" t="str">
        <x:v>2 — Completar aos poucos</x:v>
      </x:c>
      <x:c r="C637" s="81" t="n">
        <x:v>1991</x:v>
      </x:c>
      <x:c r="D637" s="80" t="str">
        <x:v>Porsche 930</x:v>
      </x:c>
      <x:c r="E637" s="80" t="str">
        <x:v>Porsche 930</x:v>
      </x:c>
      <x:c r="F637" s="82" t="str">
        <x:v>Color Changers?</x:v>
      </x:c>
      <x:c r="G637" s="80" t="str"/>
      <x:c r="H637" s="80" t="str"/>
      <x:c r="I637" s="83" t="str"/>
      <x:c r="J637" s="80" t="str">
        <x:v>Yellow</x:v>
      </x:c>
      <x:c r="K637" s="82" t="str">
        <x:v>Yellow, Black, "TURBO", black "PORSCHE 930"</x:v>
      </x:c>
      <x:c r="L637" s="82" t="str">
        <x:v>BW</x:v>
      </x:c>
      <x:c r="M637" s="82" t="str">
        <x:v>Unpainted / / / Metal</x:v>
      </x:c>
      <x:c r="N637" s="82" t="str">
        <x:v>Black tint</x:v>
      </x:c>
      <x:c r="O637" s="82" t="str">
        <x:v>Black</x:v>
      </x:c>
      <x:c r="P637" s="82" t="str">
        <x:v>Malaysia</x:v>
      </x:c>
      <x:c r="Q637" s="82" t="str"/>
      <x:c r="R637" s="82" t="str">
        <x:v>Outra linha</x:v>
      </x:c>
      <x:c r="S637" s="82" t="str">
        <x:v>Rara</x:v>
      </x:c>
      <x:c r="T637" s="82" t="str">
        <x:v>Lançado</x:v>
      </x:c>
      <x:c r="U637" s="82" t="str">
        <x:v>Appeared in Brazil. / Very Rare.</x:v>
      </x:c>
      <x:c r="V637" s="80" t="str">
        <x:v>Coleção principal (~1:64)</x:v>
      </x:c>
      <x:c r="W637" s="82" t="str">
        <x:v>https://hotwheels.fandom.com/wiki/Porsche_930</x:v>
      </x:c>
      <x:c r="X637" s="82" t="str">
        <x:v>https://hotwheels.fandom.com/wiki/Porsche_930</x:v>
      </x:c>
    </x:row>
    <x:row r="638">
      <x:c r="A638" s="80" t="str">
        <x:v>Não</x:v>
      </x:c>
      <x:c r="B638" s="80" t="str">
        <x:v>2 — Completar aos poucos</x:v>
      </x:c>
      <x:c r="C638" s="81" t="n">
        <x:v>1991</x:v>
      </x:c>
      <x:c r="D638" s="80" t="str">
        <x:v>Porsche 930</x:v>
      </x:c>
      <x:c r="E638" s="80" t="str">
        <x:v>Porsche 930</x:v>
      </x:c>
      <x:c r="F638" s="82" t="str">
        <x:v>Mainline</x:v>
      </x:c>
      <x:c r="G638" s="80" t="str"/>
      <x:c r="H638" s="80" t="str">
        <x:v>148</x:v>
      </x:c>
      <x:c r="I638" s="83" t="str">
        <x:v>7607</x:v>
      </x:c>
      <x:c r="J638" s="80" t="str">
        <x:v>Light Purple</x:v>
      </x:c>
      <x:c r="K638" s="82" t="str">
        <x:v>Yellow, Black, "TURBO", White "PORSCHE 930"</x:v>
      </x:c>
      <x:c r="L638" s="82" t="str">
        <x:v>BW</x:v>
      </x:c>
      <x:c r="M638" s="82" t="str">
        <x:v>Unpainted / Metal</x:v>
      </x:c>
      <x:c r="N638" s="82" t="str">
        <x:v>Black tint</x:v>
      </x:c>
      <x:c r="O638" s="82" t="str">
        <x:v>Black</x:v>
      </x:c>
      <x:c r="P638" s="82" t="str">
        <x:v>Malaysia</x:v>
      </x:c>
      <x:c r="Q638" s="82" t="str"/>
      <x:c r="R638" s="82" t="str">
        <x:v>Mainline</x:v>
      </x:c>
      <x:c r="S638" s="82" t="str">
        <x:v>Rara</x:v>
      </x:c>
      <x:c r="T638" s="82" t="str">
        <x:v>Lançado</x:v>
      </x:c>
      <x:c r="U638" s="82" t="str">
        <x:v>Also came out in the Turbo Tube Raceway set</x:v>
      </x:c>
      <x:c r="V638" s="80" t="str">
        <x:v>Coleção principal (~1:64)</x:v>
      </x:c>
      <x:c r="W638" s="82" t="str">
        <x:v>https://hotwheels.fandom.com/wiki/Porsche_930</x:v>
      </x:c>
      <x:c r="X638" s="82" t="str">
        <x:v>https://hotwheels.fandom.com/wiki/Porsche_930</x:v>
      </x:c>
    </x:row>
    <x:row r="639">
      <x:c r="A639" s="80" t="str">
        <x:v>Não</x:v>
      </x:c>
      <x:c r="B639" s="80" t="str">
        <x:v>2 — Completar aos poucos</x:v>
      </x:c>
      <x:c r="C639" s="81" t="n">
        <x:v>1991</x:v>
      </x:c>
      <x:c r="D639" s="80" t="str">
        <x:v>Porsche 930</x:v>
      </x:c>
      <x:c r="E639" s="80" t="str">
        <x:v>Porsche 930</x:v>
      </x:c>
      <x:c r="F639" s="82" t="str">
        <x:v>Mainline</x:v>
      </x:c>
      <x:c r="G639" s="80" t="str"/>
      <x:c r="H639" s="80" t="str"/>
      <x:c r="I639" s="83" t="str">
        <x:v>7607</x:v>
      </x:c>
      <x:c r="J639" s="80" t="str">
        <x:v>Metallic Dark Red</x:v>
      </x:c>
      <x:c r="K639" s="82" t="str">
        <x:v>Yellow, Black, "TURBO", White "PORSCHE 930"</x:v>
      </x:c>
      <x:c r="L639" s="82" t="str">
        <x:v>BW</x:v>
      </x:c>
      <x:c r="M639" s="82" t="str">
        <x:v>Unpainted / Metal</x:v>
      </x:c>
      <x:c r="N639" s="82" t="str">
        <x:v>Black tint</x:v>
      </x:c>
      <x:c r="O639" s="82" t="str">
        <x:v>Black</x:v>
      </x:c>
      <x:c r="P639" s="82" t="str">
        <x:v>Malaysia</x:v>
      </x:c>
      <x:c r="Q639" s="82" t="str"/>
      <x:c r="R639" s="82" t="str">
        <x:v>Mainline</x:v>
      </x:c>
      <x:c r="S639" s="82" t="str">
        <x:v>Rara</x:v>
      </x:c>
      <x:c r="T639" s="82" t="str">
        <x:v>Lançado</x:v>
      </x:c>
      <x:c r="U639" s="82" t="str"/>
      <x:c r="V639" s="80" t="str">
        <x:v>Coleção principal (~1:64)</x:v>
      </x:c>
      <x:c r="W639" s="82" t="str">
        <x:v>https://hotwheels.fandom.com/wiki/Porsche_930</x:v>
      </x:c>
      <x:c r="X639" s="82" t="str">
        <x:v>https://hotwheels.fandom.com/wiki/Porsche_930</x:v>
      </x:c>
    </x:row>
    <x:row r="640">
      <x:c r="A640" s="80" t="str">
        <x:v>Não</x:v>
      </x:c>
      <x:c r="B640" s="80" t="str">
        <x:v>2 — Completar aos poucos</x:v>
      </x:c>
      <x:c r="C640" s="81" t="n">
        <x:v>1991</x:v>
      </x:c>
      <x:c r="D640" s="80" t="str">
        <x:v>Porsche 930</x:v>
      </x:c>
      <x:c r="E640" s="80" t="str">
        <x:v>Porsche 930</x:v>
      </x:c>
      <x:c r="F640" s="82" t="str">
        <x:v>Mainline</x:v>
      </x:c>
      <x:c r="G640" s="80" t="str"/>
      <x:c r="H640" s="80" t="str">
        <x:v>148</x:v>
      </x:c>
      <x:c r="I640" s="83" t="str">
        <x:v>7607</x:v>
      </x:c>
      <x:c r="J640" s="80" t="str">
        <x:v>Red</x:v>
      </x:c>
      <x:c r="K640" s="82" t="str">
        <x:v>Yellow, Black, "TURBO", White "PORSCHE 930"</x:v>
      </x:c>
      <x:c r="L640" s="82" t="str">
        <x:v>BW</x:v>
      </x:c>
      <x:c r="M640" s="82" t="str">
        <x:v>Unpainted / Metal</x:v>
      </x:c>
      <x:c r="N640" s="82" t="str">
        <x:v>Black tint</x:v>
      </x:c>
      <x:c r="O640" s="82" t="str">
        <x:v>Black</x:v>
      </x:c>
      <x:c r="P640" s="82" t="str">
        <x:v>Malaysia</x:v>
      </x:c>
      <x:c r="Q640" s="82" t="str"/>
      <x:c r="R640" s="82" t="str">
        <x:v>Mainline</x:v>
      </x:c>
      <x:c r="S640" s="82" t="str">
        <x:v>Rara</x:v>
      </x:c>
      <x:c r="T640" s="82" t="str">
        <x:v>Lançado</x:v>
      </x:c>
      <x:c r="U640" s="82" t="str"/>
      <x:c r="V640" s="80" t="str">
        <x:v>Coleção principal (~1:64)</x:v>
      </x:c>
      <x:c r="W640" s="82" t="str">
        <x:v>https://hotwheels.fandom.com/wiki/Porsche_930</x:v>
      </x:c>
      <x:c r="X640" s="82" t="str">
        <x:v>https://hotwheels.fandom.com/wiki/Porsche_930</x:v>
      </x:c>
    </x:row>
    <x:row r="641">
      <x:c r="A641" s="80" t="str">
        <x:v>Não</x:v>
      </x:c>
      <x:c r="B641" s="80" t="str">
        <x:v>2 — Completar aos poucos</x:v>
      </x:c>
      <x:c r="C641" s="81" t="n">
        <x:v>1991</x:v>
      </x:c>
      <x:c r="D641" s="80" t="str">
        <x:v>Porsche 930</x:v>
      </x:c>
      <x:c r="E641" s="80" t="str">
        <x:v>Porsche 930</x:v>
      </x:c>
      <x:c r="F641" s="82" t="str">
        <x:v>Turbo Tube Raceway set</x:v>
      </x:c>
      <x:c r="G641" s="80" t="str"/>
      <x:c r="H641" s="80" t="str"/>
      <x:c r="I641" s="83" t="str"/>
      <x:c r="J641" s="80" t="str">
        <x:v>Light Green</x:v>
      </x:c>
      <x:c r="K641" s="82" t="str">
        <x:v>Yellow, Black, "TURBO", black "PORSCHE 930"</x:v>
      </x:c>
      <x:c r="L641" s="82" t="str">
        <x:v>BW</x:v>
      </x:c>
      <x:c r="M641" s="82" t="str">
        <x:v>Unpainted / Metal</x:v>
      </x:c>
      <x:c r="N641" s="82" t="str">
        <x:v>Black tint</x:v>
      </x:c>
      <x:c r="O641" s="82" t="str">
        <x:v>Black</x:v>
      </x:c>
      <x:c r="P641" s="82" t="str">
        <x:v>Malaysia</x:v>
      </x:c>
      <x:c r="Q641" s="82" t="str"/>
      <x:c r="R641" s="82" t="str">
        <x:v>Outra linha</x:v>
      </x:c>
      <x:c r="S641" s="82" t="str">
        <x:v>Rara</x:v>
      </x:c>
      <x:c r="T641" s="82" t="str">
        <x:v>Lançado</x:v>
      </x:c>
      <x:c r="U641" s="82" t="str"/>
      <x:c r="V641" s="80" t="str">
        <x:v>Coleção principal (~1:64)</x:v>
      </x:c>
      <x:c r="W641" s="82" t="str">
        <x:v>https://hotwheels.fandom.com/wiki/Porsche_930</x:v>
      </x:c>
      <x:c r="X641" s="82" t="str">
        <x:v>https://hotwheels.fandom.com/wiki/Porsche_930</x:v>
      </x:c>
    </x:row>
    <x:row r="642">
      <x:c r="A642" s="80" t="str">
        <x:v>Não</x:v>
      </x:c>
      <x:c r="B642" s="80" t="str">
        <x:v>2 — Completar aos poucos</x:v>
      </x:c>
      <x:c r="C642" s="81" t="n">
        <x:v>1991</x:v>
      </x:c>
      <x:c r="D642" s="80" t="str">
        <x:v>Porsche 959</x:v>
      </x:c>
      <x:c r="E642" s="80" t="str">
        <x:v>Porsche 959</x:v>
      </x:c>
      <x:c r="F642" s="82" t="str">
        <x:v>Getty Gas Station Promotional</x:v>
      </x:c>
      <x:c r="G642" s="80" t="str"/>
      <x:c r="H642" s="80" t="str"/>
      <x:c r="I642" s="83" t="str">
        <x:v>4631</x:v>
      </x:c>
      <x:c r="J642" s="80" t="str">
        <x:v>Yellow</x:v>
      </x:c>
      <x:c r="K642" s="82" t="str">
        <x:v>Blue, Red &amp; White "Getty" on sides</x:v>
      </x:c>
      <x:c r="L642" s="82" t="str">
        <x:v>BW</x:v>
      </x:c>
      <x:c r="M642" s="82" t="str">
        <x:v>Unpainted / Metal</x:v>
      </x:c>
      <x:c r="N642" s="82" t="str">
        <x:v>Clear</x:v>
      </x:c>
      <x:c r="O642" s="82" t="str">
        <x:v>Red</x:v>
      </x:c>
      <x:c r="P642" s="82" t="str">
        <x:v>Malaysia</x:v>
      </x:c>
      <x:c r="Q642" s="82" t="str"/>
      <x:c r="R642" s="82" t="str">
        <x:v>Outra linha</x:v>
      </x:c>
      <x:c r="S642" s="82" t="str">
        <x:v>Rara</x:v>
      </x:c>
      <x:c r="T642" s="82" t="str">
        <x:v>Lançado</x:v>
      </x:c>
      <x:c r="U642" s="82" t="str"/>
      <x:c r="V642" s="80" t="str">
        <x:v>Coleção principal (~1:64)</x:v>
      </x:c>
      <x:c r="W642" s="82" t="str">
        <x:v>https://hotwheels.fandom.com/wiki/Porsche_959</x:v>
      </x:c>
      <x:c r="X642" s="82" t="str">
        <x:v>https://hotwheels.fandom.com/wiki/Porsche_959</x:v>
      </x:c>
    </x:row>
    <x:row r="643">
      <x:c r="A643" s="80" t="str">
        <x:v>Não</x:v>
      </x:c>
      <x:c r="B643" s="80" t="str">
        <x:v>2 — Completar aos poucos</x:v>
      </x:c>
      <x:c r="C643" s="81" t="n">
        <x:v>1991</x:v>
      </x:c>
      <x:c r="D643" s="80" t="str">
        <x:v>Porsche 959</x:v>
      </x:c>
      <x:c r="E643" s="80" t="str">
        <x:v>Porsche 959</x:v>
      </x:c>
      <x:c r="F643" s="82" t="str">
        <x:v>Mainline</x:v>
      </x:c>
      <x:c r="G643" s="80" t="str"/>
      <x:c r="H643" s="80" t="str">
        <x:v>80</x:v>
      </x:c>
      <x:c r="I643" s="83" t="str">
        <x:v>9519</x:v>
      </x:c>
      <x:c r="J643" s="80" t="str">
        <x:v>Red</x:v>
      </x:c>
      <x:c r="K643" s="82" t="str">
        <x:v>Turquoise, Yellow "59" Grey "PORSCHE 959"</x:v>
      </x:c>
      <x:c r="L643" s="82" t="str">
        <x:v>UH</x:v>
      </x:c>
      <x:c r="M643" s="82" t="str">
        <x:v>Unpainted / Metal</x:v>
      </x:c>
      <x:c r="N643" s="82" t="str">
        <x:v>Clear</x:v>
      </x:c>
      <x:c r="O643" s="82" t="str">
        <x:v>Grey</x:v>
      </x:c>
      <x:c r="P643" s="82" t="str">
        <x:v>Malaysia</x:v>
      </x:c>
      <x:c r="Q643" s="82" t="str"/>
      <x:c r="R643" s="82" t="str">
        <x:v>Mainline</x:v>
      </x:c>
      <x:c r="S643" s="82" t="str">
        <x:v>Rara</x:v>
      </x:c>
      <x:c r="T643" s="82" t="str">
        <x:v>Lançado</x:v>
      </x:c>
      <x:c r="U643" s="82" t="str"/>
      <x:c r="V643" s="80" t="str">
        <x:v>Coleção principal (~1:64)</x:v>
      </x:c>
      <x:c r="W643" s="82" t="str">
        <x:v>https://hotwheels.fandom.com/wiki/Porsche_959</x:v>
      </x:c>
      <x:c r="X643" s="82" t="str">
        <x:v>https://hotwheels.fandom.com/wiki/Porsche_959</x:v>
      </x:c>
    </x:row>
    <x:row r="644">
      <x:c r="A644" s="80" t="str">
        <x:v>Não</x:v>
      </x:c>
      <x:c r="B644" s="80" t="str">
        <x:v>2 — Completar aos poucos</x:v>
      </x:c>
      <x:c r="C644" s="81" t="n">
        <x:v>1991</x:v>
      </x:c>
      <x:c r="D644" s="80" t="str">
        <x:v>Porsche 959</x:v>
      </x:c>
      <x:c r="E644" s="80" t="str">
        <x:v>Porsche 959</x:v>
      </x:c>
      <x:c r="F644" s="82" t="str">
        <x:v>Mainline</x:v>
      </x:c>
      <x:c r="G644" s="80" t="str"/>
      <x:c r="H644" s="80" t="str">
        <x:v>80</x:v>
      </x:c>
      <x:c r="I644" s="83" t="str">
        <x:v>9519</x:v>
      </x:c>
      <x:c r="J644" s="80" t="str">
        <x:v>Red</x:v>
      </x:c>
      <x:c r="K644" s="82" t="str">
        <x:v>Turquoise, Yellow "59" Grey "PORSCHE 959"</x:v>
      </x:c>
      <x:c r="L644" s="82" t="str">
        <x:v>HO</x:v>
      </x:c>
      <x:c r="M644" s="82" t="str">
        <x:v>Unpainted / Metal</x:v>
      </x:c>
      <x:c r="N644" s="82" t="str">
        <x:v>Clear</x:v>
      </x:c>
      <x:c r="O644" s="82" t="str">
        <x:v>Grey</x:v>
      </x:c>
      <x:c r="P644" s="82" t="str">
        <x:v>Malaysia</x:v>
      </x:c>
      <x:c r="Q644" s="82" t="str"/>
      <x:c r="R644" s="82" t="str">
        <x:v>Mainline</x:v>
      </x:c>
      <x:c r="S644" s="82" t="str">
        <x:v>Rara</x:v>
      </x:c>
      <x:c r="T644" s="82" t="str">
        <x:v>Lançado</x:v>
      </x:c>
      <x:c r="U644" s="82" t="str"/>
      <x:c r="V644" s="80" t="str">
        <x:v>Coleção principal (~1:64)</x:v>
      </x:c>
      <x:c r="W644" s="82" t="str">
        <x:v>https://hotwheels.fandom.com/wiki/Porsche_959</x:v>
      </x:c>
      <x:c r="X644" s="82" t="str">
        <x:v>https://hotwheels.fandom.com/wiki/Porsche_959</x:v>
      </x:c>
    </x:row>
    <x:row r="645">
      <x:c r="A645" s="80" t="str">
        <x:v>Não</x:v>
      </x:c>
      <x:c r="B645" s="80" t="str">
        <x:v>2 — Completar aos poucos</x:v>
      </x:c>
      <x:c r="C645" s="81" t="n">
        <x:v>1991</x:v>
      </x:c>
      <x:c r="D645" s="80" t="str">
        <x:v>Porsche 959</x:v>
      </x:c>
      <x:c r="E645" s="80" t="str">
        <x:v>Porsche 959</x:v>
      </x:c>
      <x:c r="F645" s="82" t="str">
        <x:v>Mainline</x:v>
      </x:c>
      <x:c r="G645" s="80" t="str"/>
      <x:c r="H645" s="80" t="str">
        <x:v>80</x:v>
      </x:c>
      <x:c r="I645" s="83" t="str">
        <x:v>9519</x:v>
      </x:c>
      <x:c r="J645" s="80" t="str">
        <x:v>Red</x:v>
      </x:c>
      <x:c r="K645" s="82" t="str">
        <x:v>Turquoise, Yellow "59" Grey "PORSCHE 959"</x:v>
      </x:c>
      <x:c r="L645" s="82" t="str">
        <x:v>Gold UH</x:v>
      </x:c>
      <x:c r="M645" s="82" t="str">
        <x:v>Unpainted / Metal</x:v>
      </x:c>
      <x:c r="N645" s="82" t="str">
        <x:v>Clear</x:v>
      </x:c>
      <x:c r="O645" s="82" t="str">
        <x:v>Grey</x:v>
      </x:c>
      <x:c r="P645" s="82" t="str">
        <x:v>Malaysia</x:v>
      </x:c>
      <x:c r="Q645" s="82" t="str"/>
      <x:c r="R645" s="82" t="str">
        <x:v>Mainline</x:v>
      </x:c>
      <x:c r="S645" s="82" t="str">
        <x:v>Rara</x:v>
      </x:c>
      <x:c r="T645" s="82" t="str">
        <x:v>Lançado</x:v>
      </x:c>
      <x:c r="U645" s="82" t="str"/>
      <x:c r="V645" s="80" t="str">
        <x:v>Coleção principal (~1:64)</x:v>
      </x:c>
      <x:c r="W645" s="82" t="str">
        <x:v>https://hotwheels.fandom.com/wiki/Porsche_959</x:v>
      </x:c>
      <x:c r="X645" s="82" t="str">
        <x:v>https://hotwheels.fandom.com/wiki/Porsche_959</x:v>
      </x:c>
    </x:row>
    <x:row r="646">
      <x:c r="A646" s="80" t="str">
        <x:v>Não</x:v>
      </x:c>
      <x:c r="B646" s="80" t="str">
        <x:v>2 — Completar aos poucos</x:v>
      </x:c>
      <x:c r="C646" s="81" t="n">
        <x:v>1990</x:v>
      </x:c>
      <x:c r="D646" s="80" t="str">
        <x:v>P-911</x:v>
      </x:c>
      <x:c r="E646" s="80" t="str">
        <x:v>P-911</x:v>
      </x:c>
      <x:c r="F646" s="82" t="str">
        <x:v>Heroes on Hot Wheels</x:v>
      </x:c>
      <x:c r="G646" s="80" t="str"/>
      <x:c r="H646" s="80" t="str"/>
      <x:c r="I646" s="83" t="str"/>
      <x:c r="J646" s="80" t="str">
        <x:v>Black</x:v>
      </x:c>
      <x:c r="K646" s="82" t="str">
        <x:v>White, Yellow &amp; Red "95"</x:v>
      </x:c>
      <x:c r="L646" s="82" t="str">
        <x:v>BW</x:v>
      </x:c>
      <x:c r="M646" s="82" t="str">
        <x:v>Unpainted / Metal</x:v>
      </x:c>
      <x:c r="N646" s="82" t="str">
        <x:v>Smoke tint</x:v>
      </x:c>
      <x:c r="O646" s="82" t="str">
        <x:v>Black</x:v>
      </x:c>
      <x:c r="P646" s="82" t="str">
        <x:v>Hong Kong</x:v>
      </x:c>
      <x:c r="Q646" s="82" t="str"/>
      <x:c r="R646" s="82" t="str">
        <x:v>Outra linha</x:v>
      </x:c>
      <x:c r="S646" s="82" t="str">
        <x:v>Rara</x:v>
      </x:c>
      <x:c r="T646" s="82" t="str">
        <x:v>Lançado</x:v>
      </x:c>
      <x:c r="U646" s="82" t="str">
        <x:v>VHS video tape only</x:v>
      </x:c>
      <x:c r="V646" s="80" t="str">
        <x:v>Coleção principal (~1:64)</x:v>
      </x:c>
      <x:c r="W646" s="82" t="str">
        <x:v>https://hotwheels.fandom.com/wiki/P-911</x:v>
      </x:c>
      <x:c r="X646" s="82" t="str">
        <x:v>https://hotwheels.fandom.com/wiki/P-911</x:v>
      </x:c>
    </x:row>
    <x:row r="647">
      <x:c r="A647" s="80" t="str">
        <x:v>Não</x:v>
      </x:c>
      <x:c r="B647" s="80" t="str">
        <x:v>2 — Completar aos poucos</x:v>
      </x:c>
      <x:c r="C647" s="81" t="n">
        <x:v>1990</x:v>
      </x:c>
      <x:c r="D647" s="80" t="str">
        <x:v>P-911</x:v>
      </x:c>
      <x:c r="E647" s="80" t="str">
        <x:v>P-911</x:v>
      </x:c>
      <x:c r="F647" s="82" t="str">
        <x:v>Heroes on Hot Wheels</x:v>
      </x:c>
      <x:c r="G647" s="80" t="str"/>
      <x:c r="H647" s="80" t="str"/>
      <x:c r="I647" s="83" t="str"/>
      <x:c r="J647" s="80" t="str">
        <x:v>Black</x:v>
      </x:c>
      <x:c r="K647" s="82" t="str">
        <x:v>White, Yellow &amp; Red "95"</x:v>
      </x:c>
      <x:c r="L647" s="82" t="str">
        <x:v>BW</x:v>
      </x:c>
      <x:c r="M647" s="82" t="str">
        <x:v>Unpainted / / / Metal</x:v>
      </x:c>
      <x:c r="N647" s="82" t="str">
        <x:v>Black tint</x:v>
      </x:c>
      <x:c r="O647" s="82" t="str">
        <x:v>Black</x:v>
      </x:c>
      <x:c r="P647" s="82" t="str">
        <x:v>Hong Kong</x:v>
      </x:c>
      <x:c r="Q647" s="82" t="str"/>
      <x:c r="R647" s="82" t="str">
        <x:v>Outra linha</x:v>
      </x:c>
      <x:c r="S647" s="82" t="str">
        <x:v>Rara</x:v>
      </x:c>
      <x:c r="T647" s="82" t="str">
        <x:v>Lançado</x:v>
      </x:c>
      <x:c r="U647" s="82" t="str">
        <x:v>VHS video tape only</x:v>
      </x:c>
      <x:c r="V647" s="80" t="str">
        <x:v>Coleção principal (~1:64)</x:v>
      </x:c>
      <x:c r="W647" s="82" t="str">
        <x:v>https://hotwheels.fandom.com/wiki/P-911</x:v>
      </x:c>
      <x:c r="X647" s="82" t="str">
        <x:v>https://hotwheels.fandom.com/wiki/P-911</x:v>
      </x:c>
    </x:row>
    <x:row r="648">
      <x:c r="A648" s="80" t="str">
        <x:v>Não</x:v>
      </x:c>
      <x:c r="B648" s="80" t="str">
        <x:v>2 — Completar aos poucos</x:v>
      </x:c>
      <x:c r="C648" s="81" t="n">
        <x:v>1990</x:v>
      </x:c>
      <x:c r="D648" s="80" t="str">
        <x:v>Porsche 959</x:v>
      </x:c>
      <x:c r="E648" s="80" t="str">
        <x:v>Porsche 959</x:v>
      </x:c>
      <x:c r="F648" s="82" t="str">
        <x:v>Mainline</x:v>
      </x:c>
      <x:c r="G648" s="80" t="str"/>
      <x:c r="H648" s="80" t="str">
        <x:v>80</x:v>
      </x:c>
      <x:c r="I648" s="83" t="str">
        <x:v>4631</x:v>
      </x:c>
      <x:c r="J648" s="80" t="str">
        <x:v>Metallic Dark Red</x:v>
      </x:c>
      <x:c r="K648" s="82" t="str">
        <x:v>Orange &amp; Yellow "PORSCHE"</x:v>
      </x:c>
      <x:c r="L648" s="82" t="str">
        <x:v>UH</x:v>
      </x:c>
      <x:c r="M648" s="82" t="str">
        <x:v>Unpainted / Metal</x:v>
      </x:c>
      <x:c r="N648" s="82" t="str">
        <x:v>Clear</x:v>
      </x:c>
      <x:c r="O648" s="82" t="str">
        <x:v>Tan</x:v>
      </x:c>
      <x:c r="P648" s="82" t="str">
        <x:v>Malaysia</x:v>
      </x:c>
      <x:c r="Q648" s="82" t="str"/>
      <x:c r="R648" s="82" t="str">
        <x:v>Mainline</x:v>
      </x:c>
      <x:c r="S648" s="82" t="str">
        <x:v>Rara</x:v>
      </x:c>
      <x:c r="T648" s="82" t="str">
        <x:v>Lançado</x:v>
      </x:c>
      <x:c r="U648" s="82" t="str"/>
      <x:c r="V648" s="80" t="str">
        <x:v>Coleção principal (~1:64)</x:v>
      </x:c>
      <x:c r="W648" s="82" t="str">
        <x:v>https://hotwheels.fandom.com/wiki/Porsche_959</x:v>
      </x:c>
      <x:c r="X648" s="82" t="str">
        <x:v>https://hotwheels.fandom.com/wiki/Porsche_959</x:v>
      </x:c>
    </x:row>
    <x:row r="649">
      <x:c r="A649" s="80" t="str">
        <x:v>Não</x:v>
      </x:c>
      <x:c r="B649" s="80" t="str">
        <x:v>2 — Completar aos poucos</x:v>
      </x:c>
      <x:c r="C649" s="81" t="n">
        <x:v>1990</x:v>
      </x:c>
      <x:c r="D649" s="80" t="str">
        <x:v>Porsche 959</x:v>
      </x:c>
      <x:c r="E649" s="80" t="str">
        <x:v>Porsche 959</x:v>
      </x:c>
      <x:c r="F649" s="82" t="str">
        <x:v>Mainline</x:v>
      </x:c>
      <x:c r="G649" s="80" t="str"/>
      <x:c r="H649" s="80" t="str">
        <x:v>80</x:v>
      </x:c>
      <x:c r="I649" s="83" t="str">
        <x:v>9519</x:v>
      </x:c>
      <x:c r="J649" s="80" t="str">
        <x:v>Red</x:v>
      </x:c>
      <x:c r="K649" s="82" t="str">
        <x:v>White &amp; Black "7" "PORSCHE"</x:v>
      </x:c>
      <x:c r="L649" s="82" t="str">
        <x:v>UH</x:v>
      </x:c>
      <x:c r="M649" s="82" t="str">
        <x:v>Unpainted / Metal</x:v>
      </x:c>
      <x:c r="N649" s="82" t="str">
        <x:v>Clear</x:v>
      </x:c>
      <x:c r="O649" s="82" t="str">
        <x:v>Grey</x:v>
      </x:c>
      <x:c r="P649" s="82" t="str">
        <x:v>Malaysia</x:v>
      </x:c>
      <x:c r="Q649" s="82" t="str"/>
      <x:c r="R649" s="82" t="str">
        <x:v>Mainline</x:v>
      </x:c>
      <x:c r="S649" s="82" t="str">
        <x:v>Rara</x:v>
      </x:c>
      <x:c r="T649" s="82" t="str">
        <x:v>Lançado</x:v>
      </x:c>
      <x:c r="U649" s="82" t="str"/>
      <x:c r="V649" s="80" t="str">
        <x:v>Coleção principal (~1:64)</x:v>
      </x:c>
      <x:c r="W649" s="82" t="str">
        <x:v>https://hotwheels.fandom.com/wiki/Porsche_959</x:v>
      </x:c>
      <x:c r="X649" s="82" t="str">
        <x:v>https://hotwheels.fandom.com/wiki/Porsche_959</x:v>
      </x:c>
    </x:row>
    <x:row r="650">
      <x:c r="A650" s="80" t="str">
        <x:v>Não</x:v>
      </x:c>
      <x:c r="B650" s="80" t="str">
        <x:v>2 — Completar aos poucos</x:v>
      </x:c>
      <x:c r="C650" s="81" t="n">
        <x:v>1989</x:v>
      </x:c>
      <x:c r="D650" s="80" t="str">
        <x:v>P-911</x:v>
      </x:c>
      <x:c r="E650" s="80" t="str">
        <x:v>P-911</x:v>
      </x:c>
      <x:c r="F650" s="82" t="str">
        <x:v>Ziploc Promotional</x:v>
      </x:c>
      <x:c r="G650" s="80" t="str"/>
      <x:c r="H650" s="80" t="str"/>
      <x:c r="I650" s="83" t="str"/>
      <x:c r="J650" s="80" t="str">
        <x:v>White (Ivory gloss)</x:v>
      </x:c>
      <x:c r="K650" s="82" t="str">
        <x:v>Yellow, Red &amp; Black "95"</x:v>
      </x:c>
      <x:c r="L650" s="82" t="str">
        <x:v>BW</x:v>
      </x:c>
      <x:c r="M650" s="82" t="str">
        <x:v>Unpainted / Metal</x:v>
      </x:c>
      <x:c r="N650" s="82" t="str">
        <x:v>Smoke tint</x:v>
      </x:c>
      <x:c r="O650" s="82" t="str">
        <x:v>Black</x:v>
      </x:c>
      <x:c r="P650" s="82" t="str">
        <x:v>Hong Kong or Malaysia</x:v>
      </x:c>
      <x:c r="Q650" s="82" t="str"/>
      <x:c r="R650" s="82" t="str">
        <x:v>Outra linha</x:v>
      </x:c>
      <x:c r="S650" s="82" t="str">
        <x:v>Rara</x:v>
      </x:c>
      <x:c r="T650" s="82" t="str">
        <x:v>Lançado</x:v>
      </x:c>
      <x:c r="U650" s="82" t="str">
        <x:v>Promo</x:v>
      </x:c>
      <x:c r="V650" s="80" t="str">
        <x:v>Coleção principal (~1:64)</x:v>
      </x:c>
      <x:c r="W650" s="82" t="str">
        <x:v>https://hotwheels.fandom.com/wiki/P-911</x:v>
      </x:c>
      <x:c r="X650" s="82" t="str">
        <x:v>https://hotwheels.fandom.com/wiki/P-911</x:v>
      </x:c>
    </x:row>
    <x:row r="651">
      <x:c r="A651" s="80" t="str">
        <x:v>Não</x:v>
      </x:c>
      <x:c r="B651" s="80" t="str">
        <x:v>2 — Completar aos poucos</x:v>
      </x:c>
      <x:c r="C651" s="81" t="n">
        <x:v>1989</x:v>
      </x:c>
      <x:c r="D651" s="80" t="str">
        <x:v>P-911</x:v>
      </x:c>
      <x:c r="E651" s="80" t="str">
        <x:v>P-911</x:v>
      </x:c>
      <x:c r="F651" s="82" t="str">
        <x:v>Ziploc Promotional</x:v>
      </x:c>
      <x:c r="G651" s="80" t="str"/>
      <x:c r="H651" s="80" t="str"/>
      <x:c r="I651" s="83" t="str"/>
      <x:c r="J651" s="80" t="str">
        <x:v>White (Ivory gloss)</x:v>
      </x:c>
      <x:c r="K651" s="82" t="str">
        <x:v>Yellow, Red &amp; Black "95"</x:v>
      </x:c>
      <x:c r="L651" s="82" t="str">
        <x:v>BW</x:v>
      </x:c>
      <x:c r="M651" s="82" t="str">
        <x:v>Unpainted / / / Metal</x:v>
      </x:c>
      <x:c r="N651" s="82" t="str">
        <x:v>Black tint</x:v>
      </x:c>
      <x:c r="O651" s="82" t="str">
        <x:v>Black</x:v>
      </x:c>
      <x:c r="P651" s="82" t="str">
        <x:v>Hong Kong</x:v>
      </x:c>
      <x:c r="Q651" s="82" t="str"/>
      <x:c r="R651" s="82" t="str">
        <x:v>Outra linha</x:v>
      </x:c>
      <x:c r="S651" s="82" t="str">
        <x:v>Rara</x:v>
      </x:c>
      <x:c r="T651" s="82" t="str">
        <x:v>Lançado</x:v>
      </x:c>
      <x:c r="U651" s="82" t="str">
        <x:v>Promo</x:v>
      </x:c>
      <x:c r="V651" s="80" t="str">
        <x:v>Coleção principal (~1:64)</x:v>
      </x:c>
      <x:c r="W651" s="82" t="str">
        <x:v>https://hotwheels.fandom.com/wiki/P-911</x:v>
      </x:c>
      <x:c r="X651" s="82" t="str">
        <x:v>https://hotwheels.fandom.com/wiki/P-911</x:v>
      </x:c>
    </x:row>
    <x:row r="652">
      <x:c r="A652" s="80" t="str">
        <x:v>Não</x:v>
      </x:c>
      <x:c r="B652" s="80" t="str">
        <x:v>2 — Completar aos poucos</x:v>
      </x:c>
      <x:c r="C652" s="81" t="n">
        <x:v>1989</x:v>
      </x:c>
      <x:c r="D652" s="80" t="str">
        <x:v>P-911</x:v>
      </x:c>
      <x:c r="E652" s="80" t="str">
        <x:v>P-911</x:v>
      </x:c>
      <x:c r="F652" s="82" t="str">
        <x:v>Ziploc Promotional</x:v>
      </x:c>
      <x:c r="G652" s="80" t="str"/>
      <x:c r="H652" s="80" t="str"/>
      <x:c r="I652" s="83" t="str"/>
      <x:c r="J652" s="80" t="str">
        <x:v>White (not gloss)</x:v>
      </x:c>
      <x:c r="K652" s="82" t="str">
        <x:v>Yellow, Red &amp; Black "95"</x:v>
      </x:c>
      <x:c r="L652" s="82" t="str">
        <x:v>BW</x:v>
      </x:c>
      <x:c r="M652" s="82" t="str">
        <x:v>Unpainted / Metal</x:v>
      </x:c>
      <x:c r="N652" s="82" t="str">
        <x:v>Smoke tint</x:v>
      </x:c>
      <x:c r="O652" s="82" t="str">
        <x:v>Black</x:v>
      </x:c>
      <x:c r="P652" s="82" t="str">
        <x:v>Hong Kong or Malaysia</x:v>
      </x:c>
      <x:c r="Q652" s="82" t="str"/>
      <x:c r="R652" s="82" t="str">
        <x:v>Outra linha</x:v>
      </x:c>
      <x:c r="S652" s="82" t="str">
        <x:v>Rara</x:v>
      </x:c>
      <x:c r="T652" s="82" t="str">
        <x:v>Lançado</x:v>
      </x:c>
      <x:c r="U652" s="82" t="str">
        <x:v>Promo</x:v>
      </x:c>
      <x:c r="V652" s="80" t="str">
        <x:v>Coleção principal (~1:64)</x:v>
      </x:c>
      <x:c r="W652" s="82" t="str">
        <x:v>https://hotwheels.fandom.com/wiki/P-911</x:v>
      </x:c>
      <x:c r="X652" s="82" t="str">
        <x:v>https://hotwheels.fandom.com/wiki/P-911</x:v>
      </x:c>
    </x:row>
    <x:row r="653">
      <x:c r="A653" s="80" t="str">
        <x:v>Não</x:v>
      </x:c>
      <x:c r="B653" s="80" t="str">
        <x:v>2 — Completar aos poucos</x:v>
      </x:c>
      <x:c r="C653" s="81" t="n">
        <x:v>1989</x:v>
      </x:c>
      <x:c r="D653" s="80" t="str">
        <x:v>P-911</x:v>
      </x:c>
      <x:c r="E653" s="80" t="str">
        <x:v>P-911</x:v>
      </x:c>
      <x:c r="F653" s="82" t="str">
        <x:v>Ziploc Promotional</x:v>
      </x:c>
      <x:c r="G653" s="80" t="str"/>
      <x:c r="H653" s="80" t="str"/>
      <x:c r="I653" s="83" t="str"/>
      <x:c r="J653" s="80" t="str">
        <x:v>White (not gloss)</x:v>
      </x:c>
      <x:c r="K653" s="82" t="str">
        <x:v>Yellow, Red &amp; Black "95"</x:v>
      </x:c>
      <x:c r="L653" s="82" t="str">
        <x:v>BW</x:v>
      </x:c>
      <x:c r="M653" s="82" t="str">
        <x:v>Unpainted / / / Metal</x:v>
      </x:c>
      <x:c r="N653" s="82" t="str">
        <x:v>Black tint</x:v>
      </x:c>
      <x:c r="O653" s="82" t="str">
        <x:v>Black</x:v>
      </x:c>
      <x:c r="P653" s="82" t="str">
        <x:v>Hong Kong</x:v>
      </x:c>
      <x:c r="Q653" s="82" t="str"/>
      <x:c r="R653" s="82" t="str">
        <x:v>Outra linha</x:v>
      </x:c>
      <x:c r="S653" s="82" t="str">
        <x:v>Rara</x:v>
      </x:c>
      <x:c r="T653" s="82" t="str">
        <x:v>Lançado</x:v>
      </x:c>
      <x:c r="U653" s="82" t="str">
        <x:v>Promo</x:v>
      </x:c>
      <x:c r="V653" s="80" t="str">
        <x:v>Coleção principal (~1:64)</x:v>
      </x:c>
      <x:c r="W653" s="82" t="str">
        <x:v>https://hotwheels.fandom.com/wiki/P-911</x:v>
      </x:c>
      <x:c r="X653" s="82" t="str">
        <x:v>https://hotwheels.fandom.com/wiki/P-911</x:v>
      </x:c>
    </x:row>
    <x:row r="654">
      <x:c r="A654" s="80" t="str">
        <x:v>Não</x:v>
      </x:c>
      <x:c r="B654" s="80" t="str">
        <x:v>2 — Completar aos poucos</x:v>
      </x:c>
      <x:c r="C654" s="81" t="n">
        <x:v>1989</x:v>
      </x:c>
      <x:c r="D654" s="80" t="str">
        <x:v>Porsche 959</x:v>
      </x:c>
      <x:c r="E654" s="80" t="str">
        <x:v>Porsche 959</x:v>
      </x:c>
      <x:c r="F654" s="82" t="str">
        <x:v>Automagic</x:v>
      </x:c>
      <x:c r="G654" s="80" t="str"/>
      <x:c r="H654" s="80" t="str"/>
      <x:c r="I654" s="83" t="str">
        <x:v>7276</x:v>
      </x:c>
      <x:c r="J654" s="80" t="str">
        <x:v>Orange to Yellow</x:v>
      </x:c>
      <x:c r="K654" s="82" t="str">
        <x:v>Red "959", Yellow "Porsche" &amp; Blue line on the side</x:v>
      </x:c>
      <x:c r="L654" s="82" t="str">
        <x:v>BW</x:v>
      </x:c>
      <x:c r="M654" s="82" t="str">
        <x:v>Unpainted / Metal</x:v>
      </x:c>
      <x:c r="N654" s="82" t="str">
        <x:v>Clear</x:v>
      </x:c>
      <x:c r="O654" s="82" t="str">
        <x:v>Yellow</x:v>
      </x:c>
      <x:c r="P654" s="82" t="str">
        <x:v>Malaysia</x:v>
      </x:c>
      <x:c r="Q654" s="82" t="str"/>
      <x:c r="R654" s="82" t="str">
        <x:v>Outra linha</x:v>
      </x:c>
      <x:c r="S654" s="82" t="str">
        <x:v>Rara</x:v>
      </x:c>
      <x:c r="T654" s="82" t="str">
        <x:v>Lançado</x:v>
      </x:c>
      <x:c r="U654" s="82" t="str">
        <x:v>Appears in Automagic 2 Pack Appears in a Color Racers Single Packs color racers 3-pack</x:v>
      </x:c>
      <x:c r="V654" s="80" t="str">
        <x:v>Coleção principal (~1:64)</x:v>
      </x:c>
      <x:c r="W654" s="82" t="str">
        <x:v>https://hotwheels.fandom.com/wiki/Porsche_959</x:v>
      </x:c>
      <x:c r="X654" s="82" t="str">
        <x:v>https://hotwheels.fandom.com/wiki/Porsche_959</x:v>
      </x:c>
    </x:row>
    <x:row r="655">
      <x:c r="A655" s="80" t="str">
        <x:v>Não</x:v>
      </x:c>
      <x:c r="B655" s="80" t="str">
        <x:v>2 — Completar aos poucos</x:v>
      </x:c>
      <x:c r="C655" s="81" t="n">
        <x:v>1989</x:v>
      </x:c>
      <x:c r="D655" s="80" t="str">
        <x:v>Porsche 959</x:v>
      </x:c>
      <x:c r="E655" s="80" t="str">
        <x:v>Porsche 959</x:v>
      </x:c>
      <x:c r="F655" s="82" t="str">
        <x:v>Color Racers</x:v>
      </x:c>
      <x:c r="G655" s="80" t="str"/>
      <x:c r="H655" s="80" t="str"/>
      <x:c r="I655" s="83" t="str">
        <x:v>7276 (Single Pack) / 5608 (3 Pack)</x:v>
      </x:c>
      <x:c r="J655" s="80" t="str">
        <x:v>Pink</x:v>
      </x:c>
      <x:c r="K655" s="82" t="str">
        <x:v>Red "959", White "Porsche" &amp; Blue line on the side</x:v>
      </x:c>
      <x:c r="L655" s="82" t="str">
        <x:v>BW</x:v>
      </x:c>
      <x:c r="M655" s="82" t="str">
        <x:v>Unpainted / / / Metal</x:v>
      </x:c>
      <x:c r="N655" s="82" t="str"/>
      <x:c r="O655" s="82" t="str"/>
      <x:c r="P655" s="82" t="str"/>
      <x:c r="Q655" s="82" t="str"/>
      <x:c r="R655" s="82" t="str">
        <x:v>Outra linha</x:v>
      </x:c>
      <x:c r="S655" s="82" t="str">
        <x:v>Rara</x:v>
      </x:c>
      <x:c r="T655" s="82" t="str">
        <x:v>Lançado</x:v>
      </x:c>
      <x:c r="U655" s="82" t="str">
        <x:v>Appears in a Color Racers Single Pack &amp; 3 Pack</x:v>
      </x:c>
      <x:c r="V655" s="80" t="str">
        <x:v>Coleção principal (~1:64)</x:v>
      </x:c>
      <x:c r="W655" s="82" t="str">
        <x:v>https://hotwheels.fandom.com/wiki/Porsche_959</x:v>
      </x:c>
      <x:c r="X655" s="82" t="str">
        <x:v>https://hotwheels.fandom.com/wiki/Porsche_959</x:v>
      </x:c>
    </x:row>
    <x:row r="656">
      <x:c r="A656" s="80" t="str">
        <x:v>Não</x:v>
      </x:c>
      <x:c r="B656" s="80" t="str">
        <x:v>2 — Completar aos poucos</x:v>
      </x:c>
      <x:c r="C656" s="81" t="n">
        <x:v>1989</x:v>
      </x:c>
      <x:c r="D656" s="80" t="str">
        <x:v>Porsche 959</x:v>
      </x:c>
      <x:c r="E656" s="80" t="str">
        <x:v>Porsche 959</x:v>
      </x:c>
      <x:c r="F656" s="82" t="str">
        <x:v>Color Racers</x:v>
      </x:c>
      <x:c r="G656" s="80" t="str"/>
      <x:c r="H656" s="80" t="str"/>
      <x:c r="I656" s="83" t="str">
        <x:v>7276 (Single Pack) 5608 (3 Pack)</x:v>
      </x:c>
      <x:c r="J656" s="80" t="str">
        <x:v>Pink</x:v>
      </x:c>
      <x:c r="K656" s="82" t="str">
        <x:v>Red "959", White "Porsche" &amp; Blue line on the side</x:v>
      </x:c>
      <x:c r="L656" s="82" t="str">
        <x:v>BW</x:v>
      </x:c>
      <x:c r="M656" s="82" t="str">
        <x:v>Unpainted / Metal</x:v>
      </x:c>
      <x:c r="N656" s="82" t="str"/>
      <x:c r="O656" s="82" t="str"/>
      <x:c r="P656" s="82" t="str"/>
      <x:c r="Q656" s="82" t="str"/>
      <x:c r="R656" s="82" t="str">
        <x:v>Outra linha</x:v>
      </x:c>
      <x:c r="S656" s="82" t="str">
        <x:v>Rara</x:v>
      </x:c>
      <x:c r="T656" s="82" t="str">
        <x:v>Lançado</x:v>
      </x:c>
      <x:c r="U656" s="82" t="str">
        <x:v>Appears in a Color Racers Single Pack &amp; 3 Pack</x:v>
      </x:c>
      <x:c r="V656" s="80" t="str">
        <x:v>Coleção principal (~1:64)</x:v>
      </x:c>
      <x:c r="W656" s="82" t="str">
        <x:v>https://hotwheels.fandom.com/wiki/Porsche_959</x:v>
      </x:c>
      <x:c r="X656" s="82" t="str">
        <x:v>https://hotwheels.fandom.com/wiki/Porsche_959</x:v>
      </x:c>
    </x:row>
    <x:row r="657">
      <x:c r="A657" s="80" t="str">
        <x:v>Não</x:v>
      </x:c>
      <x:c r="B657" s="80" t="str">
        <x:v>2 — Completar aos poucos</x:v>
      </x:c>
      <x:c r="C657" s="81" t="n">
        <x:v>1989</x:v>
      </x:c>
      <x:c r="D657" s="80" t="str">
        <x:v>Porsche 959</x:v>
      </x:c>
      <x:c r="E657" s="80" t="str">
        <x:v>Porsche 959</x:v>
      </x:c>
      <x:c r="F657" s="82" t="str">
        <x:v>Color Racers</x:v>
      </x:c>
      <x:c r="G657" s="80" t="str"/>
      <x:c r="H657" s="80" t="str"/>
      <x:c r="I657" s="83" t="str"/>
      <x:c r="J657" s="80" t="str">
        <x:v>Purple to Dark Purple</x:v>
      </x:c>
      <x:c r="K657" s="82" t="str">
        <x:v>Blue center stripes</x:v>
      </x:c>
      <x:c r="L657" s="82" t="str">
        <x:v>BW</x:v>
      </x:c>
      <x:c r="M657" s="82" t="str">
        <x:v>Unpainted / / / Metal</x:v>
      </x:c>
      <x:c r="N657" s="82" t="str">
        <x:v>Clear</x:v>
      </x:c>
      <x:c r="O657" s="82" t="str"/>
      <x:c r="P657" s="82" t="str"/>
      <x:c r="Q657" s="82" t="str"/>
      <x:c r="R657" s="82" t="str">
        <x:v>Outra linha</x:v>
      </x:c>
      <x:c r="S657" s="82" t="str">
        <x:v>Rara</x:v>
      </x:c>
      <x:c r="T657" s="82" t="str">
        <x:v>Lançado</x:v>
      </x:c>
      <x:c r="U657" s="82" t="str">
        <x:v>International, Super Rare</x:v>
      </x:c>
      <x:c r="V657" s="80" t="str">
        <x:v>Coleção principal (~1:64)</x:v>
      </x:c>
      <x:c r="W657" s="82" t="str">
        <x:v>https://hotwheels.fandom.com/wiki/Porsche_959</x:v>
      </x:c>
      <x:c r="X657" s="82" t="str">
        <x:v>https://hotwheels.fandom.com/wiki/Porsche_959</x:v>
      </x:c>
    </x:row>
    <x:row r="658">
      <x:c r="A658" s="80" t="str">
        <x:v>Não</x:v>
      </x:c>
      <x:c r="B658" s="80" t="str">
        <x:v>2 — Completar aos poucos</x:v>
      </x:c>
      <x:c r="C658" s="81" t="n">
        <x:v>1989</x:v>
      </x:c>
      <x:c r="D658" s="80" t="str">
        <x:v>Porsche 959</x:v>
      </x:c>
      <x:c r="E658" s="80" t="str">
        <x:v>Porsche 959</x:v>
      </x:c>
      <x:c r="F658" s="82" t="str">
        <x:v>Color Racers 3-Pack</x:v>
      </x:c>
      <x:c r="G658" s="80" t="str"/>
      <x:c r="H658" s="80" t="str"/>
      <x:c r="I658" s="83" t="str">
        <x:v>7276</x:v>
      </x:c>
      <x:c r="J658" s="80" t="str">
        <x:v>Pink to (Blue?)</x:v>
      </x:c>
      <x:c r="K658" s="82" t="str">
        <x:v>Blue center stripes, Red stripes &amp; Red "959"</x:v>
      </x:c>
      <x:c r="L658" s="82" t="str">
        <x:v>BW</x:v>
      </x:c>
      <x:c r="M658" s="82" t="str">
        <x:v>Unpainted / Metal</x:v>
      </x:c>
      <x:c r="N658" s="82" t="str">
        <x:v>Clear</x:v>
      </x:c>
      <x:c r="O658" s="82" t="str"/>
      <x:c r="P658" s="82" t="str"/>
      <x:c r="Q658" s="82" t="str"/>
      <x:c r="R658" s="82" t="str">
        <x:v>Outra linha</x:v>
      </x:c>
      <x:c r="S658" s="82" t="str">
        <x:v>Rara</x:v>
      </x:c>
      <x:c r="T658" s="82" t="str">
        <x:v>Lançado</x:v>
      </x:c>
      <x:c r="U658" s="82" t="str">
        <x:v>Appears in a Color Racers 3 Pack</x:v>
      </x:c>
      <x:c r="V658" s="80" t="str">
        <x:v>Coleção principal (~1:64)</x:v>
      </x:c>
      <x:c r="W658" s="82" t="str">
        <x:v>https://hotwheels.fandom.com/wiki/Porsche_959</x:v>
      </x:c>
      <x:c r="X658" s="82" t="str">
        <x:v>https://hotwheels.fandom.com/wiki/Porsche_959</x:v>
      </x:c>
    </x:row>
    <x:row r="659">
      <x:c r="A659" s="80" t="str">
        <x:v>Não</x:v>
      </x:c>
      <x:c r="B659" s="80" t="str">
        <x:v>2 — Completar aos poucos</x:v>
      </x:c>
      <x:c r="C659" s="81" t="n">
        <x:v>1989</x:v>
      </x:c>
      <x:c r="D659" s="80" t="str">
        <x:v>Porsche 959</x:v>
      </x:c>
      <x:c r="E659" s="80" t="str">
        <x:v>Porsche 959</x:v>
      </x:c>
      <x:c r="F659" s="82" t="str">
        <x:v>Drive-It-Clean Car Wash</x:v>
      </x:c>
      <x:c r="G659" s="80" t="str"/>
      <x:c r="H659" s="80" t="str"/>
      <x:c r="I659" s="83" t="str">
        <x:v>2891</x:v>
      </x:c>
      <x:c r="J659" s="80" t="str">
        <x:v>Warm: Milky-Yellow / Cold: Dirty Yellow</x:v>
      </x:c>
      <x:c r="K659" s="82" t="str">
        <x:v>Blue stripes</x:v>
      </x:c>
      <x:c r="L659" s="82" t="str">
        <x:v>BW</x:v>
      </x:c>
      <x:c r="M659" s="82" t="str">
        <x:v>Unpainted / / / Metal</x:v>
      </x:c>
      <x:c r="N659" s="82" t="str">
        <x:v>Clear</x:v>
      </x:c>
      <x:c r="O659" s="82" t="str">
        <x:v>Black</x:v>
      </x:c>
      <x:c r="P659" s="82" t="str">
        <x:v>Malaysia</x:v>
      </x:c>
      <x:c r="Q659" s="82" t="str"/>
      <x:c r="R659" s="82" t="str">
        <x:v>Outra linha</x:v>
      </x:c>
      <x:c r="S659" s="82" t="str">
        <x:v>Rara</x:v>
      </x:c>
      <x:c r="T659" s="82" t="str">
        <x:v>Lançado</x:v>
      </x:c>
      <x:c r="U659" s="82" t="str">
        <x:v>Playset exclusive</x:v>
      </x:c>
      <x:c r="V659" s="80" t="str">
        <x:v>Coleção principal (~1:64)</x:v>
      </x:c>
      <x:c r="W659" s="82" t="str">
        <x:v>https://hotwheels.fandom.com/wiki/Porsche_959</x:v>
      </x:c>
      <x:c r="X659" s="82" t="str">
        <x:v>https://hotwheels.fandom.com/wiki/Porsche_959</x:v>
      </x:c>
    </x:row>
    <x:row r="660">
      <x:c r="A660" s="80" t="str">
        <x:v>Não</x:v>
      </x:c>
      <x:c r="B660" s="80" t="str">
        <x:v>2 — Completar aos poucos</x:v>
      </x:c>
      <x:c r="C660" s="81" t="n">
        <x:v>1989</x:v>
      </x:c>
      <x:c r="D660" s="80" t="str">
        <x:v>Porsche 959</x:v>
      </x:c>
      <x:c r="E660" s="80" t="str">
        <x:v>Porsche 959</x:v>
      </x:c>
      <x:c r="F660" s="82" t="str">
        <x:v>Drive-It-Clean Car Wash</x:v>
      </x:c>
      <x:c r="G660" s="80" t="str"/>
      <x:c r="H660" s="80" t="str"/>
      <x:c r="I660" s="83" t="str">
        <x:v>2891</x:v>
      </x:c>
      <x:c r="J660" s="80" t="str">
        <x:v>Warm: Milky-YellowCold: Dirty Yellow</x:v>
      </x:c>
      <x:c r="K660" s="82" t="str">
        <x:v>Blue stripes</x:v>
      </x:c>
      <x:c r="L660" s="82" t="str">
        <x:v>BW</x:v>
      </x:c>
      <x:c r="M660" s="82" t="str">
        <x:v>Unpainted / Metal</x:v>
      </x:c>
      <x:c r="N660" s="82" t="str">
        <x:v>Clear</x:v>
      </x:c>
      <x:c r="O660" s="82" t="str">
        <x:v>Black</x:v>
      </x:c>
      <x:c r="P660" s="82" t="str">
        <x:v>Malaysia</x:v>
      </x:c>
      <x:c r="Q660" s="82" t="str"/>
      <x:c r="R660" s="82" t="str">
        <x:v>Outra linha</x:v>
      </x:c>
      <x:c r="S660" s="82" t="str">
        <x:v>Rara</x:v>
      </x:c>
      <x:c r="T660" s="82" t="str">
        <x:v>Lançado</x:v>
      </x:c>
      <x:c r="U660" s="82" t="str">
        <x:v>Playset exclusive</x:v>
      </x:c>
      <x:c r="V660" s="80" t="str">
        <x:v>Coleção principal (~1:64)</x:v>
      </x:c>
      <x:c r="W660" s="82" t="str">
        <x:v>https://hotwheels.fandom.com/wiki/Porsche_959</x:v>
      </x:c>
      <x:c r="X660" s="82" t="str">
        <x:v>https://hotwheels.fandom.com/wiki/Porsche_959</x:v>
      </x:c>
    </x:row>
    <x:row r="661">
      <x:c r="A661" s="80" t="str">
        <x:v>Não</x:v>
      </x:c>
      <x:c r="B661" s="80" t="str">
        <x:v>2 — Completar aos poucos</x:v>
      </x:c>
      <x:c r="C661" s="81" t="n">
        <x:v>1989</x:v>
      </x:c>
      <x:c r="D661" s="80" t="str">
        <x:v>Porsche 959</x:v>
      </x:c>
      <x:c r="E661" s="80" t="str">
        <x:v>Porsche 959</x:v>
      </x:c>
      <x:c r="F661" s="82" t="str">
        <x:v>Mainline</x:v>
      </x:c>
      <x:c r="G661" s="80" t="str"/>
      <x:c r="H661" s="80" t="str"/>
      <x:c r="I661" s="83" t="str">
        <x:v>3808</x:v>
      </x:c>
      <x:c r="J661" s="80" t="str">
        <x:v>Light Blue</x:v>
      </x:c>
      <x:c r="K661" s="82" t="str">
        <x:v>White &amp; Black "7" "PORSCHE"</x:v>
      </x:c>
      <x:c r="L661" s="82" t="str">
        <x:v>UH</x:v>
      </x:c>
      <x:c r="M661" s="82" t="str">
        <x:v>Unpainted / Metal</x:v>
      </x:c>
      <x:c r="N661" s="82" t="str">
        <x:v>Clear</x:v>
      </x:c>
      <x:c r="O661" s="82" t="str">
        <x:v>Tan</x:v>
      </x:c>
      <x:c r="P661" s="82" t="str">
        <x:v>Malaysia</x:v>
      </x:c>
      <x:c r="Q661" s="82" t="str"/>
      <x:c r="R661" s="82" t="str">
        <x:v>Mainline</x:v>
      </x:c>
      <x:c r="S661" s="82" t="str">
        <x:v>Rara</x:v>
      </x:c>
      <x:c r="T661" s="82" t="str">
        <x:v>Lançado</x:v>
      </x:c>
      <x:c r="U661" s="82" t="str">
        <x:v>International only</x:v>
      </x:c>
      <x:c r="V661" s="80" t="str">
        <x:v>Coleção principal (~1:64)</x:v>
      </x:c>
      <x:c r="W661" s="82" t="str">
        <x:v>https://hotwheels.fandom.com/wiki/Porsche_959</x:v>
      </x:c>
      <x:c r="X661" s="82" t="str">
        <x:v>https://hotwheels.fandom.com/wiki/Porsche_959</x:v>
      </x:c>
    </x:row>
    <x:row r="662">
      <x:c r="A662" s="80" t="str">
        <x:v>Não</x:v>
      </x:c>
      <x:c r="B662" s="80" t="str">
        <x:v>2 — Completar aos poucos</x:v>
      </x:c>
      <x:c r="C662" s="81" t="n">
        <x:v>1989</x:v>
      </x:c>
      <x:c r="D662" s="80" t="str">
        <x:v>Porsche 959</x:v>
      </x:c>
      <x:c r="E662" s="80" t="str">
        <x:v>Porsche 959</x:v>
      </x:c>
      <x:c r="F662" s="82" t="str">
        <x:v>Park 'N Plates</x:v>
      </x:c>
      <x:c r="G662" s="80" t="str"/>
      <x:c r="H662" s="80" t="str"/>
      <x:c r="I662" s="83" t="str">
        <x:v>2038</x:v>
      </x:c>
      <x:c r="J662" s="80" t="str">
        <x:v>White</x:v>
      </x:c>
      <x:c r="K662" s="82" t="str">
        <x:v>Blue &amp; Red "PORSCHE"</x:v>
      </x:c>
      <x:c r="L662" s="82" t="str">
        <x:v>UH</x:v>
      </x:c>
      <x:c r="M662" s="82" t="str">
        <x:v>Unpainted / Metal</x:v>
      </x:c>
      <x:c r="N662" s="82" t="str">
        <x:v>Clear</x:v>
      </x:c>
      <x:c r="O662" s="82" t="str">
        <x:v>Black</x:v>
      </x:c>
      <x:c r="P662" s="82" t="str">
        <x:v>Malaysia</x:v>
      </x:c>
      <x:c r="Q662" s="82" t="str"/>
      <x:c r="R662" s="82" t="str">
        <x:v>Outra linha</x:v>
      </x:c>
      <x:c r="S662" s="82" t="str">
        <x:v>Rara</x:v>
      </x:c>
      <x:c r="T662" s="82" t="str">
        <x:v>Lançado</x:v>
      </x:c>
      <x:c r="U662" s="82" t="str">
        <x:v>came packaged with interlocking clear plastic box</x:v>
      </x:c>
      <x:c r="V662" s="80" t="str">
        <x:v>Coleção principal (~1:64)</x:v>
      </x:c>
      <x:c r="W662" s="82" t="str">
        <x:v>https://hotwheels.fandom.com/wiki/Porsche_959</x:v>
      </x:c>
      <x:c r="X662" s="82" t="str">
        <x:v>https://hotwheels.fandom.com/wiki/Porsche_959</x:v>
      </x:c>
    </x:row>
    <x:row r="663">
      <x:c r="A663" s="80" t="str">
        <x:v>Não</x:v>
      </x:c>
      <x:c r="B663" s="80" t="str">
        <x:v>2 — Completar aos poucos</x:v>
      </x:c>
      <x:c r="C663" s="81" t="n">
        <x:v>1989</x:v>
      </x:c>
      <x:c r="D663" s="80" t="str">
        <x:v>Porsche 959</x:v>
      </x:c>
      <x:c r="E663" s="80" t="str">
        <x:v>Porsche 959</x:v>
      </x:c>
      <x:c r="F663" s="82" t="str">
        <x:v>Park 'N Plates</x:v>
      </x:c>
      <x:c r="G663" s="80" t="str"/>
      <x:c r="H663" s="80" t="str"/>
      <x:c r="I663" s="83" t="str">
        <x:v>2038</x:v>
      </x:c>
      <x:c r="J663" s="80" t="str">
        <x:v>White</x:v>
      </x:c>
      <x:c r="K663" s="82" t="str">
        <x:v>Blue &amp; Red "PORSCHE"</x:v>
      </x:c>
      <x:c r="L663" s="82" t="str">
        <x:v>UH</x:v>
      </x:c>
      <x:c r="M663" s="82" t="str">
        <x:v>Blue Tinted</x:v>
      </x:c>
      <x:c r="N663" s="82" t="str">
        <x:v>Porsche 959 WhtUHBlu</x:v>
      </x:c>
      <x:c r="O663" s="82" t="str">
        <x:v>Black</x:v>
      </x:c>
      <x:c r="P663" s="82" t="str">
        <x:v>Malaysia</x:v>
      </x:c>
      <x:c r="Q663" s="82" t="str"/>
      <x:c r="R663" s="82" t="str">
        <x:v>Outra linha</x:v>
      </x:c>
      <x:c r="S663" s="82" t="str">
        <x:v>Rara</x:v>
      </x:c>
      <x:c r="T663" s="82" t="str">
        <x:v>Lançado</x:v>
      </x:c>
      <x:c r="U663" s="82" t="str">
        <x:v>came packaged with interlocking clear plastic box</x:v>
      </x:c>
      <x:c r="V663" s="80" t="str">
        <x:v>Coleção principal (~1:64)</x:v>
      </x:c>
      <x:c r="W663" s="82" t="str">
        <x:v>https://hotwheels.fandom.com/wiki/Porsche_959</x:v>
      </x:c>
      <x:c r="X663" s="82" t="str">
        <x:v>https://hotwheels.fandom.com/wiki/Porsche_959</x:v>
      </x:c>
    </x:row>
    <x:row r="664">
      <x:c r="A664" s="80" t="str">
        <x:v>Não</x:v>
      </x:c>
      <x:c r="B664" s="80" t="str">
        <x:v>2 — Completar aos poucos</x:v>
      </x:c>
      <x:c r="C664" s="81" t="n">
        <x:v>1989</x:v>
      </x:c>
      <x:c r="D664" s="80" t="str">
        <x:v>Porsche 959</x:v>
      </x:c>
      <x:c r="E664" s="80" t="str">
        <x:v>Porsche 959</x:v>
      </x:c>
      <x:c r="F664" s="82" t="str">
        <x:v>Park 'N Plates</x:v>
      </x:c>
      <x:c r="G664" s="80" t="str"/>
      <x:c r="H664" s="80" t="str"/>
      <x:c r="I664" s="83" t="str">
        <x:v>2038</x:v>
      </x:c>
      <x:c r="J664" s="80" t="str">
        <x:v>White</x:v>
      </x:c>
      <x:c r="K664" s="82" t="str">
        <x:v>Blue &amp; Red "PORSCHE"</x:v>
      </x:c>
      <x:c r="L664" s="82" t="str">
        <x:v>BW</x:v>
      </x:c>
      <x:c r="M664" s="82" t="str">
        <x:v>Unpainted / Metal</x:v>
      </x:c>
      <x:c r="N664" s="82" t="str">
        <x:v>Clear</x:v>
      </x:c>
      <x:c r="O664" s="82" t="str">
        <x:v>Black</x:v>
      </x:c>
      <x:c r="P664" s="82" t="str">
        <x:v>Malaysia</x:v>
      </x:c>
      <x:c r="Q664" s="82" t="str"/>
      <x:c r="R664" s="82" t="str">
        <x:v>Outra linha</x:v>
      </x:c>
      <x:c r="S664" s="82" t="str">
        <x:v>Rara</x:v>
      </x:c>
      <x:c r="T664" s="82" t="str">
        <x:v>Lançado</x:v>
      </x:c>
      <x:c r="U664" s="82" t="str">
        <x:v>came packaged with interlocking clear plastic box</x:v>
      </x:c>
      <x:c r="V664" s="80" t="str">
        <x:v>Coleção principal (~1:64)</x:v>
      </x:c>
      <x:c r="W664" s="82" t="str">
        <x:v>https://hotwheels.fandom.com/wiki/Porsche_959</x:v>
      </x:c>
      <x:c r="X664" s="82" t="str">
        <x:v>https://hotwheels.fandom.com/wiki/Porsche_959</x:v>
      </x:c>
    </x:row>
    <x:row r="665">
      <x:c r="A665" s="80" t="str">
        <x:v>Não</x:v>
      </x:c>
      <x:c r="B665" s="80" t="str">
        <x:v>2 — Completar aos poucos</x:v>
      </x:c>
      <x:c r="C665" s="81" t="n">
        <x:v>1989</x:v>
      </x:c>
      <x:c r="D665" s="80" t="str">
        <x:v>Porsche 959</x:v>
      </x:c>
      <x:c r="E665" s="80" t="str">
        <x:v>Porsche 959</x:v>
      </x:c>
      <x:c r="F665" s="82" t="str">
        <x:v>Park 'N Plates</x:v>
      </x:c>
      <x:c r="G665" s="80" t="str"/>
      <x:c r="H665" s="80" t="str"/>
      <x:c r="I665" s="83" t="str">
        <x:v>2038</x:v>
      </x:c>
      <x:c r="J665" s="80" t="str">
        <x:v>White</x:v>
      </x:c>
      <x:c r="K665" s="82" t="str">
        <x:v>Blue &amp; Red "PORSCHE"</x:v>
      </x:c>
      <x:c r="L665" s="82" t="str">
        <x:v>BW</x:v>
      </x:c>
      <x:c r="M665" s="82" t="str">
        <x:v>Blue Tinted</x:v>
      </x:c>
      <x:c r="N665" s="82" t="str">
        <x:v>Porsche 959-20566</x:v>
      </x:c>
      <x:c r="O665" s="82" t="str">
        <x:v>Black</x:v>
      </x:c>
      <x:c r="P665" s="82" t="str">
        <x:v>Malaysia</x:v>
      </x:c>
      <x:c r="Q665" s="82" t="str"/>
      <x:c r="R665" s="82" t="str">
        <x:v>Outra linha</x:v>
      </x:c>
      <x:c r="S665" s="82" t="str">
        <x:v>Rara</x:v>
      </x:c>
      <x:c r="T665" s="82" t="str">
        <x:v>Lançado</x:v>
      </x:c>
      <x:c r="U665" s="82" t="str">
        <x:v>came packaged with interlocking clear plastic box</x:v>
      </x:c>
      <x:c r="V665" s="80" t="str">
        <x:v>Coleção principal (~1:64)</x:v>
      </x:c>
      <x:c r="W665" s="82" t="str">
        <x:v>https://hotwheels.fandom.com/wiki/Porsche_959</x:v>
      </x:c>
      <x:c r="X665" s="82" t="str">
        <x:v>https://hotwheels.fandom.com/wiki/Porsche_959</x:v>
      </x:c>
    </x:row>
    <x:row r="666">
      <x:c r="A666" s="80" t="str">
        <x:v>Não</x:v>
      </x:c>
      <x:c r="B666" s="80" t="str">
        <x:v>2 — Completar aos poucos</x:v>
      </x:c>
      <x:c r="C666" s="81" t="n">
        <x:v>1989</x:v>
      </x:c>
      <x:c r="D666" s="80" t="str">
        <x:v>Porsche 959</x:v>
      </x:c>
      <x:c r="E666" s="80" t="str">
        <x:v>Porsche 959</x:v>
      </x:c>
      <x:c r="F666" s="82" t="str">
        <x:v>Park 'N Plates</x:v>
      </x:c>
      <x:c r="G666" s="80" t="str"/>
      <x:c r="H666" s="80" t="str"/>
      <x:c r="I666" s="83" t="str">
        <x:v>2038</x:v>
      </x:c>
      <x:c r="J666" s="80" t="str">
        <x:v>White</x:v>
      </x:c>
      <x:c r="K666" s="82" t="str">
        <x:v>Blue &amp; Red "PORSCHE"</x:v>
      </x:c>
      <x:c r="L666" s="82" t="str">
        <x:v>UH</x:v>
      </x:c>
      <x:c r="M666" s="82" t="str">
        <x:v>Unpainted / Metal</x:v>
      </x:c>
      <x:c r="N666" s="82" t="str">
        <x:v>Clear</x:v>
      </x:c>
      <x:c r="O666" s="82" t="str">
        <x:v>Tan</x:v>
      </x:c>
      <x:c r="P666" s="82" t="str">
        <x:v>Malaysia</x:v>
      </x:c>
      <x:c r="Q666" s="82" t="str"/>
      <x:c r="R666" s="82" t="str">
        <x:v>Outra linha</x:v>
      </x:c>
      <x:c r="S666" s="82" t="str">
        <x:v>Rara</x:v>
      </x:c>
      <x:c r="T666" s="82" t="str">
        <x:v>Lançado</x:v>
      </x:c>
      <x:c r="U666" s="82" t="str">
        <x:v>came packaged with interlocking clear plastic box</x:v>
      </x:c>
      <x:c r="V666" s="80" t="str">
        <x:v>Coleção principal (~1:64)</x:v>
      </x:c>
      <x:c r="W666" s="82" t="str">
        <x:v>https://hotwheels.fandom.com/wiki/Porsche_959</x:v>
      </x:c>
      <x:c r="X666" s="82" t="str">
        <x:v>https://hotwheels.fandom.com/wiki/Porsche_959</x:v>
      </x:c>
    </x:row>
    <x:row r="667">
      <x:c r="A667" s="80" t="str">
        <x:v>Não</x:v>
      </x:c>
      <x:c r="B667" s="80" t="str">
        <x:v>2 — Completar aos poucos</x:v>
      </x:c>
      <x:c r="C667" s="81" t="n">
        <x:v>1989</x:v>
      </x:c>
      <x:c r="D667" s="80" t="str">
        <x:v>Porsche 959</x:v>
      </x:c>
      <x:c r="E667" s="80" t="str">
        <x:v>Porsche 959</x:v>
      </x:c>
      <x:c r="F667" s="82" t="str">
        <x:v>Park 'N Plates</x:v>
      </x:c>
      <x:c r="G667" s="80" t="str"/>
      <x:c r="H667" s="80" t="str">
        <x:v>Blue Tinted</x:v>
      </x:c>
      <x:c r="I667" s="83" t="str">
        <x:v>2038</x:v>
      </x:c>
      <x:c r="J667" s="80" t="str">
        <x:v>White</x:v>
      </x:c>
      <x:c r="K667" s="82" t="str">
        <x:v>Blue &amp; Red "PORSCHE"</x:v>
      </x:c>
      <x:c r="L667" s="82" t="str">
        <x:v>UH</x:v>
      </x:c>
      <x:c r="M667" s="82" t="str">
        <x:v>Unpainted / Metal</x:v>
      </x:c>
      <x:c r="N667" s="82" t="str">
        <x:v>Blue</x:v>
      </x:c>
      <x:c r="O667" s="82" t="str">
        <x:v>Porsche 959-20559</x:v>
      </x:c>
      <x:c r="P667" s="82" t="str">
        <x:v>Malaysia</x:v>
      </x:c>
      <x:c r="Q667" s="82" t="str"/>
      <x:c r="R667" s="82" t="str">
        <x:v>Mainline</x:v>
      </x:c>
      <x:c r="S667" s="82" t="str">
        <x:v>Rara</x:v>
      </x:c>
      <x:c r="T667" s="82" t="str">
        <x:v>Lançado</x:v>
      </x:c>
      <x:c r="U667" s="82" t="str">
        <x:v>came packaged with interlocking clear plastic box</x:v>
      </x:c>
      <x:c r="V667" s="80" t="str">
        <x:v>Coleção principal (~1:64)</x:v>
      </x:c>
      <x:c r="W667" s="82" t="str">
        <x:v>https://hotwheels.fandom.com/wiki/Porsche_959</x:v>
      </x:c>
      <x:c r="X667" s="82" t="str">
        <x:v>https://hotwheels.fandom.com/wiki/Porsche_959</x:v>
      </x:c>
    </x:row>
    <x:row r="668">
      <x:c r="A668" s="80" t="str">
        <x:v>Não</x:v>
      </x:c>
      <x:c r="B668" s="80" t="str">
        <x:v>2 — Completar aos poucos</x:v>
      </x:c>
      <x:c r="C668" s="81" t="n">
        <x:v>1989</x:v>
      </x:c>
      <x:c r="D668" s="80" t="str">
        <x:v>Porsche 959</x:v>
      </x:c>
      <x:c r="E668" s="80" t="str">
        <x:v>Porsche 959</x:v>
      </x:c>
      <x:c r="F668" s="82" t="str">
        <x:v>Park 'N Plates</x:v>
      </x:c>
      <x:c r="G668" s="80" t="str"/>
      <x:c r="H668" s="80" t="str">
        <x:v>Blue Tinted</x:v>
      </x:c>
      <x:c r="I668" s="83" t="str">
        <x:v>2038</x:v>
      </x:c>
      <x:c r="J668" s="80" t="str">
        <x:v>White</x:v>
      </x:c>
      <x:c r="K668" s="82" t="str">
        <x:v>Blue &amp; Red "PORSCHE"</x:v>
      </x:c>
      <x:c r="L668" s="82" t="str">
        <x:v>Porsche 959-20568</x:v>
      </x:c>
      <x:c r="M668" s="82" t="str">
        <x:v>Unpainted / Metal</x:v>
      </x:c>
      <x:c r="N668" s="82" t="str">
        <x:v>Blue</x:v>
      </x:c>
      <x:c r="O668" s="82" t="str">
        <x:v>BW</x:v>
      </x:c>
      <x:c r="P668" s="82" t="str">
        <x:v>Malaysia</x:v>
      </x:c>
      <x:c r="Q668" s="82" t="str"/>
      <x:c r="R668" s="82" t="str">
        <x:v>Mainline</x:v>
      </x:c>
      <x:c r="S668" s="82" t="str">
        <x:v>Rara</x:v>
      </x:c>
      <x:c r="T668" s="82" t="str">
        <x:v>Lançado</x:v>
      </x:c>
      <x:c r="U668" s="82" t="str">
        <x:v>came packaged with interlocking clear plastic box</x:v>
      </x:c>
      <x:c r="V668" s="80" t="str">
        <x:v>Coleção principal (~1:64)</x:v>
      </x:c>
      <x:c r="W668" s="82" t="str">
        <x:v>https://hotwheels.fandom.com/wiki/Porsche_959</x:v>
      </x:c>
      <x:c r="X668" s="82" t="str">
        <x:v>https://hotwheels.fandom.com/wiki/Porsche_959</x:v>
      </x:c>
    </x:row>
    <x:row r="669">
      <x:c r="A669" s="80" t="str">
        <x:v>Não</x:v>
      </x:c>
      <x:c r="B669" s="80" t="str">
        <x:v>2 — Completar aos poucos</x:v>
      </x:c>
      <x:c r="C669" s="81" t="n">
        <x:v>1989</x:v>
      </x:c>
      <x:c r="D669" s="80" t="str">
        <x:v>Porsche 959</x:v>
      </x:c>
      <x:c r="E669" s="80" t="str">
        <x:v>Porsche 959</x:v>
      </x:c>
      <x:c r="F669" s="82" t="str">
        <x:v>Park 'N Plates</x:v>
      </x:c>
      <x:c r="G669" s="80" t="str"/>
      <x:c r="H669" s="80" t="str"/>
      <x:c r="I669" s="83" t="str">
        <x:v>2038</x:v>
      </x:c>
      <x:c r="J669" s="80" t="str">
        <x:v>White</x:v>
      </x:c>
      <x:c r="K669" s="82" t="str">
        <x:v>Blue &amp; Red "PORSCHE"</x:v>
      </x:c>
      <x:c r="L669" s="82" t="str">
        <x:v>UH</x:v>
      </x:c>
      <x:c r="M669" s="82" t="str">
        <x:v>Blue Tinted</x:v>
      </x:c>
      <x:c r="N669" s="82" t="str"/>
      <x:c r="O669" s="82" t="str">
        <x:v>Black</x:v>
      </x:c>
      <x:c r="P669" s="82" t="str">
        <x:v>Malaysia</x:v>
      </x:c>
      <x:c r="Q669" s="82" t="str"/>
      <x:c r="R669" s="82" t="str">
        <x:v>Outra linha</x:v>
      </x:c>
      <x:c r="S669" s="82" t="str">
        <x:v>Rara</x:v>
      </x:c>
      <x:c r="T669" s="82" t="str">
        <x:v>Lançado</x:v>
      </x:c>
      <x:c r="U669" s="82" t="str">
        <x:v>came packaged with interlocking clear plastic box</x:v>
      </x:c>
      <x:c r="V669" s="80" t="str">
        <x:v>Coleção principal (~1:64)</x:v>
      </x:c>
      <x:c r="W669" s="82" t="str">
        <x:v>https://hotwheels.fandom.com/wiki/Porsche_959</x:v>
      </x:c>
      <x:c r="X669" s="82" t="str">
        <x:v>https://hotwheels.fandom.com/wiki/Porsche_959</x:v>
      </x:c>
    </x:row>
    <x:row r="670">
      <x:c r="A670" s="80" t="str">
        <x:v>Não</x:v>
      </x:c>
      <x:c r="B670" s="80" t="str">
        <x:v>2 — Completar aos poucos</x:v>
      </x:c>
      <x:c r="C670" s="81" t="n">
        <x:v>1989</x:v>
      </x:c>
      <x:c r="D670" s="80" t="str">
        <x:v>Porsche 959</x:v>
      </x:c>
      <x:c r="E670" s="80" t="str">
        <x:v>Porsche 959</x:v>
      </x:c>
      <x:c r="F670" s="82" t="str">
        <x:v>Park 'N Plates</x:v>
      </x:c>
      <x:c r="G670" s="80" t="str"/>
      <x:c r="H670" s="80" t="str"/>
      <x:c r="I670" s="83" t="str">
        <x:v>2038</x:v>
      </x:c>
      <x:c r="J670" s="80" t="str">
        <x:v>White</x:v>
      </x:c>
      <x:c r="K670" s="82" t="str">
        <x:v>Blue &amp; Red "PORSCHE"</x:v>
      </x:c>
      <x:c r="L670" s="82" t="str">
        <x:v>BW</x:v>
      </x:c>
      <x:c r="M670" s="82" t="str">
        <x:v>Blue Tinted</x:v>
      </x:c>
      <x:c r="N670" s="82" t="str"/>
      <x:c r="O670" s="82" t="str">
        <x:v>Black</x:v>
      </x:c>
      <x:c r="P670" s="82" t="str">
        <x:v>Malaysia</x:v>
      </x:c>
      <x:c r="Q670" s="82" t="str"/>
      <x:c r="R670" s="82" t="str">
        <x:v>Outra linha</x:v>
      </x:c>
      <x:c r="S670" s="82" t="str">
        <x:v>Rara</x:v>
      </x:c>
      <x:c r="T670" s="82" t="str">
        <x:v>Lançado</x:v>
      </x:c>
      <x:c r="U670" s="82" t="str">
        <x:v>came packaged with interlocking clear plastic box</x:v>
      </x:c>
      <x:c r="V670" s="80" t="str">
        <x:v>Coleção principal (~1:64)</x:v>
      </x:c>
      <x:c r="W670" s="82" t="str">
        <x:v>https://hotwheels.fandom.com/wiki/Porsche_959</x:v>
      </x:c>
      <x:c r="X670" s="82" t="str">
        <x:v>https://hotwheels.fandom.com/wiki/Porsche_959</x:v>
      </x:c>
    </x:row>
    <x:row r="671">
      <x:c r="A671" s="80" t="str">
        <x:v>Não</x:v>
      </x:c>
      <x:c r="B671" s="80" t="str">
        <x:v>2 — Completar aos poucos</x:v>
      </x:c>
      <x:c r="C671" s="81" t="n">
        <x:v>1989</x:v>
      </x:c>
      <x:c r="D671" s="80" t="str">
        <x:v>Porsche 959</x:v>
      </x:c>
      <x:c r="E671" s="80" t="str">
        <x:v>Porsche 959</x:v>
      </x:c>
      <x:c r="F671" s="82" t="str">
        <x:v>Park 'N Plates</x:v>
      </x:c>
      <x:c r="G671" s="80" t="str"/>
      <x:c r="H671" s="80" t="str">
        <x:v>Blue Tinted</x:v>
      </x:c>
      <x:c r="I671" s="83" t="str">
        <x:v>2038</x:v>
      </x:c>
      <x:c r="J671" s="80" t="str">
        <x:v>White</x:v>
      </x:c>
      <x:c r="K671" s="82" t="str">
        <x:v>Blue &amp; Red "PORSCHE"</x:v>
      </x:c>
      <x:c r="L671" s="82" t="str">
        <x:v>UH</x:v>
      </x:c>
      <x:c r="M671" s="82" t="str">
        <x:v>Unpainted / / / Metal</x:v>
      </x:c>
      <x:c r="N671" s="82" t="str">
        <x:v>Blue</x:v>
      </x:c>
      <x:c r="O671" s="82" t="str"/>
      <x:c r="P671" s="82" t="str">
        <x:v>Malaysia</x:v>
      </x:c>
      <x:c r="Q671" s="82" t="str"/>
      <x:c r="R671" s="82" t="str">
        <x:v>Mainline</x:v>
      </x:c>
      <x:c r="S671" s="82" t="str">
        <x:v>Rara</x:v>
      </x:c>
      <x:c r="T671" s="82" t="str">
        <x:v>Lançado</x:v>
      </x:c>
      <x:c r="U671" s="82" t="str">
        <x:v>came packaged with interlocking clear plastic box</x:v>
      </x:c>
      <x:c r="V671" s="80" t="str">
        <x:v>Coleção principal (~1:64)</x:v>
      </x:c>
      <x:c r="W671" s="82" t="str">
        <x:v>https://hotwheels.fandom.com/wiki/Porsche_959</x:v>
      </x:c>
      <x:c r="X671" s="82" t="str">
        <x:v>https://hotwheels.fandom.com/wiki/Porsche_959</x:v>
      </x:c>
    </x:row>
    <x:row r="672">
      <x:c r="A672" s="80" t="str">
        <x:v>Não</x:v>
      </x:c>
      <x:c r="B672" s="80" t="str">
        <x:v>2 — Completar aos poucos</x:v>
      </x:c>
      <x:c r="C672" s="81" t="n">
        <x:v>1989</x:v>
      </x:c>
      <x:c r="D672" s="80" t="str">
        <x:v>Porsche 959</x:v>
      </x:c>
      <x:c r="E672" s="80" t="str">
        <x:v>Porsche 959</x:v>
      </x:c>
      <x:c r="F672" s="82" t="str">
        <x:v>Park 'N Plates</x:v>
      </x:c>
      <x:c r="G672" s="80" t="str"/>
      <x:c r="H672" s="80" t="str">
        <x:v>Blue Tinted</x:v>
      </x:c>
      <x:c r="I672" s="83" t="str">
        <x:v>2038</x:v>
      </x:c>
      <x:c r="J672" s="80" t="str">
        <x:v>White</x:v>
      </x:c>
      <x:c r="K672" s="82" t="str">
        <x:v>Blue &amp; Red "PORSCHE"</x:v>
      </x:c>
      <x:c r="L672" s="82" t="str"/>
      <x:c r="M672" s="82" t="str">
        <x:v>Unpainted / / / Metal</x:v>
      </x:c>
      <x:c r="N672" s="82" t="str">
        <x:v>Blue</x:v>
      </x:c>
      <x:c r="O672" s="82" t="str">
        <x:v>BW</x:v>
      </x:c>
      <x:c r="P672" s="82" t="str">
        <x:v>Malaysia</x:v>
      </x:c>
      <x:c r="Q672" s="82" t="str"/>
      <x:c r="R672" s="82" t="str">
        <x:v>Mainline</x:v>
      </x:c>
      <x:c r="S672" s="82" t="str">
        <x:v>Rara</x:v>
      </x:c>
      <x:c r="T672" s="82" t="str">
        <x:v>Lançado</x:v>
      </x:c>
      <x:c r="U672" s="82" t="str">
        <x:v>came packaged with interlocking clear plastic box</x:v>
      </x:c>
      <x:c r="V672" s="80" t="str">
        <x:v>Coleção principal (~1:64)</x:v>
      </x:c>
      <x:c r="W672" s="82" t="str">
        <x:v>https://hotwheels.fandom.com/wiki/Porsche_959</x:v>
      </x:c>
      <x:c r="X672" s="82" t="str">
        <x:v>https://hotwheels.fandom.com/wiki/Porsche_959</x:v>
      </x:c>
    </x:row>
    <x:row r="673">
      <x:c r="A673" s="80" t="str">
        <x:v>Não</x:v>
      </x:c>
      <x:c r="B673" s="80" t="str">
        <x:v>2 — Completar aos poucos</x:v>
      </x:c>
      <x:c r="C673" s="81" t="n">
        <x:v>1988</x:v>
      </x:c>
      <x:c r="D673" s="80" t="str">
        <x:v>P-911</x:v>
      </x:c>
      <x:c r="E673" s="80" t="str">
        <x:v>P-911</x:v>
      </x:c>
      <x:c r="F673" s="82" t="str">
        <x:v>Automagic 2-Pack</x:v>
      </x:c>
      <x:c r="G673" s="80" t="str"/>
      <x:c r="H673" s="80" t="str"/>
      <x:c r="I673" s="83" t="str"/>
      <x:c r="J673" s="80" t="str">
        <x:v>Metallic Gray (Changes White to Metallic Black</x:v>
      </x:c>
      <x:c r="K673" s="82" t="str">
        <x:v>Black, white &amp; blue stripes. "2" on hood &amp; sides, "Turbo 300 H.P." twice on hood, "Turbo 911" on sides.</x:v>
      </x:c>
      <x:c r="L673" s="82" t="str">
        <x:v>BW</x:v>
      </x:c>
      <x:c r="M673" s="82" t="str">
        <x:v>Unpainted / Metal</x:v>
      </x:c>
      <x:c r="N673" s="82" t="str">
        <x:v>Smoke tint</x:v>
      </x:c>
      <x:c r="O673" s="82" t="str">
        <x:v>Black</x:v>
      </x:c>
      <x:c r="P673" s="82" t="str">
        <x:v>Malaysia</x:v>
      </x:c>
      <x:c r="Q673" s="82" t="str"/>
      <x:c r="R673" s="82" t="str">
        <x:v>Outra linha</x:v>
      </x:c>
      <x:c r="S673" s="82" t="str">
        <x:v>Rara</x:v>
      </x:c>
      <x:c r="T673" s="82" t="str">
        <x:v>Lançado</x:v>
      </x:c>
      <x:c r="U673" s="82" t="str"/>
      <x:c r="V673" s="80" t="str">
        <x:v>Coleção principal (~1:64)</x:v>
      </x:c>
      <x:c r="W673" s="82" t="str">
        <x:v>https://hotwheels.fandom.com/wiki/P-911</x:v>
      </x:c>
      <x:c r="X673" s="82" t="str">
        <x:v>https://hotwheels.fandom.com/wiki/P-911</x:v>
      </x:c>
    </x:row>
    <x:row r="674">
      <x:c r="A674" s="80" t="str">
        <x:v>Não</x:v>
      </x:c>
      <x:c r="B674" s="80" t="str">
        <x:v>2 — Completar aos poucos</x:v>
      </x:c>
      <x:c r="C674" s="81" t="n">
        <x:v>1988</x:v>
      </x:c>
      <x:c r="D674" s="80" t="str">
        <x:v>P-911</x:v>
      </x:c>
      <x:c r="E674" s="80" t="str">
        <x:v>P-911</x:v>
      </x:c>
      <x:c r="F674" s="82" t="str">
        <x:v>Automagic 2-Pack</x:v>
      </x:c>
      <x:c r="G674" s="80" t="str"/>
      <x:c r="H674" s="80" t="str"/>
      <x:c r="I674" s="83" t="str"/>
      <x:c r="J674" s="80" t="str">
        <x:v>Metallic Gray (Changes White to Metallic Black</x:v>
      </x:c>
      <x:c r="K674" s="82" t="str">
        <x:v>Black, white &amp; blue stripes. "2" on hood &amp; sides, "Turbo 300 H.P." twice on hood, "Turbo 911" on sides.</x:v>
      </x:c>
      <x:c r="L674" s="82" t="str">
        <x:v>BW</x:v>
      </x:c>
      <x:c r="M674" s="82" t="str">
        <x:v>Unpainted / / / Metal</x:v>
      </x:c>
      <x:c r="N674" s="82" t="str">
        <x:v>Black tint</x:v>
      </x:c>
      <x:c r="O674" s="82" t="str">
        <x:v>Black</x:v>
      </x:c>
      <x:c r="P674" s="82" t="str">
        <x:v>Malaysia</x:v>
      </x:c>
      <x:c r="Q674" s="82" t="str"/>
      <x:c r="R674" s="82" t="str">
        <x:v>Outra linha</x:v>
      </x:c>
      <x:c r="S674" s="82" t="str">
        <x:v>Rara</x:v>
      </x:c>
      <x:c r="T674" s="82" t="str">
        <x:v>Lançado</x:v>
      </x:c>
      <x:c r="U674" s="82" t="str"/>
      <x:c r="V674" s="80" t="str">
        <x:v>Coleção principal (~1:64)</x:v>
      </x:c>
      <x:c r="W674" s="82" t="str">
        <x:v>https://hotwheels.fandom.com/wiki/P-911</x:v>
      </x:c>
      <x:c r="X674" s="82" t="str">
        <x:v>https://hotwheels.fandom.com/wiki/P-911</x:v>
      </x:c>
    </x:row>
    <x:row r="675">
      <x:c r="A675" s="80" t="str">
        <x:v>Não</x:v>
      </x:c>
      <x:c r="B675" s="80" t="str">
        <x:v>2 — Completar aos poucos</x:v>
      </x:c>
      <x:c r="C675" s="81" t="n">
        <x:v>1988</x:v>
      </x:c>
      <x:c r="D675" s="80" t="str">
        <x:v>P-911</x:v>
      </x:c>
      <x:c r="E675" s="80" t="str">
        <x:v>P-911</x:v>
      </x:c>
      <x:c r="F675" s="82" t="str">
        <x:v>Color Racers 3-Pack</x:v>
      </x:c>
      <x:c r="G675" s="80" t="str"/>
      <x:c r="H675" s="80" t="str"/>
      <x:c r="I675" s="83" t="str"/>
      <x:c r="J675" s="80" t="str">
        <x:v>Dark Pink</x:v>
      </x:c>
      <x:c r="K675" s="82" t="str">
        <x:v>Purple, white &amp; Pink stripes. "2" on hood &amp; sides, "Turbo 300 H.P." twice on hood, "Turbo 911" on sides.</x:v>
      </x:c>
      <x:c r="L675" s="82" t="str">
        <x:v>BW</x:v>
      </x:c>
      <x:c r="M675" s="82" t="str">
        <x:v>Unpainted / Metal</x:v>
      </x:c>
      <x:c r="N675" s="82" t="str">
        <x:v>Smoke tint</x:v>
      </x:c>
      <x:c r="O675" s="82" t="str">
        <x:v>Black</x:v>
      </x:c>
      <x:c r="P675" s="82" t="str">
        <x:v>Malaysia</x:v>
      </x:c>
      <x:c r="Q675" s="82" t="str"/>
      <x:c r="R675" s="82" t="str">
        <x:v>Outra linha</x:v>
      </x:c>
      <x:c r="S675" s="82" t="str">
        <x:v>Rara</x:v>
      </x:c>
      <x:c r="T675" s="82" t="str">
        <x:v>Lançado</x:v>
      </x:c>
      <x:c r="U675" s="82" t="str"/>
      <x:c r="V675" s="80" t="str">
        <x:v>Coleção principal (~1:64)</x:v>
      </x:c>
      <x:c r="W675" s="82" t="str">
        <x:v>https://hotwheels.fandom.com/wiki/P-911</x:v>
      </x:c>
      <x:c r="X675" s="82" t="str">
        <x:v>https://hotwheels.fandom.com/wiki/P-911</x:v>
      </x:c>
    </x:row>
    <x:row r="676">
      <x:c r="A676" s="80" t="str">
        <x:v>Não</x:v>
      </x:c>
      <x:c r="B676" s="80" t="str">
        <x:v>2 — Completar aos poucos</x:v>
      </x:c>
      <x:c r="C676" s="81" t="n">
        <x:v>1988</x:v>
      </x:c>
      <x:c r="D676" s="80" t="str">
        <x:v>P-911</x:v>
      </x:c>
      <x:c r="E676" s="80" t="str">
        <x:v>P-911</x:v>
      </x:c>
      <x:c r="F676" s="82" t="str">
        <x:v>Color Racers 3-Pack</x:v>
      </x:c>
      <x:c r="G676" s="80" t="str"/>
      <x:c r="H676" s="80" t="str"/>
      <x:c r="I676" s="83" t="str"/>
      <x:c r="J676" s="80" t="str">
        <x:v>Dark Pink</x:v>
      </x:c>
      <x:c r="K676" s="82" t="str">
        <x:v>Purple, white &amp; Pink stripes. "2" on hood &amp; sides, "Turbo 300 H.P." twice on hood, "Turbo 911" on sides.</x:v>
      </x:c>
      <x:c r="L676" s="82" t="str">
        <x:v>BW</x:v>
      </x:c>
      <x:c r="M676" s="82" t="str">
        <x:v>Unpainted / / / Metal</x:v>
      </x:c>
      <x:c r="N676" s="82" t="str">
        <x:v>Black tint</x:v>
      </x:c>
      <x:c r="O676" s="82" t="str">
        <x:v>Black</x:v>
      </x:c>
      <x:c r="P676" s="82" t="str">
        <x:v>Malaysia</x:v>
      </x:c>
      <x:c r="Q676" s="82" t="str"/>
      <x:c r="R676" s="82" t="str">
        <x:v>Outra linha</x:v>
      </x:c>
      <x:c r="S676" s="82" t="str">
        <x:v>Rara</x:v>
      </x:c>
      <x:c r="T676" s="82" t="str">
        <x:v>Lançado</x:v>
      </x:c>
      <x:c r="U676" s="82" t="str"/>
      <x:c r="V676" s="80" t="str">
        <x:v>Coleção principal (~1:64)</x:v>
      </x:c>
      <x:c r="W676" s="82" t="str">
        <x:v>https://hotwheels.fandom.com/wiki/P-911</x:v>
      </x:c>
      <x:c r="X676" s="82" t="str">
        <x:v>https://hotwheels.fandom.com/wiki/P-911</x:v>
      </x:c>
    </x:row>
    <x:row r="677">
      <x:c r="A677" s="80" t="str">
        <x:v>Não</x:v>
      </x:c>
      <x:c r="B677" s="80" t="str">
        <x:v>2 — Completar aos poucos</x:v>
      </x:c>
      <x:c r="C677" s="81" t="n">
        <x:v>1988</x:v>
      </x:c>
      <x:c r="D677" s="80" t="str">
        <x:v>P-911</x:v>
      </x:c>
      <x:c r="E677" s="80" t="str">
        <x:v>P-911</x:v>
      </x:c>
      <x:c r="F677" s="82" t="str">
        <x:v>Color Racers 3-Pack</x:v>
      </x:c>
      <x:c r="G677" s="80" t="str"/>
      <x:c r="H677" s="80" t="str"/>
      <x:c r="I677" s="83" t="str"/>
      <x:c r="J677" s="80" t="str">
        <x:v>Gray (Changes White to Black)</x:v>
      </x:c>
      <x:c r="K677" s="82" t="str">
        <x:v>Black, white &amp; blue stripes. "2" &amp; "Turbo 911" on sides. No hood or roof tampo.</x:v>
      </x:c>
      <x:c r="L677" s="82" t="str">
        <x:v>BW</x:v>
      </x:c>
      <x:c r="M677" s="82" t="str">
        <x:v>Unpainted / Metal</x:v>
      </x:c>
      <x:c r="N677" s="82" t="str">
        <x:v>Smoke tint</x:v>
      </x:c>
      <x:c r="O677" s="82" t="str">
        <x:v>Black</x:v>
      </x:c>
      <x:c r="P677" s="82" t="str">
        <x:v>Malaysia</x:v>
      </x:c>
      <x:c r="Q677" s="82" t="str"/>
      <x:c r="R677" s="82" t="str">
        <x:v>Outra linha</x:v>
      </x:c>
      <x:c r="S677" s="82" t="str">
        <x:v>Rara</x:v>
      </x:c>
      <x:c r="T677" s="82" t="str">
        <x:v>Lançado</x:v>
      </x:c>
      <x:c r="U677" s="82" t="str"/>
      <x:c r="V677" s="80" t="str">
        <x:v>Coleção principal (~1:64)</x:v>
      </x:c>
      <x:c r="W677" s="82" t="str">
        <x:v>https://hotwheels.fandom.com/wiki/P-911</x:v>
      </x:c>
      <x:c r="X677" s="82" t="str">
        <x:v>https://hotwheels.fandom.com/wiki/P-911</x:v>
      </x:c>
    </x:row>
    <x:row r="678">
      <x:c r="A678" s="80" t="str">
        <x:v>Não</x:v>
      </x:c>
      <x:c r="B678" s="80" t="str">
        <x:v>2 — Completar aos poucos</x:v>
      </x:c>
      <x:c r="C678" s="81" t="n">
        <x:v>1988</x:v>
      </x:c>
      <x:c r="D678" s="80" t="str">
        <x:v>P-911</x:v>
      </x:c>
      <x:c r="E678" s="80" t="str">
        <x:v>P-911</x:v>
      </x:c>
      <x:c r="F678" s="82" t="str">
        <x:v>Color Racers 3-Pack</x:v>
      </x:c>
      <x:c r="G678" s="80" t="str"/>
      <x:c r="H678" s="80" t="str"/>
      <x:c r="I678" s="83" t="str"/>
      <x:c r="J678" s="80" t="str">
        <x:v>Gray (Changes White to Black)</x:v>
      </x:c>
      <x:c r="K678" s="82" t="str">
        <x:v>Black, white &amp; blue stripes. "2" &amp; "Turbo 911" on sides. No hood or roof tampo.</x:v>
      </x:c>
      <x:c r="L678" s="82" t="str">
        <x:v>BW</x:v>
      </x:c>
      <x:c r="M678" s="82" t="str">
        <x:v>Unpainted / / / Metal</x:v>
      </x:c>
      <x:c r="N678" s="82" t="str">
        <x:v>Black tint</x:v>
      </x:c>
      <x:c r="O678" s="82" t="str">
        <x:v>Black</x:v>
      </x:c>
      <x:c r="P678" s="82" t="str">
        <x:v>Malaysia</x:v>
      </x:c>
      <x:c r="Q678" s="82" t="str"/>
      <x:c r="R678" s="82" t="str">
        <x:v>Outra linha</x:v>
      </x:c>
      <x:c r="S678" s="82" t="str">
        <x:v>Rara</x:v>
      </x:c>
      <x:c r="T678" s="82" t="str">
        <x:v>Lançado</x:v>
      </x:c>
      <x:c r="U678" s="82" t="str"/>
      <x:c r="V678" s="80" t="str">
        <x:v>Coleção principal (~1:64)</x:v>
      </x:c>
      <x:c r="W678" s="82" t="str">
        <x:v>https://hotwheels.fandom.com/wiki/P-911</x:v>
      </x:c>
      <x:c r="X678" s="82" t="str">
        <x:v>https://hotwheels.fandom.com/wiki/P-911</x:v>
      </x:c>
    </x:row>
    <x:row r="679">
      <x:c r="A679" s="80" t="str">
        <x:v>Não</x:v>
      </x:c>
      <x:c r="B679" s="80" t="str">
        <x:v>2 — Completar aos poucos</x:v>
      </x:c>
      <x:c r="C679" s="81" t="n">
        <x:v>1988</x:v>
      </x:c>
      <x:c r="D679" s="80" t="str">
        <x:v>P-911</x:v>
      </x:c>
      <x:c r="E679" s="80" t="str">
        <x:v>P-911</x:v>
      </x:c>
      <x:c r="F679" s="82" t="str">
        <x:v>Color Racers 3-Pack</x:v>
      </x:c>
      <x:c r="G679" s="80" t="str"/>
      <x:c r="H679" s="80" t="str"/>
      <x:c r="I679" s="83" t="str"/>
      <x:c r="J679" s="80" t="str">
        <x:v>Pink Neon</x:v>
      </x:c>
      <x:c r="K679" s="82" t="str">
        <x:v>Dark Red, Yellow stripes. "2" on hood &amp; sides, "Turbo 300 H.P." twice on hood, "Turbo 911" on sides.</x:v>
      </x:c>
      <x:c r="L679" s="82" t="str">
        <x:v>BW</x:v>
      </x:c>
      <x:c r="M679" s="82" t="str">
        <x:v>Unpainted / Metal</x:v>
      </x:c>
      <x:c r="N679" s="82" t="str">
        <x:v>Smoke tint</x:v>
      </x:c>
      <x:c r="O679" s="82" t="str">
        <x:v>Black</x:v>
      </x:c>
      <x:c r="P679" s="82" t="str">
        <x:v>Malaysia</x:v>
      </x:c>
      <x:c r="Q679" s="82" t="str"/>
      <x:c r="R679" s="82" t="str">
        <x:v>Outra linha</x:v>
      </x:c>
      <x:c r="S679" s="82" t="str">
        <x:v>Rara</x:v>
      </x:c>
      <x:c r="T679" s="82" t="str">
        <x:v>Lançado</x:v>
      </x:c>
      <x:c r="U679" s="82" t="str">
        <x:v>Rare Tampo Appears in a Automagic 2-Pack Color Racers single with Sponge Color Racers 3-pk</x:v>
      </x:c>
      <x:c r="V679" s="80" t="str">
        <x:v>Coleção principal (~1:64)</x:v>
      </x:c>
      <x:c r="W679" s="82" t="str">
        <x:v>https://hotwheels.fandom.com/wiki/P-911</x:v>
      </x:c>
      <x:c r="X679" s="82" t="str">
        <x:v>https://hotwheels.fandom.com/wiki/P-911</x:v>
      </x:c>
    </x:row>
    <x:row r="680">
      <x:c r="A680" s="80" t="str">
        <x:v>Não</x:v>
      </x:c>
      <x:c r="B680" s="80" t="str">
        <x:v>2 — Completar aos poucos</x:v>
      </x:c>
      <x:c r="C680" s="81" t="n">
        <x:v>1988</x:v>
      </x:c>
      <x:c r="D680" s="80" t="str">
        <x:v>P-911</x:v>
      </x:c>
      <x:c r="E680" s="80" t="str">
        <x:v>P-911</x:v>
      </x:c>
      <x:c r="F680" s="82" t="str">
        <x:v>Color Racers 3-Pack</x:v>
      </x:c>
      <x:c r="G680" s="80" t="str"/>
      <x:c r="H680" s="80" t="str"/>
      <x:c r="I680" s="83" t="str"/>
      <x:c r="J680" s="80" t="str">
        <x:v>Pink Neon</x:v>
      </x:c>
      <x:c r="K680" s="82" t="str">
        <x:v>Dark Red, Yellow stripes. "2" on hood &amp; sides, "Turbo 300 H.P." twice on hood, "Turbo 911" on sides.</x:v>
      </x:c>
      <x:c r="L680" s="82" t="str">
        <x:v>BW</x:v>
      </x:c>
      <x:c r="M680" s="82" t="str">
        <x:v>Unpainted / / / Metal</x:v>
      </x:c>
      <x:c r="N680" s="82" t="str">
        <x:v>Black tint</x:v>
      </x:c>
      <x:c r="O680" s="82" t="str">
        <x:v>Black</x:v>
      </x:c>
      <x:c r="P680" s="82" t="str">
        <x:v>Malaysia</x:v>
      </x:c>
      <x:c r="Q680" s="82" t="str"/>
      <x:c r="R680" s="82" t="str">
        <x:v>Outra linha</x:v>
      </x:c>
      <x:c r="S680" s="82" t="str">
        <x:v>Rara</x:v>
      </x:c>
      <x:c r="T680" s="82" t="str">
        <x:v>Lançado</x:v>
      </x:c>
      <x:c r="U680" s="82" t="str">
        <x:v>Rare Tampo / Appears in a Automagic 2-Pack / Color Racers single with Sponge / Color Racers 3-pk</x:v>
      </x:c>
      <x:c r="V680" s="80" t="str">
        <x:v>Coleção principal (~1:64)</x:v>
      </x:c>
      <x:c r="W680" s="82" t="str">
        <x:v>https://hotwheels.fandom.com/wiki/P-911</x:v>
      </x:c>
      <x:c r="X680" s="82" t="str">
        <x:v>https://hotwheels.fandom.com/wiki/P-911</x:v>
      </x:c>
    </x:row>
    <x:row r="681">
      <x:c r="A681" s="80" t="str">
        <x:v>Não</x:v>
      </x:c>
      <x:c r="B681" s="80" t="str">
        <x:v>2 — Completar aos poucos</x:v>
      </x:c>
      <x:c r="C681" s="81" t="n">
        <x:v>1988</x:v>
      </x:c>
      <x:c r="D681" s="80" t="str">
        <x:v>P-911</x:v>
      </x:c>
      <x:c r="E681" s="80" t="str">
        <x:v>P-911</x:v>
      </x:c>
      <x:c r="F681" s="82" t="str">
        <x:v>Color Racers 3-Pack</x:v>
      </x:c>
      <x:c r="G681" s="80" t="str"/>
      <x:c r="H681" s="80" t="str"/>
      <x:c r="I681" s="83" t="str"/>
      <x:c r="J681" s="80" t="str">
        <x:v>Pink Solid (Changes White to Red)</x:v>
      </x:c>
      <x:c r="K681" s="82" t="str">
        <x:v>Red, white &amp; blue stripes. "2" on hood &amp; sides, "Turbo 300 H.P." twice on hood, "Turbo 911" on sides.</x:v>
      </x:c>
      <x:c r="L681" s="82" t="str">
        <x:v>BW</x:v>
      </x:c>
      <x:c r="M681" s="82" t="str">
        <x:v>Unpainted / Metal</x:v>
      </x:c>
      <x:c r="N681" s="82" t="str">
        <x:v>Smoke tint</x:v>
      </x:c>
      <x:c r="O681" s="82" t="str">
        <x:v>Black</x:v>
      </x:c>
      <x:c r="P681" s="82" t="str">
        <x:v>Malaysia</x:v>
      </x:c>
      <x:c r="Q681" s="82" t="str"/>
      <x:c r="R681" s="82" t="str">
        <x:v>Outra linha</x:v>
      </x:c>
      <x:c r="S681" s="82" t="str">
        <x:v>Rara</x:v>
      </x:c>
      <x:c r="T681" s="82" t="str">
        <x:v>Lançado</x:v>
      </x:c>
      <x:c r="U681" s="82" t="str">
        <x:v>Appears in a Automagic Single Pack &amp; 2-Pack</x:v>
      </x:c>
      <x:c r="V681" s="80" t="str">
        <x:v>Coleção principal (~1:64)</x:v>
      </x:c>
      <x:c r="W681" s="82" t="str">
        <x:v>https://hotwheels.fandom.com/wiki/P-911</x:v>
      </x:c>
      <x:c r="X681" s="82" t="str">
        <x:v>https://hotwheels.fandom.com/wiki/P-911</x:v>
      </x:c>
    </x:row>
    <x:row r="682">
      <x:c r="A682" s="80" t="str">
        <x:v>Não</x:v>
      </x:c>
      <x:c r="B682" s="80" t="str">
        <x:v>2 — Completar aos poucos</x:v>
      </x:c>
      <x:c r="C682" s="81" t="n">
        <x:v>1988</x:v>
      </x:c>
      <x:c r="D682" s="80" t="str">
        <x:v>P-911</x:v>
      </x:c>
      <x:c r="E682" s="80" t="str">
        <x:v>P-911</x:v>
      </x:c>
      <x:c r="F682" s="82" t="str">
        <x:v>Color Racers 3-Pack</x:v>
      </x:c>
      <x:c r="G682" s="80" t="str"/>
      <x:c r="H682" s="80" t="str"/>
      <x:c r="I682" s="83" t="str"/>
      <x:c r="J682" s="80" t="str">
        <x:v>Pink Solid (Changes White to Red)</x:v>
      </x:c>
      <x:c r="K682" s="82" t="str">
        <x:v>Red, white &amp; blue stripes. "2" on hood &amp; sides, "Turbo 300 H.P." twice on hood, "Turbo 911" on sides.</x:v>
      </x:c>
      <x:c r="L682" s="82" t="str">
        <x:v>BW</x:v>
      </x:c>
      <x:c r="M682" s="82" t="str">
        <x:v>Unpainted / / / Metal</x:v>
      </x:c>
      <x:c r="N682" s="82" t="str">
        <x:v>Black tint</x:v>
      </x:c>
      <x:c r="O682" s="82" t="str">
        <x:v>Black</x:v>
      </x:c>
      <x:c r="P682" s="82" t="str">
        <x:v>Malaysia</x:v>
      </x:c>
      <x:c r="Q682" s="82" t="str"/>
      <x:c r="R682" s="82" t="str">
        <x:v>Outra linha</x:v>
      </x:c>
      <x:c r="S682" s="82" t="str">
        <x:v>Rara</x:v>
      </x:c>
      <x:c r="T682" s="82" t="str">
        <x:v>Lançado</x:v>
      </x:c>
      <x:c r="U682" s="82" t="str">
        <x:v>Appears in a Automagic Single Pack &amp; 2-Pack</x:v>
      </x:c>
      <x:c r="V682" s="80" t="str">
        <x:v>Coleção principal (~1:64)</x:v>
      </x:c>
      <x:c r="W682" s="82" t="str">
        <x:v>https://hotwheels.fandom.com/wiki/P-911</x:v>
      </x:c>
      <x:c r="X682" s="82" t="str">
        <x:v>https://hotwheels.fandom.com/wiki/P-911</x:v>
      </x:c>
    </x:row>
    <x:row r="683">
      <x:c r="A683" s="80" t="str">
        <x:v>Não</x:v>
      </x:c>
      <x:c r="B683" s="80" t="str">
        <x:v>2 — Completar aos poucos</x:v>
      </x:c>
      <x:c r="C683" s="81" t="n">
        <x:v>1988</x:v>
      </x:c>
      <x:c r="D683" s="80" t="str">
        <x:v>P-911</x:v>
      </x:c>
      <x:c r="E683" s="80" t="str">
        <x:v>P-911</x:v>
      </x:c>
      <x:c r="F683" s="82" t="str">
        <x:v>Color Racers Collector Set</x:v>
      </x:c>
      <x:c r="G683" s="80" t="str"/>
      <x:c r="H683" s="80" t="str"/>
      <x:c r="I683" s="83" t="str"/>
      <x:c r="J683" s="80" t="str">
        <x:v>Gray</x:v>
      </x:c>
      <x:c r="K683" s="82" t="str">
        <x:v>Black, white &amp; blue stripes. "2" on hood.</x:v>
      </x:c>
      <x:c r="L683" s="82" t="str">
        <x:v>BW</x:v>
      </x:c>
      <x:c r="M683" s="82" t="str">
        <x:v>Unpainted / Metal</x:v>
      </x:c>
      <x:c r="N683" s="82" t="str">
        <x:v>Smoke tint</x:v>
      </x:c>
      <x:c r="O683" s="82" t="str">
        <x:v>Black</x:v>
      </x:c>
      <x:c r="P683" s="82" t="str">
        <x:v>Malaysia</x:v>
      </x:c>
      <x:c r="Q683" s="82" t="str"/>
      <x:c r="R683" s="82" t="str">
        <x:v>Temática / multipack</x:v>
      </x:c>
      <x:c r="S683" s="82" t="str">
        <x:v>Rara</x:v>
      </x:c>
      <x:c r="T683" s="82" t="str">
        <x:v>Lançado</x:v>
      </x:c>
      <x:c r="U683" s="82" t="str">
        <x:v>Pictured with a Micro Hot Wheels</x:v>
      </x:c>
      <x:c r="V683" s="80" t="str">
        <x:v>Coleção principal (~1:64)</x:v>
      </x:c>
      <x:c r="W683" s="82" t="str">
        <x:v>https://hotwheels.fandom.com/wiki/P-911</x:v>
      </x:c>
      <x:c r="X683" s="82" t="str">
        <x:v>https://hotwheels.fandom.com/wiki/P-911</x:v>
      </x:c>
    </x:row>
    <x:row r="684">
      <x:c r="A684" s="80" t="str">
        <x:v>Não</x:v>
      </x:c>
      <x:c r="B684" s="80" t="str">
        <x:v>2 — Completar aos poucos</x:v>
      </x:c>
      <x:c r="C684" s="81" t="n">
        <x:v>1988</x:v>
      </x:c>
      <x:c r="D684" s="80" t="str">
        <x:v>P-911</x:v>
      </x:c>
      <x:c r="E684" s="80" t="str">
        <x:v>P-911</x:v>
      </x:c>
      <x:c r="F684" s="82" t="str">
        <x:v>Color Racers Collector Set</x:v>
      </x:c>
      <x:c r="G684" s="80" t="str"/>
      <x:c r="H684" s="80" t="str"/>
      <x:c r="I684" s="83" t="str"/>
      <x:c r="J684" s="80" t="str">
        <x:v>Gray</x:v>
      </x:c>
      <x:c r="K684" s="82" t="str">
        <x:v>Black, white &amp; blue stripes. "2" on hood.</x:v>
      </x:c>
      <x:c r="L684" s="82" t="str">
        <x:v>BW</x:v>
      </x:c>
      <x:c r="M684" s="82" t="str">
        <x:v>Unpainted / / / Metal</x:v>
      </x:c>
      <x:c r="N684" s="82" t="str">
        <x:v>Black tint</x:v>
      </x:c>
      <x:c r="O684" s="82" t="str">
        <x:v>Black</x:v>
      </x:c>
      <x:c r="P684" s="82" t="str">
        <x:v>Malaysia</x:v>
      </x:c>
      <x:c r="Q684" s="82" t="str"/>
      <x:c r="R684" s="82" t="str">
        <x:v>Temática / multipack</x:v>
      </x:c>
      <x:c r="S684" s="82" t="str">
        <x:v>Rara</x:v>
      </x:c>
      <x:c r="T684" s="82" t="str">
        <x:v>Lançado</x:v>
      </x:c>
      <x:c r="U684" s="82" t="str">
        <x:v>Pictured with a Micro Hot Wheels</x:v>
      </x:c>
      <x:c r="V684" s="80" t="str">
        <x:v>Coleção principal (~1:64)</x:v>
      </x:c>
      <x:c r="W684" s="82" t="str">
        <x:v>https://hotwheels.fandom.com/wiki/P-911</x:v>
      </x:c>
      <x:c r="X684" s="82" t="str">
        <x:v>https://hotwheels.fandom.com/wiki/P-911</x:v>
      </x:c>
    </x:row>
    <x:row r="685">
      <x:c r="A685" s="80" t="str">
        <x:v>Não</x:v>
      </x:c>
      <x:c r="B685" s="80" t="str">
        <x:v>2 — Completar aos poucos</x:v>
      </x:c>
      <x:c r="C685" s="81" t="n">
        <x:v>1988</x:v>
      </x:c>
      <x:c r="D685" s="80" t="str">
        <x:v>P-911</x:v>
      </x:c>
      <x:c r="E685" s="80" t="str">
        <x:v>P-911</x:v>
      </x:c>
      <x:c r="F685" s="82" t="str">
        <x:v>Mainline</x:v>
      </x:c>
      <x:c r="G685" s="80" t="str"/>
      <x:c r="H685" s="80" t="str"/>
      <x:c r="I685" s="83" t="str"/>
      <x:c r="J685" s="80" t="str">
        <x:v>Black</x:v>
      </x:c>
      <x:c r="K685" s="82" t="str">
        <x:v>N/A</x:v>
      </x:c>
      <x:c r="L685" s="82" t="str">
        <x:v>Gold BW</x:v>
      </x:c>
      <x:c r="M685" s="82" t="str">
        <x:v>Unpainted / Metal</x:v>
      </x:c>
      <x:c r="N685" s="82" t="str">
        <x:v>Smoke tint</x:v>
      </x:c>
      <x:c r="O685" s="82" t="str">
        <x:v>Black</x:v>
      </x:c>
      <x:c r="P685" s="82" t="str">
        <x:v>Hong Kong</x:v>
      </x:c>
      <x:c r="Q685" s="82" t="str"/>
      <x:c r="R685" s="82" t="str">
        <x:v>Mainline</x:v>
      </x:c>
      <x:c r="S685" s="82" t="str">
        <x:v>Rara</x:v>
      </x:c>
      <x:c r="T685" s="82" t="str">
        <x:v>Lançado</x:v>
      </x:c>
      <x:c r="U685" s="82" t="str"/>
      <x:c r="V685" s="80" t="str">
        <x:v>Coleção principal (~1:64)</x:v>
      </x:c>
      <x:c r="W685" s="82" t="str">
        <x:v>https://hotwheels.fandom.com/wiki/P-911</x:v>
      </x:c>
      <x:c r="X685" s="82" t="str">
        <x:v>https://hotwheels.fandom.com/wiki/P-911</x:v>
      </x:c>
    </x:row>
    <x:row r="686">
      <x:c r="A686" s="80" t="str">
        <x:v>Não</x:v>
      </x:c>
      <x:c r="B686" s="80" t="str">
        <x:v>2 — Completar aos poucos</x:v>
      </x:c>
      <x:c r="C686" s="81" t="n">
        <x:v>1988</x:v>
      </x:c>
      <x:c r="D686" s="80" t="str">
        <x:v>P-911</x:v>
      </x:c>
      <x:c r="E686" s="80" t="str">
        <x:v>P-911</x:v>
      </x:c>
      <x:c r="F686" s="82" t="str">
        <x:v>Mainline</x:v>
      </x:c>
      <x:c r="G686" s="80" t="str"/>
      <x:c r="H686" s="80" t="str"/>
      <x:c r="I686" s="83" t="str"/>
      <x:c r="J686" s="80" t="str">
        <x:v>Black</x:v>
      </x:c>
      <x:c r="K686" s="82" t="str">
        <x:v>N/A</x:v>
      </x:c>
      <x:c r="L686" s="82" t="str">
        <x:v>Gold BW</x:v>
      </x:c>
      <x:c r="M686" s="82" t="str">
        <x:v>Unpainted / / / Metal</x:v>
      </x:c>
      <x:c r="N686" s="82" t="str">
        <x:v>Black tint</x:v>
      </x:c>
      <x:c r="O686" s="82" t="str">
        <x:v>Black</x:v>
      </x:c>
      <x:c r="P686" s="82" t="str">
        <x:v>Hong Kong</x:v>
      </x:c>
      <x:c r="Q686" s="82" t="str"/>
      <x:c r="R686" s="82" t="str">
        <x:v>Mainline</x:v>
      </x:c>
      <x:c r="S686" s="82" t="str">
        <x:v>Rara</x:v>
      </x:c>
      <x:c r="T686" s="82" t="str">
        <x:v>Lançado</x:v>
      </x:c>
      <x:c r="U686" s="82" t="str"/>
      <x:c r="V686" s="80" t="str">
        <x:v>Coleção principal (~1:64)</x:v>
      </x:c>
      <x:c r="W686" s="82" t="str">
        <x:v>https://hotwheels.fandom.com/wiki/P-911</x:v>
      </x:c>
      <x:c r="X686" s="82" t="str">
        <x:v>https://hotwheels.fandom.com/wiki/P-911</x:v>
      </x:c>
    </x:row>
    <x:row r="687">
      <x:c r="A687" s="80" t="str">
        <x:v>Não</x:v>
      </x:c>
      <x:c r="B687" s="80" t="str">
        <x:v>2 — Completar aos poucos</x:v>
      </x:c>
      <x:c r="C687" s="81" t="n">
        <x:v>1988</x:v>
      </x:c>
      <x:c r="D687" s="80" t="str">
        <x:v>P-911</x:v>
      </x:c>
      <x:c r="E687" s="80" t="str">
        <x:v>P-911</x:v>
      </x:c>
      <x:c r="F687" s="82" t="str">
        <x:v>Mainline</x:v>
      </x:c>
      <x:c r="G687" s="80" t="str"/>
      <x:c r="H687" s="80" t="str"/>
      <x:c r="I687" s="83" t="str"/>
      <x:c r="J687" s="80" t="str">
        <x:v>White</x:v>
      </x:c>
      <x:c r="K687" s="82" t="str">
        <x:v>Yellow, Red &amp; Black "95"</x:v>
      </x:c>
      <x:c r="L687" s="82" t="str">
        <x:v>Gold BW</x:v>
      </x:c>
      <x:c r="M687" s="82" t="str">
        <x:v>Unpainted / Metal</x:v>
      </x:c>
      <x:c r="N687" s="82" t="str">
        <x:v>Smoke tint</x:v>
      </x:c>
      <x:c r="O687" s="82" t="str">
        <x:v>Black</x:v>
      </x:c>
      <x:c r="P687" s="82" t="str">
        <x:v>Hong Kong</x:v>
      </x:c>
      <x:c r="Q687" s="82" t="str"/>
      <x:c r="R687" s="82" t="str">
        <x:v>Mainline</x:v>
      </x:c>
      <x:c r="S687" s="82" t="str">
        <x:v>Rara</x:v>
      </x:c>
      <x:c r="T687" s="82" t="str">
        <x:v>Lançado</x:v>
      </x:c>
      <x:c r="U687" s="82" t="str"/>
      <x:c r="V687" s="80" t="str">
        <x:v>Coleção principal (~1:64)</x:v>
      </x:c>
      <x:c r="W687" s="82" t="str">
        <x:v>https://hotwheels.fandom.com/wiki/P-911</x:v>
      </x:c>
      <x:c r="X687" s="82" t="str">
        <x:v>https://hotwheels.fandom.com/wiki/P-911</x:v>
      </x:c>
    </x:row>
    <x:row r="688">
      <x:c r="A688" s="80" t="str">
        <x:v>Não</x:v>
      </x:c>
      <x:c r="B688" s="80" t="str">
        <x:v>2 — Completar aos poucos</x:v>
      </x:c>
      <x:c r="C688" s="81" t="n">
        <x:v>1988</x:v>
      </x:c>
      <x:c r="D688" s="80" t="str">
        <x:v>P-911</x:v>
      </x:c>
      <x:c r="E688" s="80" t="str">
        <x:v>P-911</x:v>
      </x:c>
      <x:c r="F688" s="82" t="str">
        <x:v>Mainline</x:v>
      </x:c>
      <x:c r="G688" s="80" t="str"/>
      <x:c r="H688" s="80" t="str"/>
      <x:c r="I688" s="83" t="str"/>
      <x:c r="J688" s="80" t="str">
        <x:v>White</x:v>
      </x:c>
      <x:c r="K688" s="82" t="str">
        <x:v>Yellow, Red &amp; Black "95"</x:v>
      </x:c>
      <x:c r="L688" s="82" t="str">
        <x:v>Gold BW</x:v>
      </x:c>
      <x:c r="M688" s="82" t="str">
        <x:v>Unpainted / / / Metal</x:v>
      </x:c>
      <x:c r="N688" s="82" t="str">
        <x:v>Black tint</x:v>
      </x:c>
      <x:c r="O688" s="82" t="str">
        <x:v>Black</x:v>
      </x:c>
      <x:c r="P688" s="82" t="str">
        <x:v>Hong Kong</x:v>
      </x:c>
      <x:c r="Q688" s="82" t="str"/>
      <x:c r="R688" s="82" t="str">
        <x:v>Mainline</x:v>
      </x:c>
      <x:c r="S688" s="82" t="str">
        <x:v>Rara</x:v>
      </x:c>
      <x:c r="T688" s="82" t="str">
        <x:v>Lançado</x:v>
      </x:c>
      <x:c r="U688" s="82" t="str"/>
      <x:c r="V688" s="80" t="str">
        <x:v>Coleção principal (~1:64)</x:v>
      </x:c>
      <x:c r="W688" s="82" t="str">
        <x:v>https://hotwheels.fandom.com/wiki/P-911</x:v>
      </x:c>
      <x:c r="X688" s="82" t="str">
        <x:v>https://hotwheels.fandom.com/wiki/P-911</x:v>
      </x:c>
    </x:row>
    <x:row r="689">
      <x:c r="A689" s="80" t="str">
        <x:v>Não</x:v>
      </x:c>
      <x:c r="B689" s="80" t="str">
        <x:v>2 — Completar aos poucos</x:v>
      </x:c>
      <x:c r="C689" s="81" t="n">
        <x:v>1988</x:v>
      </x:c>
      <x:c r="D689" s="80" t="str">
        <x:v>P-911</x:v>
      </x:c>
      <x:c r="E689" s="80" t="str">
        <x:v>P-911</x:v>
      </x:c>
      <x:c r="F689" s="82" t="str">
        <x:v>Speed Fleet</x:v>
      </x:c>
      <x:c r="G689" s="80" t="str"/>
      <x:c r="H689" s="80" t="str"/>
      <x:c r="I689" s="83" t="str"/>
      <x:c r="J689" s="80" t="str">
        <x:v>Black</x:v>
      </x:c>
      <x:c r="K689" s="82" t="str">
        <x:v>Red, White, Yellow "95"</x:v>
      </x:c>
      <x:c r="L689" s="82" t="str">
        <x:v>BW</x:v>
      </x:c>
      <x:c r="M689" s="82" t="str">
        <x:v>Unpainted / Metal</x:v>
      </x:c>
      <x:c r="N689" s="82" t="str">
        <x:v>Smoke tint</x:v>
      </x:c>
      <x:c r="O689" s="82" t="str">
        <x:v>Black</x:v>
      </x:c>
      <x:c r="P689" s="82" t="str">
        <x:v>Malaysia</x:v>
      </x:c>
      <x:c r="Q689" s="82" t="str"/>
      <x:c r="R689" s="82" t="str">
        <x:v>Outra linha</x:v>
      </x:c>
      <x:c r="S689" s="82" t="str">
        <x:v>Rara</x:v>
      </x:c>
      <x:c r="T689" s="82" t="str">
        <x:v>Lançado</x:v>
      </x:c>
      <x:c r="U689" s="82" t="str">
        <x:v>Tampos slightly different then older named Porsche 911 Turbo</x:v>
      </x:c>
      <x:c r="V689" s="80" t="str">
        <x:v>Coleção principal (~1:64)</x:v>
      </x:c>
      <x:c r="W689" s="82" t="str">
        <x:v>https://hotwheels.fandom.com/wiki/P-911</x:v>
      </x:c>
      <x:c r="X689" s="82" t="str">
        <x:v>https://hotwheels.fandom.com/wiki/P-911</x:v>
      </x:c>
    </x:row>
    <x:row r="690">
      <x:c r="A690" s="80" t="str">
        <x:v>Não</x:v>
      </x:c>
      <x:c r="B690" s="80" t="str">
        <x:v>2 — Completar aos poucos</x:v>
      </x:c>
      <x:c r="C690" s="81" t="n">
        <x:v>1988</x:v>
      </x:c>
      <x:c r="D690" s="80" t="str">
        <x:v>P-911</x:v>
      </x:c>
      <x:c r="E690" s="80" t="str">
        <x:v>P-911</x:v>
      </x:c>
      <x:c r="F690" s="82" t="str">
        <x:v>Speed Fleet</x:v>
      </x:c>
      <x:c r="G690" s="80" t="str"/>
      <x:c r="H690" s="80" t="str"/>
      <x:c r="I690" s="83" t="str"/>
      <x:c r="J690" s="80" t="str">
        <x:v>Black</x:v>
      </x:c>
      <x:c r="K690" s="82" t="str">
        <x:v>Red, White, Yellow "95"</x:v>
      </x:c>
      <x:c r="L690" s="82" t="str">
        <x:v>BW</x:v>
      </x:c>
      <x:c r="M690" s="82" t="str">
        <x:v>Unpainted / / / Metal</x:v>
      </x:c>
      <x:c r="N690" s="82" t="str">
        <x:v>Black tint</x:v>
      </x:c>
      <x:c r="O690" s="82" t="str">
        <x:v>Black</x:v>
      </x:c>
      <x:c r="P690" s="82" t="str">
        <x:v>Malaysia</x:v>
      </x:c>
      <x:c r="Q690" s="82" t="str"/>
      <x:c r="R690" s="82" t="str">
        <x:v>Outra linha</x:v>
      </x:c>
      <x:c r="S690" s="82" t="str">
        <x:v>Rara</x:v>
      </x:c>
      <x:c r="T690" s="82" t="str">
        <x:v>Lançado</x:v>
      </x:c>
      <x:c r="U690" s="82" t="str">
        <x:v>Tampos slightly different then older / named Porsche 911 Turbo</x:v>
      </x:c>
      <x:c r="V690" s="80" t="str">
        <x:v>Coleção principal (~1:64)</x:v>
      </x:c>
      <x:c r="W690" s="82" t="str">
        <x:v>https://hotwheels.fandom.com/wiki/P-911</x:v>
      </x:c>
      <x:c r="X690" s="82" t="str">
        <x:v>https://hotwheels.fandom.com/wiki/P-911</x:v>
      </x:c>
    </x:row>
    <x:row r="691">
      <x:c r="A691" s="80" t="str">
        <x:v>Não</x:v>
      </x:c>
      <x:c r="B691" s="80" t="str">
        <x:v>2 — Completar aos poucos</x:v>
      </x:c>
      <x:c r="C691" s="81" t="n">
        <x:v>1988</x:v>
      </x:c>
      <x:c r="D691" s="80" t="str">
        <x:v>P-928</x:v>
      </x:c>
      <x:c r="E691" s="80" t="str">
        <x:v>P-928</x:v>
      </x:c>
      <x:c r="F691" s="82" t="str">
        <x:v>Automagic 2-Pack</x:v>
      </x:c>
      <x:c r="G691" s="80" t="str"/>
      <x:c r="H691" s="80" t="str"/>
      <x:c r="I691" s="83" t="str"/>
      <x:c r="J691" s="80" t="str">
        <x:v>Light Orange</x:v>
      </x:c>
      <x:c r="K691" s="82" t="str">
        <x:v>Blue Arrow, White stripes, Red "Turbo"</x:v>
      </x:c>
      <x:c r="L691" s="82" t="str">
        <x:v>BW</x:v>
      </x:c>
      <x:c r="M691" s="82" t="str">
        <x:v>Unpainted / Metal</x:v>
      </x:c>
      <x:c r="N691" s="82" t="str">
        <x:v>Black</x:v>
      </x:c>
      <x:c r="O691" s="82" t="str"/>
      <x:c r="P691" s="82" t="str"/>
      <x:c r="Q691" s="82" t="str"/>
      <x:c r="R691" s="82" t="str">
        <x:v>Outra linha</x:v>
      </x:c>
      <x:c r="S691" s="82" t="str">
        <x:v>Rara</x:v>
      </x:c>
      <x:c r="T691" s="82" t="str">
        <x:v>Lançado</x:v>
      </x:c>
      <x:c r="U691" s="82" t="str">
        <x:v>Turns Purple</x:v>
      </x:c>
      <x:c r="V691" s="80" t="str">
        <x:v>Coleção principal (~1:64)</x:v>
      </x:c>
      <x:c r="W691" s="82" t="str">
        <x:v>https://hotwheels.fandom.com/wiki/P-928</x:v>
      </x:c>
      <x:c r="X691" s="82" t="str">
        <x:v>https://hotwheels.fandom.com/wiki/P-928</x:v>
      </x:c>
    </x:row>
    <x:row r="692">
      <x:c r="A692" s="80" t="str">
        <x:v>Não</x:v>
      </x:c>
      <x:c r="B692" s="80" t="str">
        <x:v>2 — Completar aos poucos</x:v>
      </x:c>
      <x:c r="C692" s="81" t="n">
        <x:v>1988</x:v>
      </x:c>
      <x:c r="D692" s="80" t="str">
        <x:v>P-928</x:v>
      </x:c>
      <x:c r="E692" s="80" t="str">
        <x:v>P-928</x:v>
      </x:c>
      <x:c r="F692" s="82" t="str">
        <x:v>Automagic 2-Pack</x:v>
      </x:c>
      <x:c r="G692" s="80" t="str"/>
      <x:c r="H692" s="80" t="str"/>
      <x:c r="I692" s="83" t="str"/>
      <x:c r="J692" s="80" t="str">
        <x:v>White</x:v>
      </x:c>
      <x:c r="K692" s="82" t="str">
        <x:v>Blue Arrow, White stripes, Red "Turbo"</x:v>
      </x:c>
      <x:c r="L692" s="82" t="str">
        <x:v>BW</x:v>
      </x:c>
      <x:c r="M692" s="82" t="str">
        <x:v>Unpainted / Metal</x:v>
      </x:c>
      <x:c r="N692" s="82" t="str">
        <x:v>Black</x:v>
      </x:c>
      <x:c r="O692" s="82" t="str"/>
      <x:c r="P692" s="82" t="str"/>
      <x:c r="Q692" s="82" t="str"/>
      <x:c r="R692" s="82" t="str">
        <x:v>Outra linha</x:v>
      </x:c>
      <x:c r="S692" s="82" t="str">
        <x:v>Rara</x:v>
      </x:c>
      <x:c r="T692" s="82" t="str">
        <x:v>Lançado</x:v>
      </x:c>
      <x:c r="U692" s="82" t="str">
        <x:v>Turns Pink</x:v>
      </x:c>
      <x:c r="V692" s="80" t="str">
        <x:v>Coleção principal (~1:64)</x:v>
      </x:c>
      <x:c r="W692" s="82" t="str">
        <x:v>https://hotwheels.fandom.com/wiki/P-928</x:v>
      </x:c>
      <x:c r="X692" s="82" t="str">
        <x:v>https://hotwheels.fandom.com/wiki/P-928</x:v>
      </x:c>
    </x:row>
    <x:row r="693">
      <x:c r="A693" s="80" t="str">
        <x:v>Não</x:v>
      </x:c>
      <x:c r="B693" s="80" t="str">
        <x:v>2 — Completar aos poucos</x:v>
      </x:c>
      <x:c r="C693" s="81" t="n">
        <x:v>1988</x:v>
      </x:c>
      <x:c r="D693" s="80" t="str">
        <x:v>P-928</x:v>
      </x:c>
      <x:c r="E693" s="80" t="str">
        <x:v>P-928</x:v>
      </x:c>
      <x:c r="F693" s="82" t="str">
        <x:v>Automagic 2-Pack Mexico AURIMAT</x:v>
      </x:c>
      <x:c r="G693" s="80" t="str"/>
      <x:c r="H693" s="80" t="str"/>
      <x:c r="I693" s="83" t="str">
        <x:v>7272</x:v>
      </x:c>
      <x:c r="J693" s="80" t="str">
        <x:v>Blue to Purple</x:v>
      </x:c>
      <x:c r="K693" s="82" t="str">
        <x:v>Blue Stripes, Yellow Arrow, Dark Blue "Turbo"</x:v>
      </x:c>
      <x:c r="L693" s="82" t="str">
        <x:v>BW</x:v>
      </x:c>
      <x:c r="M693" s="82" t="str">
        <x:v>Unpainted / Metal</x:v>
      </x:c>
      <x:c r="N693" s="82" t="str">
        <x:v>Black</x:v>
      </x:c>
      <x:c r="O693" s="82" t="str"/>
      <x:c r="P693" s="82" t="str"/>
      <x:c r="Q693" s="82" t="str"/>
      <x:c r="R693" s="82" t="str">
        <x:v>Outra linha</x:v>
      </x:c>
      <x:c r="S693" s="82" t="str">
        <x:v>Rara</x:v>
      </x:c>
      <x:c r="T693" s="82" t="str">
        <x:v>Lançado</x:v>
      </x:c>
      <x:c r="U693" s="82" t="str">
        <x:v>Appears in a Color Racers Single Pack as well MEXICO Aurimat</x:v>
      </x:c>
      <x:c r="V693" s="80" t="str">
        <x:v>Coleção principal (~1:64)</x:v>
      </x:c>
      <x:c r="W693" s="82" t="str">
        <x:v>https://hotwheels.fandom.com/wiki/P-928</x:v>
      </x:c>
      <x:c r="X693" s="82" t="str">
        <x:v>https://hotwheels.fandom.com/wiki/P-928</x:v>
      </x:c>
    </x:row>
    <x:row r="694">
      <x:c r="A694" s="80" t="str">
        <x:v>Não</x:v>
      </x:c>
      <x:c r="B694" s="80" t="str">
        <x:v>2 — Completar aos poucos</x:v>
      </x:c>
      <x:c r="C694" s="81" t="n">
        <x:v>1988</x:v>
      </x:c>
      <x:c r="D694" s="80" t="str">
        <x:v>P-928</x:v>
      </x:c>
      <x:c r="E694" s="80" t="str">
        <x:v>P-928</x:v>
      </x:c>
      <x:c r="F694" s="82" t="str">
        <x:v>Automagic Car Wash</x:v>
      </x:c>
      <x:c r="G694" s="80" t="str"/>
      <x:c r="H694" s="80" t="str"/>
      <x:c r="I694" s="83" t="str"/>
      <x:c r="J694" s="80" t="str">
        <x:v>Pink</x:v>
      </x:c>
      <x:c r="K694" s="82" t="str">
        <x:v>Blue/ White Stripes, Blue "Turbo", Yellow Arrows</x:v>
      </x:c>
      <x:c r="L694" s="82" t="str">
        <x:v>BW</x:v>
      </x:c>
      <x:c r="M694" s="82" t="str">
        <x:v>Unpainted / Metal</x:v>
      </x:c>
      <x:c r="N694" s="82" t="str">
        <x:v>Black</x:v>
      </x:c>
      <x:c r="O694" s="82" t="str"/>
      <x:c r="P694" s="82" t="str"/>
      <x:c r="Q694" s="82" t="str"/>
      <x:c r="R694" s="82" t="str">
        <x:v>Outra linha</x:v>
      </x:c>
      <x:c r="S694" s="82" t="str">
        <x:v>Rara</x:v>
      </x:c>
      <x:c r="T694" s="82" t="str">
        <x:v>Lançado</x:v>
      </x:c>
      <x:c r="U694" s="82" t="str">
        <x:v>Turns Magenta</x:v>
      </x:c>
      <x:c r="V694" s="80" t="str">
        <x:v>Coleção principal (~1:64)</x:v>
      </x:c>
      <x:c r="W694" s="82" t="str">
        <x:v>https://hotwheels.fandom.com/wiki/P-928</x:v>
      </x:c>
      <x:c r="X694" s="82" t="str">
        <x:v>https://hotwheels.fandom.com/wiki/P-928</x:v>
      </x:c>
    </x:row>
    <x:row r="695">
      <x:c r="A695" s="80" t="str">
        <x:v>Não</x:v>
      </x:c>
      <x:c r="B695" s="80" t="str">
        <x:v>2 — Completar aos poucos</x:v>
      </x:c>
      <x:c r="C695" s="81" t="n">
        <x:v>1988</x:v>
      </x:c>
      <x:c r="D695" s="80" t="str">
        <x:v>Porsche 959</x:v>
      </x:c>
      <x:c r="E695" s="80" t="str">
        <x:v>Porsche 959</x:v>
      </x:c>
      <x:c r="F695" s="82" t="str">
        <x:v>Automagic II</x:v>
      </x:c>
      <x:c r="G695" s="80" t="str"/>
      <x:c r="H695" s="80" t="str"/>
      <x:c r="I695" s="83" t="str">
        <x:v>2253</x:v>
      </x:c>
      <x:c r="J695" s="80" t="str">
        <x:v>Cold: Blue / Warm: Teal</x:v>
      </x:c>
      <x:c r="K695" s="82" t="str"/>
      <x:c r="L695" s="82" t="str">
        <x:v>BW</x:v>
      </x:c>
      <x:c r="M695" s="82" t="str">
        <x:v>Unpainted / / / Metal</x:v>
      </x:c>
      <x:c r="N695" s="82" t="str">
        <x:v>Clear</x:v>
      </x:c>
      <x:c r="O695" s="82" t="str">
        <x:v>Black</x:v>
      </x:c>
      <x:c r="P695" s="82" t="str">
        <x:v>Malaysia</x:v>
      </x:c>
      <x:c r="Q695" s="82" t="str"/>
      <x:c r="R695" s="82" t="str">
        <x:v>Outra linha</x:v>
      </x:c>
      <x:c r="S695" s="82" t="str">
        <x:v>Rara</x:v>
      </x:c>
      <x:c r="T695" s="82" t="str">
        <x:v>Lançado</x:v>
      </x:c>
      <x:c r="U695" s="82" t="str">
        <x:v>Various interiors BLACK common</x:v>
      </x:c>
      <x:c r="V695" s="80" t="str">
        <x:v>Coleção principal (~1:64)</x:v>
      </x:c>
      <x:c r="W695" s="82" t="str">
        <x:v>https://hotwheels.fandom.com/wiki/Porsche_959</x:v>
      </x:c>
      <x:c r="X695" s="82" t="str">
        <x:v>https://hotwheels.fandom.com/wiki/Porsche_959</x:v>
      </x:c>
    </x:row>
    <x:row r="696">
      <x:c r="A696" s="80" t="str">
        <x:v>Não</x:v>
      </x:c>
      <x:c r="B696" s="80" t="str">
        <x:v>2 — Completar aos poucos</x:v>
      </x:c>
      <x:c r="C696" s="81" t="n">
        <x:v>1988</x:v>
      </x:c>
      <x:c r="D696" s="80" t="str">
        <x:v>Porsche 959</x:v>
      </x:c>
      <x:c r="E696" s="80" t="str">
        <x:v>Porsche 959</x:v>
      </x:c>
      <x:c r="F696" s="82" t="str">
        <x:v>Automagic II</x:v>
      </x:c>
      <x:c r="G696" s="80" t="str"/>
      <x:c r="H696" s="80" t="str"/>
      <x:c r="I696" s="83" t="str">
        <x:v>2253</x:v>
      </x:c>
      <x:c r="J696" s="80" t="str">
        <x:v>Cold: BlueWarm: Teal</x:v>
      </x:c>
      <x:c r="K696" s="82" t="str"/>
      <x:c r="L696" s="82" t="str">
        <x:v>BW</x:v>
      </x:c>
      <x:c r="M696" s="82" t="str">
        <x:v>Unpainted / Metal</x:v>
      </x:c>
      <x:c r="N696" s="82" t="str">
        <x:v>Clear</x:v>
      </x:c>
      <x:c r="O696" s="82" t="str">
        <x:v>Black</x:v>
      </x:c>
      <x:c r="P696" s="82" t="str">
        <x:v>Malaysia</x:v>
      </x:c>
      <x:c r="Q696" s="82" t="str"/>
      <x:c r="R696" s="82" t="str">
        <x:v>Outra linha</x:v>
      </x:c>
      <x:c r="S696" s="82" t="str">
        <x:v>Rara</x:v>
      </x:c>
      <x:c r="T696" s="82" t="str">
        <x:v>Lançado</x:v>
      </x:c>
      <x:c r="U696" s="82" t="str">
        <x:v>Various interiors BLACK common</x:v>
      </x:c>
      <x:c r="V696" s="80" t="str">
        <x:v>Coleção principal (~1:64)</x:v>
      </x:c>
      <x:c r="W696" s="82" t="str">
        <x:v>https://hotwheels.fandom.com/wiki/Porsche_959</x:v>
      </x:c>
      <x:c r="X696" s="82" t="str">
        <x:v>https://hotwheels.fandom.com/wiki/Porsche_959</x:v>
      </x:c>
    </x:row>
    <x:row r="697">
      <x:c r="A697" s="80" t="str">
        <x:v>Não</x:v>
      </x:c>
      <x:c r="B697" s="80" t="str">
        <x:v>2 — Completar aos poucos</x:v>
      </x:c>
      <x:c r="C697" s="81" t="n">
        <x:v>1988</x:v>
      </x:c>
      <x:c r="D697" s="80" t="str">
        <x:v>Porsche 959</x:v>
      </x:c>
      <x:c r="E697" s="80" t="str">
        <x:v>Porsche 959</x:v>
      </x:c>
      <x:c r="F697" s="82" t="str">
        <x:v>Color Racers 3-Pack</x:v>
      </x:c>
      <x:c r="G697" s="80" t="str"/>
      <x:c r="H697" s="80" t="str"/>
      <x:c r="I697" s="83" t="str"/>
      <x:c r="J697" s="80" t="str">
        <x:v>Hot Pink</x:v>
      </x:c>
      <x:c r="K697" s="82" t="str">
        <x:v>Blue 959 outline 2 blue stripes white "Porsche" and "Blue 959" on sides</x:v>
      </x:c>
      <x:c r="L697" s="82" t="str">
        <x:v>BW</x:v>
      </x:c>
      <x:c r="M697" s="82" t="str">
        <x:v>Unpainted / Metal</x:v>
      </x:c>
      <x:c r="N697" s="82" t="str">
        <x:v>Clear</x:v>
      </x:c>
      <x:c r="O697" s="82" t="str">
        <x:v>Black</x:v>
      </x:c>
      <x:c r="P697" s="82" t="str">
        <x:v>Malaysia</x:v>
      </x:c>
      <x:c r="Q697" s="82" t="str"/>
      <x:c r="R697" s="82" t="str">
        <x:v>Outra linha</x:v>
      </x:c>
      <x:c r="S697" s="82" t="str">
        <x:v>Rara</x:v>
      </x:c>
      <x:c r="T697" s="82" t="str">
        <x:v>Lançado</x:v>
      </x:c>
      <x:c r="U697" s="82" t="str">
        <x:v>Rare Tampo "959 Blue"</x:v>
      </x:c>
      <x:c r="V697" s="80" t="str">
        <x:v>Coleção principal (~1:64)</x:v>
      </x:c>
      <x:c r="W697" s="82" t="str">
        <x:v>https://hotwheels.fandom.com/wiki/Porsche_959</x:v>
      </x:c>
      <x:c r="X697" s="82" t="str">
        <x:v>https://hotwheels.fandom.com/wiki/Porsche_959</x:v>
      </x:c>
    </x:row>
    <x:row r="698">
      <x:c r="A698" s="80" t="str">
        <x:v>Não</x:v>
      </x:c>
      <x:c r="B698" s="80" t="str">
        <x:v>2 — Completar aos poucos</x:v>
      </x:c>
      <x:c r="C698" s="81" t="n">
        <x:v>1988</x:v>
      </x:c>
      <x:c r="D698" s="80" t="str">
        <x:v>Porsche 959</x:v>
      </x:c>
      <x:c r="E698" s="80" t="str">
        <x:v>Porsche 959</x:v>
      </x:c>
      <x:c r="F698" s="82" t="str">
        <x:v>Speed Fleet</x:v>
      </x:c>
      <x:c r="G698" s="80" t="str"/>
      <x:c r="H698" s="80" t="str"/>
      <x:c r="I698" s="83" t="str">
        <x:v>4631</x:v>
      </x:c>
      <x:c r="J698" s="80" t="str">
        <x:v>Metalflake Dark Red</x:v>
      </x:c>
      <x:c r="K698" s="82" t="str">
        <x:v>Orange &amp; Yellow "PORSCHE"</x:v>
      </x:c>
      <x:c r="L698" s="82" t="str">
        <x:v>UH</x:v>
      </x:c>
      <x:c r="M698" s="82" t="str">
        <x:v>ZAMAC</x:v>
      </x:c>
      <x:c r="N698" s="82" t="str">
        <x:v>Clear</x:v>
      </x:c>
      <x:c r="O698" s="82" t="str">
        <x:v>Tan</x:v>
      </x:c>
      <x:c r="P698" s="82" t="str">
        <x:v>Malaysia</x:v>
      </x:c>
      <x:c r="Q698" s="82" t="str"/>
      <x:c r="R698" s="82" t="str">
        <x:v>Outra linha</x:v>
      </x:c>
      <x:c r="S698" s="82" t="str">
        <x:v>Rara</x:v>
      </x:c>
      <x:c r="T698" s="82" t="str">
        <x:v>Lançado</x:v>
      </x:c>
      <x:c r="U698" s="82" t="str"/>
      <x:c r="V698" s="80" t="str">
        <x:v>Coleção principal (~1:64)</x:v>
      </x:c>
      <x:c r="W698" s="82" t="str">
        <x:v>https://hotwheels.fandom.com/wiki/Porsche_959</x:v>
      </x:c>
      <x:c r="X698" s="82" t="str">
        <x:v>https://hotwheels.fandom.com/wiki/Porsche_959</x:v>
      </x:c>
    </x:row>
    <x:row r="699">
      <x:c r="A699" s="80" t="str">
        <x:v>Não</x:v>
      </x:c>
      <x:c r="B699" s="80" t="str">
        <x:v>2 — Completar aos poucos</x:v>
      </x:c>
      <x:c r="C699" s="81" t="n">
        <x:v>1988</x:v>
      </x:c>
      <x:c r="D699" s="80" t="str">
        <x:v>Porsche 959</x:v>
      </x:c>
      <x:c r="E699" s="80" t="str">
        <x:v>Porsche 959</x:v>
      </x:c>
      <x:c r="F699" s="82" t="str">
        <x:v>Speed Fleet</x:v>
      </x:c>
      <x:c r="G699" s="80" t="str"/>
      <x:c r="H699" s="80" t="str"/>
      <x:c r="I699" s="83" t="str">
        <x:v>4631</x:v>
      </x:c>
      <x:c r="J699" s="80" t="str">
        <x:v>Metalflake Red</x:v>
      </x:c>
      <x:c r="K699" s="82" t="str">
        <x:v>Orange &amp; Yellow "PORSCHE"</x:v>
      </x:c>
      <x:c r="L699" s="82" t="str">
        <x:v>UH</x:v>
      </x:c>
      <x:c r="M699" s="82" t="str">
        <x:v>Unpainted / Metal</x:v>
      </x:c>
      <x:c r="N699" s="82" t="str">
        <x:v>Clear</x:v>
      </x:c>
      <x:c r="O699" s="82" t="str">
        <x:v>Tan</x:v>
      </x:c>
      <x:c r="P699" s="82" t="str">
        <x:v>Malaysia</x:v>
      </x:c>
      <x:c r="Q699" s="82" t="str"/>
      <x:c r="R699" s="82" t="str">
        <x:v>Outra linha</x:v>
      </x:c>
      <x:c r="S699" s="82" t="str">
        <x:v>Rara</x:v>
      </x:c>
      <x:c r="T699" s="82" t="str">
        <x:v>Lançado</x:v>
      </x:c>
      <x:c r="U699" s="82" t="str"/>
      <x:c r="V699" s="80" t="str">
        <x:v>Coleção principal (~1:64)</x:v>
      </x:c>
      <x:c r="W699" s="82" t="str">
        <x:v>https://hotwheels.fandom.com/wiki/Porsche_959</x:v>
      </x:c>
      <x:c r="X699" s="82" t="str">
        <x:v>https://hotwheels.fandom.com/wiki/Porsche_959</x:v>
      </x:c>
    </x:row>
    <x:row r="700">
      <x:c r="A700" s="80" t="str">
        <x:v>Não</x:v>
      </x:c>
      <x:c r="B700" s="80" t="str">
        <x:v>2 — Completar aos poucos</x:v>
      </x:c>
      <x:c r="C700" s="81" t="n">
        <x:v>1988</x:v>
      </x:c>
      <x:c r="D700" s="80" t="str">
        <x:v>Porsche 959</x:v>
      </x:c>
      <x:c r="E700" s="80" t="str">
        <x:v>Porsche 959</x:v>
      </x:c>
      <x:c r="F700" s="82" t="str">
        <x:v>Speedshift 500 Raceway</x:v>
      </x:c>
      <x:c r="G700" s="80" t="str"/>
      <x:c r="H700" s="80" t="str"/>
      <x:c r="I700" s="83" t="str">
        <x:v>7101</x:v>
      </x:c>
      <x:c r="J700" s="80" t="str">
        <x:v>Metalflake Blue</x:v>
      </x:c>
      <x:c r="K700" s="82" t="str">
        <x:v>White, Red &amp; Black "7" "PORSCHE"</x:v>
      </x:c>
      <x:c r="L700" s="82" t="str">
        <x:v>UH</x:v>
      </x:c>
      <x:c r="M700" s="82" t="str">
        <x:v>Unpainted / Metal</x:v>
      </x:c>
      <x:c r="N700" s="82" t="str">
        <x:v>Clear</x:v>
      </x:c>
      <x:c r="O700" s="82" t="str">
        <x:v>Tan</x:v>
      </x:c>
      <x:c r="P700" s="82" t="str">
        <x:v>Malaysia</x:v>
      </x:c>
      <x:c r="Q700" s="82" t="str"/>
      <x:c r="R700" s="82" t="str">
        <x:v>Outra linha</x:v>
      </x:c>
      <x:c r="S700" s="82" t="str">
        <x:v>Rara</x:v>
      </x:c>
      <x:c r="T700" s="82" t="str">
        <x:v>Lançado</x:v>
      </x:c>
      <x:c r="U700" s="82" t="str"/>
      <x:c r="V700" s="80" t="str">
        <x:v>Coleção principal (~1:64)</x:v>
      </x:c>
      <x:c r="W700" s="82" t="str">
        <x:v>https://hotwheels.fandom.com/wiki/Porsche_959</x:v>
      </x:c>
      <x:c r="X700" s="82" t="str">
        <x:v>https://hotwheels.fandom.com/wiki/Porsche_959</x:v>
      </x:c>
    </x:row>
    <x:row r="701">
      <x:c r="A701" s="80" t="str">
        <x:v>Não</x:v>
      </x:c>
      <x:c r="B701" s="80" t="str">
        <x:v>2 — Completar aos poucos</x:v>
      </x:c>
      <x:c r="C701" s="81" t="n">
        <x:v>1987</x:v>
      </x:c>
      <x:c r="D701" s="80" t="str">
        <x:v>P-911</x:v>
      </x:c>
      <x:c r="E701" s="80" t="str">
        <x:v>P-911</x:v>
      </x:c>
      <x:c r="F701" s="82" t="str">
        <x:v>Mainline</x:v>
      </x:c>
      <x:c r="G701" s="80" t="str"/>
      <x:c r="H701" s="80" t="str"/>
      <x:c r="I701" s="83" t="str"/>
      <x:c r="J701" s="80" t="str">
        <x:v>Black</x:v>
      </x:c>
      <x:c r="K701" s="82" t="str">
        <x:v>Red, White, Yellow "95"</x:v>
      </x:c>
      <x:c r="L701" s="82" t="str">
        <x:v>Gold BW</x:v>
      </x:c>
      <x:c r="M701" s="82" t="str">
        <x:v>Unpainted / Metal</x:v>
      </x:c>
      <x:c r="N701" s="82" t="str">
        <x:v>Smoke tint</x:v>
      </x:c>
      <x:c r="O701" s="82" t="str">
        <x:v>Black</x:v>
      </x:c>
      <x:c r="P701" s="82" t="str">
        <x:v>Hong Kong</x:v>
      </x:c>
      <x:c r="Q701" s="82" t="str"/>
      <x:c r="R701" s="82" t="str">
        <x:v>Mainline</x:v>
      </x:c>
      <x:c r="S701" s="82" t="str">
        <x:v>Rara</x:v>
      </x:c>
      <x:c r="T701" s="82" t="str">
        <x:v>Lançado</x:v>
      </x:c>
      <x:c r="U701" s="82" t="str"/>
      <x:c r="V701" s="80" t="str">
        <x:v>Coleção principal (~1:64)</x:v>
      </x:c>
      <x:c r="W701" s="82" t="str">
        <x:v>https://hotwheels.fandom.com/wiki/P-911</x:v>
      </x:c>
      <x:c r="X701" s="82" t="str">
        <x:v>https://hotwheels.fandom.com/wiki/P-911</x:v>
      </x:c>
    </x:row>
    <x:row r="702">
      <x:c r="A702" s="80" t="str">
        <x:v>Não</x:v>
      </x:c>
      <x:c r="B702" s="80" t="str">
        <x:v>2 — Completar aos poucos</x:v>
      </x:c>
      <x:c r="C702" s="81" t="n">
        <x:v>1987</x:v>
      </x:c>
      <x:c r="D702" s="80" t="str">
        <x:v>P-911</x:v>
      </x:c>
      <x:c r="E702" s="80" t="str">
        <x:v>P-911</x:v>
      </x:c>
      <x:c r="F702" s="82" t="str">
        <x:v>Mainline</x:v>
      </x:c>
      <x:c r="G702" s="80" t="str"/>
      <x:c r="H702" s="80" t="str"/>
      <x:c r="I702" s="83" t="str"/>
      <x:c r="J702" s="80" t="str">
        <x:v>Black</x:v>
      </x:c>
      <x:c r="K702" s="82" t="str">
        <x:v>Red, White, Yellow "95"</x:v>
      </x:c>
      <x:c r="L702" s="82" t="str">
        <x:v>Gold BW</x:v>
      </x:c>
      <x:c r="M702" s="82" t="str">
        <x:v>Unpainted / / / Metal</x:v>
      </x:c>
      <x:c r="N702" s="82" t="str">
        <x:v>Black tint</x:v>
      </x:c>
      <x:c r="O702" s="82" t="str">
        <x:v>Black</x:v>
      </x:c>
      <x:c r="P702" s="82" t="str">
        <x:v>Hong Kong</x:v>
      </x:c>
      <x:c r="Q702" s="82" t="str"/>
      <x:c r="R702" s="82" t="str">
        <x:v>Mainline</x:v>
      </x:c>
      <x:c r="S702" s="82" t="str">
        <x:v>Rara</x:v>
      </x:c>
      <x:c r="T702" s="82" t="str">
        <x:v>Lançado</x:v>
      </x:c>
      <x:c r="U702" s="82" t="str"/>
      <x:c r="V702" s="80" t="str">
        <x:v>Coleção principal (~1:64)</x:v>
      </x:c>
      <x:c r="W702" s="82" t="str">
        <x:v>https://hotwheels.fandom.com/wiki/P-911</x:v>
      </x:c>
      <x:c r="X702" s="82" t="str">
        <x:v>https://hotwheels.fandom.com/wiki/P-911</x:v>
      </x:c>
    </x:row>
    <x:row r="703">
      <x:c r="A703" s="80" t="str">
        <x:v>Não</x:v>
      </x:c>
      <x:c r="B703" s="80" t="str">
        <x:v>2 — Completar aos poucos</x:v>
      </x:c>
      <x:c r="C703" s="81" t="n">
        <x:v>1987</x:v>
      </x:c>
      <x:c r="D703" s="80" t="str">
        <x:v>P-928</x:v>
      </x:c>
      <x:c r="E703" s="80" t="str">
        <x:v>P-928</x:v>
      </x:c>
      <x:c r="F703" s="82" t="str">
        <x:v>Mainline</x:v>
      </x:c>
      <x:c r="G703" s="80" t="str"/>
      <x:c r="H703" s="80" t="str"/>
      <x:c r="I703" s="83" t="str">
        <x:v>1497</x:v>
      </x:c>
      <x:c r="J703" s="80" t="str">
        <x:v>Metalflake Silver</x:v>
      </x:c>
      <x:c r="K703" s="82" t="str">
        <x:v>Orange, Yellow &amp; Purple "928" "PORSCHE"</x:v>
      </x:c>
      <x:c r="L703" s="82" t="str">
        <x:v>BW</x:v>
      </x:c>
      <x:c r="M703" s="82" t="str">
        <x:v>Unpainted / Metal</x:v>
      </x:c>
      <x:c r="N703" s="82" t="str">
        <x:v>Black</x:v>
      </x:c>
      <x:c r="O703" s="82" t="str"/>
      <x:c r="P703" s="82" t="str">
        <x:v>Malaysia</x:v>
      </x:c>
      <x:c r="Q703" s="82" t="str"/>
      <x:c r="R703" s="82" t="str">
        <x:v>Mainline</x:v>
      </x:c>
      <x:c r="S703" s="82" t="str">
        <x:v>Rara</x:v>
      </x:c>
      <x:c r="T703" s="82" t="str">
        <x:v>Lançado</x:v>
      </x:c>
      <x:c r="U703" s="82" t="str">
        <x:v>VHTF Wheel Variation</x:v>
      </x:c>
      <x:c r="V703" s="80" t="str">
        <x:v>Coleção principal (~1:64)</x:v>
      </x:c>
      <x:c r="W703" s="82" t="str">
        <x:v>https://hotwheels.fandom.com/wiki/P-928</x:v>
      </x:c>
      <x:c r="X703" s="82" t="str">
        <x:v>https://hotwheels.fandom.com/wiki/P-928</x:v>
      </x:c>
    </x:row>
    <x:row r="704">
      <x:c r="A704" s="80" t="str">
        <x:v>Não</x:v>
      </x:c>
      <x:c r="B704" s="80" t="str">
        <x:v>2 — Completar aos poucos</x:v>
      </x:c>
      <x:c r="C704" s="81" t="n">
        <x:v>1987</x:v>
      </x:c>
      <x:c r="D704" s="80" t="str">
        <x:v>P-928</x:v>
      </x:c>
      <x:c r="E704" s="80" t="str">
        <x:v>P-928</x:v>
      </x:c>
      <x:c r="F704" s="82" t="str">
        <x:v>Speed Fleet</x:v>
      </x:c>
      <x:c r="G704" s="80" t="str"/>
      <x:c r="H704" s="80" t="str"/>
      <x:c r="I704" s="83" t="str">
        <x:v>1497</x:v>
      </x:c>
      <x:c r="J704" s="80" t="str">
        <x:v>Metalflake Silver</x:v>
      </x:c>
      <x:c r="K704" s="82" t="str">
        <x:v>Orange, Yellow &amp; Purple "928" "PORSCHE"</x:v>
      </x:c>
      <x:c r="L704" s="82" t="str">
        <x:v>UH</x:v>
      </x:c>
      <x:c r="M704" s="82" t="str">
        <x:v>Unpainted / Metal</x:v>
      </x:c>
      <x:c r="N704" s="82" t="str">
        <x:v>Black</x:v>
      </x:c>
      <x:c r="O704" s="82" t="str"/>
      <x:c r="P704" s="82" t="str">
        <x:v>Malaysia</x:v>
      </x:c>
      <x:c r="Q704" s="82" t="str"/>
      <x:c r="R704" s="82" t="str">
        <x:v>Outra linha</x:v>
      </x:c>
      <x:c r="S704" s="82" t="str">
        <x:v>Rara</x:v>
      </x:c>
      <x:c r="T704" s="82" t="str">
        <x:v>Lançado</x:v>
      </x:c>
      <x:c r="U704" s="82" t="str">
        <x:v>Named Nightstreaker</x:v>
      </x:c>
      <x:c r="V704" s="80" t="str">
        <x:v>Coleção principal (~1:64)</x:v>
      </x:c>
      <x:c r="W704" s="82" t="str">
        <x:v>https://hotwheels.fandom.com/wiki/P-928</x:v>
      </x:c>
      <x:c r="X704" s="82" t="str">
        <x:v>https://hotwheels.fandom.com/wiki/P-928</x:v>
      </x:c>
    </x:row>
    <x:row r="705">
      <x:c r="A705" s="80" t="str">
        <x:v>Não</x:v>
      </x:c>
      <x:c r="B705" s="80" t="str">
        <x:v>2 — Completar aos poucos</x:v>
      </x:c>
      <x:c r="C705" s="81" t="n">
        <x:v>1985</x:v>
      </x:c>
      <x:c r="D705" s="80" t="str">
        <x:v>P-911</x:v>
      </x:c>
      <x:c r="E705" s="80" t="str">
        <x:v>P-911</x:v>
      </x:c>
      <x:c r="F705" s="82" t="str">
        <x:v>The Hot Ones Stamper 3-Pack</x:v>
      </x:c>
      <x:c r="G705" s="80" t="str"/>
      <x:c r="H705" s="80" t="str"/>
      <x:c r="I705" s="83" t="str"/>
      <x:c r="J705" s="80" t="str">
        <x:v>Red</x:v>
      </x:c>
      <x:c r="K705" s="82" t="str">
        <x:v>White, Yellow &amp; Dark Red "95"</x:v>
      </x:c>
      <x:c r="L705" s="82" t="str">
        <x:v>GHO</x:v>
      </x:c>
      <x:c r="M705" s="82" t="str">
        <x:v>Unpainted / Metal</x:v>
      </x:c>
      <x:c r="N705" s="82" t="str">
        <x:v>Smoke tint</x:v>
      </x:c>
      <x:c r="O705" s="82" t="str">
        <x:v>Black</x:v>
      </x:c>
      <x:c r="P705" s="82" t="str">
        <x:v>Malaysia</x:v>
      </x:c>
      <x:c r="Q705" s="82" t="str"/>
      <x:c r="R705" s="82" t="str">
        <x:v>Outra linha</x:v>
      </x:c>
      <x:c r="S705" s="82" t="str">
        <x:v>Rara</x:v>
      </x:c>
      <x:c r="T705" s="82" t="str">
        <x:v>Lançado</x:v>
      </x:c>
      <x:c r="U705" s="82" t="str">
        <x:v>Exclusive</x:v>
      </x:c>
      <x:c r="V705" s="80" t="str">
        <x:v>Coleção principal (~1:64)</x:v>
      </x:c>
      <x:c r="W705" s="82" t="str">
        <x:v>https://hotwheels.fandom.com/wiki/P-911</x:v>
      </x:c>
      <x:c r="X705" s="82" t="str">
        <x:v>https://hotwheels.fandom.com/wiki/P-911</x:v>
      </x:c>
    </x:row>
    <x:row r="706">
      <x:c r="A706" s="80" t="str">
        <x:v>Não</x:v>
      </x:c>
      <x:c r="B706" s="80" t="str">
        <x:v>2 — Completar aos poucos</x:v>
      </x:c>
      <x:c r="C706" s="81" t="n">
        <x:v>1985</x:v>
      </x:c>
      <x:c r="D706" s="80" t="str">
        <x:v>P-911</x:v>
      </x:c>
      <x:c r="E706" s="80" t="str">
        <x:v>P-911</x:v>
      </x:c>
      <x:c r="F706" s="82" t="str">
        <x:v>The Hot Ones Stamper 3-Pack</x:v>
      </x:c>
      <x:c r="G706" s="80" t="str"/>
      <x:c r="H706" s="80" t="str"/>
      <x:c r="I706" s="83" t="str"/>
      <x:c r="J706" s="80" t="str">
        <x:v>Red</x:v>
      </x:c>
      <x:c r="K706" s="82" t="str">
        <x:v>White, Yellow &amp; Dark Red "95"</x:v>
      </x:c>
      <x:c r="L706" s="82" t="str">
        <x:v>GHO</x:v>
      </x:c>
      <x:c r="M706" s="82" t="str">
        <x:v>Unpainted / / / Metal</x:v>
      </x:c>
      <x:c r="N706" s="82" t="str">
        <x:v>Black tint</x:v>
      </x:c>
      <x:c r="O706" s="82" t="str">
        <x:v>Black</x:v>
      </x:c>
      <x:c r="P706" s="82" t="str">
        <x:v>Malaysia</x:v>
      </x:c>
      <x:c r="Q706" s="82" t="str"/>
      <x:c r="R706" s="82" t="str">
        <x:v>Outra linha</x:v>
      </x:c>
      <x:c r="S706" s="82" t="str">
        <x:v>Rara</x:v>
      </x:c>
      <x:c r="T706" s="82" t="str">
        <x:v>Lançado</x:v>
      </x:c>
      <x:c r="U706" s="82" t="str">
        <x:v>Exclusive</x:v>
      </x:c>
      <x:c r="V706" s="80" t="str">
        <x:v>Coleção principal (~1:64)</x:v>
      </x:c>
      <x:c r="W706" s="82" t="str">
        <x:v>https://hotwheels.fandom.com/wiki/P-911</x:v>
      </x:c>
      <x:c r="X706" s="82" t="str">
        <x:v>https://hotwheels.fandom.com/wiki/P-911</x:v>
      </x:c>
    </x:row>
    <x:row r="707">
      <x:c r="A707" s="80" t="str">
        <x:v>Não</x:v>
      </x:c>
      <x:c r="B707" s="80" t="str">
        <x:v>2 — Completar aos poucos</x:v>
      </x:c>
      <x:c r="C707" s="81" t="n">
        <x:v>1985</x:v>
      </x:c>
      <x:c r="D707" s="80" t="str">
        <x:v>P-928</x:v>
      </x:c>
      <x:c r="E707" s="80" t="str">
        <x:v>P-928</x:v>
      </x:c>
      <x:c r="F707" s="82" t="str">
        <x:v>Ultra Hots</x:v>
      </x:c>
      <x:c r="G707" s="80" t="str"/>
      <x:c r="H707" s="80" t="str"/>
      <x:c r="I707" s="83" t="str">
        <x:v>9537</x:v>
      </x:c>
      <x:c r="J707" s="80" t="str">
        <x:v>Spectraflame Purple</x:v>
      </x:c>
      <x:c r="K707" s="82" t="str">
        <x:v>White, Yellow &amp; Turquoise lightning bolts</x:v>
      </x:c>
      <x:c r="L707" s="82" t="str">
        <x:v>UH</x:v>
      </x:c>
      <x:c r="M707" s="82" t="str">
        <x:v>Unpainted / Metal</x:v>
      </x:c>
      <x:c r="N707" s="82" t="str">
        <x:v>Black</x:v>
      </x:c>
      <x:c r="O707" s="82" t="str"/>
      <x:c r="P707" s="82" t="str">
        <x:v>Malaysia</x:v>
      </x:c>
      <x:c r="Q707" s="82" t="str"/>
      <x:c r="R707" s="82" t="str">
        <x:v>Outra linha</x:v>
      </x:c>
      <x:c r="S707" s="82" t="str">
        <x:v>Rara</x:v>
      </x:c>
      <x:c r="T707" s="82" t="str">
        <x:v>Lançado</x:v>
      </x:c>
      <x:c r="U707" s="82" t="str">
        <x:v>Named Nightstreaker</x:v>
      </x:c>
      <x:c r="V707" s="80" t="str">
        <x:v>Coleção principal (~1:64)</x:v>
      </x:c>
      <x:c r="W707" s="82" t="str">
        <x:v>https://hotwheels.fandom.com/wiki/P-928</x:v>
      </x:c>
      <x:c r="X707" s="82" t="str">
        <x:v>https://hotwheels.fandom.com/wiki/P-928</x:v>
      </x:c>
    </x:row>
    <x:row r="708">
      <x:c r="A708" s="80" t="str">
        <x:v>Não</x:v>
      </x:c>
      <x:c r="B708" s="80" t="str">
        <x:v>2 — Completar aos poucos</x:v>
      </x:c>
      <x:c r="C708" s="81" t="n">
        <x:v>1985</x:v>
      </x:c>
      <x:c r="D708" s="80" t="str">
        <x:v>P-928</x:v>
      </x:c>
      <x:c r="E708" s="80" t="str">
        <x:v>P-928</x:v>
      </x:c>
      <x:c r="F708" s="82" t="str">
        <x:v>Ultra Hots</x:v>
      </x:c>
      <x:c r="G708" s="80" t="str"/>
      <x:c r="H708" s="80" t="str"/>
      <x:c r="I708" s="83" t="str">
        <x:v>9537</x:v>
      </x:c>
      <x:c r="J708" s="80" t="str">
        <x:v>Spectraflame Purple</x:v>
      </x:c>
      <x:c r="K708" s="82" t="str">
        <x:v>White, Yellow &amp; Turquoise lightning bolts</x:v>
      </x:c>
      <x:c r="L708" s="82" t="str">
        <x:v>UH</x:v>
      </x:c>
      <x:c r="M708" s="82" t="str">
        <x:v>Unpainted / Metal</x:v>
      </x:c>
      <x:c r="N708" s="82" t="str">
        <x:v>Tinted</x:v>
      </x:c>
      <x:c r="O708" s="82" t="str"/>
      <x:c r="P708" s="82" t="str">
        <x:v>Malaysia</x:v>
      </x:c>
      <x:c r="Q708" s="82" t="str"/>
      <x:c r="R708" s="82" t="str">
        <x:v>Outra linha</x:v>
      </x:c>
      <x:c r="S708" s="82" t="str">
        <x:v>Rara</x:v>
      </x:c>
      <x:c r="T708" s="82" t="str">
        <x:v>Lançado</x:v>
      </x:c>
      <x:c r="U708" s="82" t="str">
        <x:v>Named Nightstreaker</x:v>
      </x:c>
      <x:c r="V708" s="80" t="str">
        <x:v>Coleção principal (~1:64)</x:v>
      </x:c>
      <x:c r="W708" s="82" t="str">
        <x:v>https://hotwheels.fandom.com/wiki/P-928</x:v>
      </x:c>
      <x:c r="X708" s="82" t="str">
        <x:v>https://hotwheels.fandom.com/wiki/P-928</x:v>
      </x:c>
    </x:row>
    <x:row r="709">
      <x:c r="A709" s="80" t="str">
        <x:v>Não</x:v>
      </x:c>
      <x:c r="B709" s="80" t="str">
        <x:v>2 — Completar aos poucos</x:v>
      </x:c>
      <x:c r="C709" s="81" t="n">
        <x:v>1985</x:v>
      </x:c>
      <x:c r="D709" s="80" t="str">
        <x:v>P-928</x:v>
      </x:c>
      <x:c r="E709" s="80" t="str">
        <x:v>P-928</x:v>
      </x:c>
      <x:c r="F709" s="82" t="str">
        <x:v>Ultra Hots</x:v>
      </x:c>
      <x:c r="G709" s="80" t="str"/>
      <x:c r="H709" s="80" t="str"/>
      <x:c r="I709" s="83" t="str">
        <x:v>9537</x:v>
      </x:c>
      <x:c r="J709" s="80" t="str">
        <x:v>Spectraflame Purple</x:v>
      </x:c>
      <x:c r="K709" s="82" t="str">
        <x:v>White, Yellow &amp; Turquoise lightning bolts</x:v>
      </x:c>
      <x:c r="L709" s="82" t="str">
        <x:v>UH</x:v>
      </x:c>
      <x:c r="M709" s="82" t="str">
        <x:v>Unpainted / Metal</x:v>
      </x:c>
      <x:c r="N709" s="82" t="str">
        <x:v>Silver</x:v>
      </x:c>
      <x:c r="O709" s="82" t="str"/>
      <x:c r="P709" s="82" t="str">
        <x:v>Malaysia</x:v>
      </x:c>
      <x:c r="Q709" s="82" t="str"/>
      <x:c r="R709" s="82" t="str">
        <x:v>Outra linha</x:v>
      </x:c>
      <x:c r="S709" s="82" t="str">
        <x:v>Rara</x:v>
      </x:c>
      <x:c r="T709" s="82" t="str">
        <x:v>Lançado</x:v>
      </x:c>
      <x:c r="U709" s="82" t="str">
        <x:v>VHTF Silver window Variation</x:v>
      </x:c>
      <x:c r="V709" s="80" t="str">
        <x:v>Coleção principal (~1:64)</x:v>
      </x:c>
      <x:c r="W709" s="82" t="str">
        <x:v>https://hotwheels.fandom.com/wiki/P-928</x:v>
      </x:c>
      <x:c r="X709" s="82" t="str">
        <x:v>https://hotwheels.fandom.com/wiki/P-928</x:v>
      </x:c>
    </x:row>
    <x:row r="710">
      <x:c r="A710" s="80" t="str">
        <x:v>Não</x:v>
      </x:c>
      <x:c r="B710" s="80" t="str">
        <x:v>2 — Completar aos poucos</x:v>
      </x:c>
      <x:c r="C710" s="81" t="n">
        <x:v>1985</x:v>
      </x:c>
      <x:c r="D710" s="80" t="str">
        <x:v>P-928</x:v>
      </x:c>
      <x:c r="E710" s="80" t="str">
        <x:v>P-928</x:v>
      </x:c>
      <x:c r="F710" s="82" t="str">
        <x:v>Ultra Hots Gift Pack</x:v>
      </x:c>
      <x:c r="G710" s="80" t="str"/>
      <x:c r="H710" s="80" t="str"/>
      <x:c r="I710" s="83" t="str">
        <x:v>9416</x:v>
      </x:c>
      <x:c r="J710" s="80" t="str">
        <x:v>Spectraflame Purple</x:v>
      </x:c>
      <x:c r="K710" s="82" t="str">
        <x:v>White, Yellow &amp; Turquoise lightning bolts</x:v>
      </x:c>
      <x:c r="L710" s="82" t="str">
        <x:v>UH</x:v>
      </x:c>
      <x:c r="M710" s="82" t="str">
        <x:v>Unpainted / Metal</x:v>
      </x:c>
      <x:c r="N710" s="82" t="str">
        <x:v>Black</x:v>
      </x:c>
      <x:c r="O710" s="82" t="str"/>
      <x:c r="P710" s="82" t="str">
        <x:v>Malaysia</x:v>
      </x:c>
      <x:c r="Q710" s="82" t="str"/>
      <x:c r="R710" s="82" t="str">
        <x:v>Outra linha</x:v>
      </x:c>
      <x:c r="S710" s="82" t="str">
        <x:v>Rara</x:v>
      </x:c>
      <x:c r="T710" s="82" t="str">
        <x:v>Lançado</x:v>
      </x:c>
      <x:c r="U710" s="82" t="str">
        <x:v>Named Nightstreaker</x:v>
      </x:c>
      <x:c r="V710" s="80" t="str">
        <x:v>Coleção principal (~1:64)</x:v>
      </x:c>
      <x:c r="W710" s="82" t="str">
        <x:v>https://hotwheels.fandom.com/wiki/P-928</x:v>
      </x:c>
      <x:c r="X710" s="82" t="str">
        <x:v>https://hotwheels.fandom.com/wiki/P-928</x:v>
      </x:c>
    </x:row>
    <x:row r="711">
      <x:c r="A711" s="80" t="str">
        <x:v>Não</x:v>
      </x:c>
      <x:c r="B711" s="80" t="str">
        <x:v>2 — Completar aos poucos</x:v>
      </x:c>
      <x:c r="C711" s="81" t="n">
        <x:v>1984</x:v>
      </x:c>
      <x:c r="D711" s="80" t="str">
        <x:v>P-928</x:v>
      </x:c>
      <x:c r="E711" s="80" t="str">
        <x:v>P-928</x:v>
      </x:c>
      <x:c r="F711" s="82" t="str">
        <x:v>Ultra Hots</x:v>
      </x:c>
      <x:c r="G711" s="80" t="str"/>
      <x:c r="H711" s="80" t="str"/>
      <x:c r="I711" s="83" t="str">
        <x:v>7292</x:v>
      </x:c>
      <x:c r="J711" s="80" t="str">
        <x:v>Spectraflame Green</x:v>
      </x:c>
      <x:c r="K711" s="82" t="str">
        <x:v>White, Yellow &amp; Green lightning bolts</x:v>
      </x:c>
      <x:c r="L711" s="82" t="str">
        <x:v>UH</x:v>
      </x:c>
      <x:c r="M711" s="82" t="str">
        <x:v>Unpainted / Metal</x:v>
      </x:c>
      <x:c r="N711" s="82" t="str">
        <x:v>Black</x:v>
      </x:c>
      <x:c r="O711" s="82" t="str"/>
      <x:c r="P711" s="82" t="str">
        <x:v>Malaysia</x:v>
      </x:c>
      <x:c r="Q711" s="82" t="str"/>
      <x:c r="R711" s="82" t="str">
        <x:v>Outra linha</x:v>
      </x:c>
      <x:c r="S711" s="82" t="str">
        <x:v>Rara</x:v>
      </x:c>
      <x:c r="T711" s="82" t="str">
        <x:v>Lançado</x:v>
      </x:c>
      <x:c r="U711" s="82" t="str">
        <x:v>Named Predator</x:v>
      </x:c>
      <x:c r="V711" s="80" t="str">
        <x:v>Coleção principal (~1:64)</x:v>
      </x:c>
      <x:c r="W711" s="82" t="str">
        <x:v>https://hotwheels.fandom.com/wiki/P-928</x:v>
      </x:c>
      <x:c r="X711" s="82" t="str">
        <x:v>https://hotwheels.fandom.com/wiki/P-928</x:v>
      </x:c>
    </x:row>
    <x:row r="712">
      <x:c r="A712" s="80" t="str">
        <x:v>Não</x:v>
      </x:c>
      <x:c r="B712" s="80" t="str">
        <x:v>2 — Completar aos poucos</x:v>
      </x:c>
      <x:c r="C712" s="81" t="n">
        <x:v>1984</x:v>
      </x:c>
      <x:c r="D712" s="80" t="str">
        <x:v>Upfront 924</x:v>
      </x:c>
      <x:c r="E712" s="80" t="str">
        <x:v>Upfront 924</x:v>
      </x:c>
      <x:c r="F712" s="82" t="str">
        <x:v>1984 Hot Wheels</x:v>
      </x:c>
      <x:c r="G712" s="80" t="str"/>
      <x:c r="H712" s="80" t="str"/>
      <x:c r="I712" s="83" t="str"/>
      <x:c r="J712" s="80" t="str">
        <x:v>White</x:v>
      </x:c>
      <x:c r="K712" s="82" t="str"/>
      <x:c r="L712" s="82" t="str">
        <x:v>BW</x:v>
      </x:c>
      <x:c r="M712" s="82" t="str">
        <x:v>Unpainted / Metal</x:v>
      </x:c>
      <x:c r="N712" s="82" t="str">
        <x:v>Tinted (Brown)</x:v>
      </x:c>
      <x:c r="O712" s="82" t="str">
        <x:v>Black</x:v>
      </x:c>
      <x:c r="P712" s="82" t="str">
        <x:v>France</x:v>
      </x:c>
      <x:c r="Q712" s="82" t="str"/>
      <x:c r="R712" s="82" t="str">
        <x:v>Outra linha</x:v>
      </x:c>
      <x:c r="S712" s="82" t="str">
        <x:v>Rara</x:v>
      </x:c>
      <x:c r="T712" s="82" t="str">
        <x:v>Lançado</x:v>
      </x:c>
      <x:c r="U712" s="82" t="str">
        <x:v>BROWN Tinted</x:v>
      </x:c>
      <x:c r="V712" s="80" t="str">
        <x:v>Coleção principal (~1:64)</x:v>
      </x:c>
      <x:c r="W712" s="82" t="str">
        <x:v>https://hotwheels.fandom.com/wiki/Upfront_924</x:v>
      </x:c>
      <x:c r="X712" s="82" t="str">
        <x:v>https://hotwheels.fandom.com/wiki/Upfront_924</x:v>
      </x:c>
    </x:row>
    <x:row r="713">
      <x:c r="A713" s="80" t="str">
        <x:v>Não</x:v>
      </x:c>
      <x:c r="B713" s="80" t="str">
        <x:v>2 — Completar aos poucos</x:v>
      </x:c>
      <x:c r="C713" s="81" t="n">
        <x:v>1984</x:v>
      </x:c>
      <x:c r="D713" s="80" t="str">
        <x:v>Upfront 924</x:v>
      </x:c>
      <x:c r="E713" s="80" t="str">
        <x:v>Upfront 924</x:v>
      </x:c>
      <x:c r="F713" s="82" t="str">
        <x:v>1984 Hot Wheels</x:v>
      </x:c>
      <x:c r="G713" s="80" t="str"/>
      <x:c r="H713" s="80" t="str"/>
      <x:c r="I713" s="83" t="str"/>
      <x:c r="J713" s="80" t="str">
        <x:v>White</x:v>
      </x:c>
      <x:c r="K713" s="82" t="str">
        <x:v>Black sheild Logo "BP" on roof , lighter Red Black stripes, 924 with Porsche Shield</x:v>
      </x:c>
      <x:c r="L713" s="82" t="str">
        <x:v>BW</x:v>
      </x:c>
      <x:c r="M713" s="82" t="str">
        <x:v>Unpainted / Metal</x:v>
      </x:c>
      <x:c r="N713" s="82" t="str">
        <x:v>Clear</x:v>
      </x:c>
      <x:c r="O713" s="82" t="str">
        <x:v>Black</x:v>
      </x:c>
      <x:c r="P713" s="82" t="str">
        <x:v>France</x:v>
      </x:c>
      <x:c r="Q713" s="82" t="str"/>
      <x:c r="R713" s="82" t="str">
        <x:v>Outra linha</x:v>
      </x:c>
      <x:c r="S713" s="82" t="str">
        <x:v>Rara</x:v>
      </x:c>
      <x:c r="T713" s="82" t="str">
        <x:v>Lançado</x:v>
      </x:c>
      <x:c r="U713" s="82" t="str">
        <x:v>window can have 0, 2, 3. 4 Holes, 4 unpunched out</x:v>
      </x:c>
      <x:c r="V713" s="80" t="str">
        <x:v>Coleção principal (~1:64)</x:v>
      </x:c>
      <x:c r="W713" s="82" t="str">
        <x:v>https://hotwheels.fandom.com/wiki/Upfront_924</x:v>
      </x:c>
      <x:c r="X713" s="82" t="str">
        <x:v>https://hotwheels.fandom.com/wiki/Upfront_924</x:v>
      </x:c>
    </x:row>
    <x:row r="714">
      <x:c r="A714" s="80" t="str">
        <x:v>Não</x:v>
      </x:c>
      <x:c r="B714" s="80" t="str">
        <x:v>2 — Completar aos poucos</x:v>
      </x:c>
      <x:c r="C714" s="81" t="n">
        <x:v>1983</x:v>
      </x:c>
      <x:c r="D714" s="80" t="str">
        <x:v>P-928</x:v>
      </x:c>
      <x:c r="E714" s="80" t="str">
        <x:v>P-928</x:v>
      </x:c>
      <x:c r="F714" s="82" t="str">
        <x:v>Real Riders</x:v>
      </x:c>
      <x:c r="G714" s="80" t="str"/>
      <x:c r="H714" s="80" t="str"/>
      <x:c r="I714" s="83" t="str">
        <x:v>4371</x:v>
      </x:c>
      <x:c r="J714" s="80" t="str">
        <x:v>Red</x:v>
      </x:c>
      <x:c r="K714" s="82" t="str">
        <x:v>Yellow &amp; Orange, "928 "turbo"</x:v>
      </x:c>
      <x:c r="L714" s="82" t="str">
        <x:v>RR</x:v>
      </x:c>
      <x:c r="M714" s="82" t="str">
        <x:v>Unpainted / Metal</x:v>
      </x:c>
      <x:c r="N714" s="82" t="str">
        <x:v>Black</x:v>
      </x:c>
      <x:c r="O714" s="82" t="str"/>
      <x:c r="P714" s="82" t="str">
        <x:v>Hong Kong</x:v>
      </x:c>
      <x:c r="Q714" s="82" t="str"/>
      <x:c r="R714" s="82" t="str">
        <x:v>Premium</x:v>
      </x:c>
      <x:c r="S714" s="82" t="str">
        <x:v>Rara</x:v>
      </x:c>
      <x:c r="T714" s="82" t="str">
        <x:v>Lançado</x:v>
      </x:c>
      <x:c r="U714" s="82" t="str"/>
      <x:c r="V714" s="80" t="str">
        <x:v>Coleção principal (~1:64)</x:v>
      </x:c>
      <x:c r="W714" s="82" t="str">
        <x:v>https://hotwheels.fandom.com/wiki/P-928</x:v>
      </x:c>
      <x:c r="X714" s="82" t="str">
        <x:v>https://hotwheels.fandom.com/wiki/P-928</x:v>
      </x:c>
    </x:row>
    <x:row r="715">
      <x:c r="A715" s="80" t="str">
        <x:v>Não</x:v>
      </x:c>
      <x:c r="B715" s="80" t="str">
        <x:v>2 — Completar aos poucos</x:v>
      </x:c>
      <x:c r="C715" s="81" t="n">
        <x:v>1983</x:v>
      </x:c>
      <x:c r="D715" s="80" t="str">
        <x:v>P-928</x:v>
      </x:c>
      <x:c r="E715" s="80" t="str">
        <x:v>P-928</x:v>
      </x:c>
      <x:c r="F715" s="82" t="str">
        <x:v>Special 15th Birthday Offer 3-Pack</x:v>
      </x:c>
      <x:c r="G715" s="80" t="str"/>
      <x:c r="H715" s="80" t="str"/>
      <x:c r="I715" s="83" t="str">
        <x:v>5709</x:v>
      </x:c>
      <x:c r="J715" s="80" t="str">
        <x:v>White</x:v>
      </x:c>
      <x:c r="K715" s="82" t="str">
        <x:v>Yellow, Red &amp; Black stripes. Yellow "928"</x:v>
      </x:c>
      <x:c r="L715" s="82" t="str">
        <x:v>GHO</x:v>
      </x:c>
      <x:c r="M715" s="82" t="str">
        <x:v>Unpainted / Metal</x:v>
      </x:c>
      <x:c r="N715" s="82" t="str">
        <x:v>Black</x:v>
      </x:c>
      <x:c r="O715" s="82" t="str"/>
      <x:c r="P715" s="82" t="str">
        <x:v>Hong Kong</x:v>
      </x:c>
      <x:c r="Q715" s="82" t="str"/>
      <x:c r="R715" s="82" t="str">
        <x:v>Outra linha</x:v>
      </x:c>
      <x:c r="S715" s="82" t="str">
        <x:v>Rara</x:v>
      </x:c>
      <x:c r="T715" s="82" t="str">
        <x:v>Lançado</x:v>
      </x:c>
      <x:c r="U715" s="82" t="str">
        <x:v>Comes with belt buckle</x:v>
      </x:c>
      <x:c r="V715" s="80" t="str">
        <x:v>Coleção principal (~1:64)</x:v>
      </x:c>
      <x:c r="W715" s="82" t="str">
        <x:v>https://hotwheels.fandom.com/wiki/P-928</x:v>
      </x:c>
      <x:c r="X715" s="82" t="str">
        <x:v>https://hotwheels.fandom.com/wiki/P-928</x:v>
      </x:c>
    </x:row>
    <x:row r="716">
      <x:c r="A716" s="80" t="str">
        <x:v>Não</x:v>
      </x:c>
      <x:c r="B716" s="80" t="str">
        <x:v>2 — Completar aos poucos</x:v>
      </x:c>
      <x:c r="C716" s="81" t="n">
        <x:v>1983</x:v>
      </x:c>
      <x:c r="D716" s="80" t="str">
        <x:v>Upfront 924</x:v>
      </x:c>
      <x:c r="E716" s="80" t="str">
        <x:v>Upfront 924</x:v>
      </x:c>
      <x:c r="F716" s="82" t="str"/>
      <x:c r="G716" s="80" t="str"/>
      <x:c r="H716" s="80" t="str"/>
      <x:c r="I716" s="83" t="str"/>
      <x:c r="J716" s="80" t="str">
        <x:v>Gold Metalflake</x:v>
      </x:c>
      <x:c r="K716" s="82" t="str">
        <x:v>White Strip on Sides</x:v>
      </x:c>
      <x:c r="L716" s="82" t="str">
        <x:v>BW</x:v>
      </x:c>
      <x:c r="M716" s="82" t="str">
        <x:v>Unpainted / Metal</x:v>
      </x:c>
      <x:c r="N716" s="82" t="str">
        <x:v>Smoke</x:v>
      </x:c>
      <x:c r="O716" s="82" t="str"/>
      <x:c r="P716" s="82" t="str">
        <x:v>Mexico</x:v>
      </x:c>
      <x:c r="Q716" s="82" t="str"/>
      <x:c r="R716" s="82" t="str">
        <x:v>Outra linha</x:v>
      </x:c>
      <x:c r="S716" s="82" t="str">
        <x:v>Rara</x:v>
      </x:c>
      <x:c r="T716" s="82" t="str">
        <x:v>Lançado</x:v>
      </x:c>
      <x:c r="U716" s="82" t="str">
        <x:v>Gray Ski Rack</x:v>
      </x:c>
      <x:c r="V716" s="80" t="str">
        <x:v>Coleção principal (~1:64)</x:v>
      </x:c>
      <x:c r="W716" s="82" t="str">
        <x:v>https://hotwheels.fandom.com/wiki/Upfront_924</x:v>
      </x:c>
      <x:c r="X716" s="82" t="str">
        <x:v>https://hotwheels.fandom.com/wiki/Upfront_924</x:v>
      </x:c>
    </x:row>
    <x:row r="717">
      <x:c r="A717" s="80" t="str">
        <x:v>Não</x:v>
      </x:c>
      <x:c r="B717" s="80" t="str">
        <x:v>2 — Completar aos poucos</x:v>
      </x:c>
      <x:c r="C717" s="81" t="n">
        <x:v>1983</x:v>
      </x:c>
      <x:c r="D717" s="80" t="str">
        <x:v>Upfront 924</x:v>
      </x:c>
      <x:c r="E717" s="80" t="str">
        <x:v>Upfront 924</x:v>
      </x:c>
      <x:c r="F717" s="82" t="str">
        <x:v>Extras</x:v>
      </x:c>
      <x:c r="G717" s="80" t="str"/>
      <x:c r="H717" s="80" t="str"/>
      <x:c r="I717" s="83" t="str">
        <x:v>4339</x:v>
      </x:c>
      <x:c r="J717" s="80" t="str">
        <x:v>Metalflake Gold</x:v>
      </x:c>
      <x:c r="K717" s="82" t="str">
        <x:v>Red, Yellow &amp; Black stripes</x:v>
      </x:c>
      <x:c r="L717" s="82" t="str">
        <x:v>BW</x:v>
      </x:c>
      <x:c r="M717" s="82" t="str">
        <x:v>Unpainted / Metal</x:v>
      </x:c>
      <x:c r="N717" s="82" t="str">
        <x:v>Smoke</x:v>
      </x:c>
      <x:c r="O717" s="82" t="str">
        <x:v>Black</x:v>
      </x:c>
      <x:c r="P717" s="82" t="str">
        <x:v>Malaysia</x:v>
      </x:c>
      <x:c r="Q717" s="82" t="str"/>
      <x:c r="R717" s="82" t="str">
        <x:v>Outra linha</x:v>
      </x:c>
      <x:c r="S717" s="82" t="str">
        <x:v>Rara</x:v>
      </x:c>
      <x:c r="T717" s="82" t="str">
        <x:v>Lançado</x:v>
      </x:c>
      <x:c r="U717" s="82" t="str">
        <x:v>Removable Red ski rack on back window</x:v>
      </x:c>
      <x:c r="V717" s="80" t="str">
        <x:v>Coleção principal (~1:64)</x:v>
      </x:c>
      <x:c r="W717" s="82" t="str">
        <x:v>https://hotwheels.fandom.com/wiki/Upfront_924</x:v>
      </x:c>
      <x:c r="X717" s="82" t="str">
        <x:v>https://hotwheels.fandom.com/wiki/Upfront_924</x:v>
      </x:c>
    </x:row>
    <x:row r="718">
      <x:c r="A718" s="80" t="str">
        <x:v>Não</x:v>
      </x:c>
      <x:c r="B718" s="80" t="str">
        <x:v>2 — Completar aos poucos</x:v>
      </x:c>
      <x:c r="C718" s="81" t="n">
        <x:v>1982</x:v>
      </x:c>
      <x:c r="D718" s="80" t="str">
        <x:v>P-911</x:v>
      </x:c>
      <x:c r="E718" s="80" t="str">
        <x:v>P-911</x:v>
      </x:c>
      <x:c r="F718" s="82" t="str">
        <x:v>Flying Colors International</x:v>
      </x:c>
      <x:c r="G718" s="80" t="str"/>
      <x:c r="H718" s="80" t="str"/>
      <x:c r="I718" s="83" t="str"/>
      <x:c r="J718" s="80" t="str">
        <x:v>Black</x:v>
      </x:c>
      <x:c r="K718" s="82" t="str">
        <x:v>White, Yellow &amp; Red "95"</x:v>
      </x:c>
      <x:c r="L718" s="82" t="str">
        <x:v>BW</x:v>
      </x:c>
      <x:c r="M718" s="82" t="str">
        <x:v>Unpainted / Metal</x:v>
      </x:c>
      <x:c r="N718" s="82" t="str">
        <x:v>Smoke tint</x:v>
      </x:c>
      <x:c r="O718" s="82" t="str">
        <x:v>Black</x:v>
      </x:c>
      <x:c r="P718" s="82" t="str">
        <x:v>Hong Kong</x:v>
      </x:c>
      <x:c r="Q718" s="82" t="str"/>
      <x:c r="R718" s="82" t="str">
        <x:v>Outra linha</x:v>
      </x:c>
      <x:c r="S718" s="82" t="str">
        <x:v>Rara</x:v>
      </x:c>
      <x:c r="T718" s="82" t="str">
        <x:v>Lançado</x:v>
      </x:c>
      <x:c r="U718" s="82" t="str"/>
      <x:c r="V718" s="80" t="str">
        <x:v>Coleção principal (~1:64)</x:v>
      </x:c>
      <x:c r="W718" s="82" t="str">
        <x:v>https://hotwheels.fandom.com/wiki/P-911</x:v>
      </x:c>
      <x:c r="X718" s="82" t="str">
        <x:v>https://hotwheels.fandom.com/wiki/P-911</x:v>
      </x:c>
    </x:row>
    <x:row r="719">
      <x:c r="A719" s="80" t="str">
        <x:v>Não</x:v>
      </x:c>
      <x:c r="B719" s="80" t="str">
        <x:v>2 — Completar aos poucos</x:v>
      </x:c>
      <x:c r="C719" s="81" t="n">
        <x:v>1982</x:v>
      </x:c>
      <x:c r="D719" s="80" t="str">
        <x:v>P-911</x:v>
      </x:c>
      <x:c r="E719" s="80" t="str">
        <x:v>P-911</x:v>
      </x:c>
      <x:c r="F719" s="82" t="str">
        <x:v>Flying Colors International</x:v>
      </x:c>
      <x:c r="G719" s="80" t="str"/>
      <x:c r="H719" s="80" t="str"/>
      <x:c r="I719" s="83" t="str"/>
      <x:c r="J719" s="80" t="str">
        <x:v>Black</x:v>
      </x:c>
      <x:c r="K719" s="82" t="str">
        <x:v>White, Yellow &amp; Red "95"</x:v>
      </x:c>
      <x:c r="L719" s="82" t="str">
        <x:v>BW</x:v>
      </x:c>
      <x:c r="M719" s="82" t="str">
        <x:v>Unpainted / / / Metal</x:v>
      </x:c>
      <x:c r="N719" s="82" t="str">
        <x:v>Black tint</x:v>
      </x:c>
      <x:c r="O719" s="82" t="str">
        <x:v>Black</x:v>
      </x:c>
      <x:c r="P719" s="82" t="str">
        <x:v>Hong Kong</x:v>
      </x:c>
      <x:c r="Q719" s="82" t="str"/>
      <x:c r="R719" s="82" t="str">
        <x:v>Outra linha</x:v>
      </x:c>
      <x:c r="S719" s="82" t="str">
        <x:v>Rara</x:v>
      </x:c>
      <x:c r="T719" s="82" t="str">
        <x:v>Lançado</x:v>
      </x:c>
      <x:c r="U719" s="82" t="str"/>
      <x:c r="V719" s="80" t="str">
        <x:v>Coleção principal (~1:64)</x:v>
      </x:c>
      <x:c r="W719" s="82" t="str">
        <x:v>https://hotwheels.fandom.com/wiki/P-911</x:v>
      </x:c>
      <x:c r="X719" s="82" t="str">
        <x:v>https://hotwheels.fandom.com/wiki/P-911</x:v>
      </x:c>
    </x:row>
    <x:row r="720">
      <x:c r="A720" s="80" t="str">
        <x:v>Não</x:v>
      </x:c>
      <x:c r="B720" s="80" t="str">
        <x:v>2 — Completar aos poucos</x:v>
      </x:c>
      <x:c r="C720" s="81" t="n">
        <x:v>1982</x:v>
      </x:c>
      <x:c r="D720" s="80" t="str">
        <x:v>P-911</x:v>
      </x:c>
      <x:c r="E720" s="80" t="str">
        <x:v>P-911</x:v>
      </x:c>
      <x:c r="F720" s="82" t="str">
        <x:v>Mainline</x:v>
      </x:c>
      <x:c r="G720" s="80" t="str"/>
      <x:c r="H720" s="80" t="str"/>
      <x:c r="I720" s="83" t="str"/>
      <x:c r="J720" s="80" t="str">
        <x:v>Black</x:v>
      </x:c>
      <x:c r="K720" s="82" t="str">
        <x:v>White, Yellow &amp; Red "95"</x:v>
      </x:c>
      <x:c r="L720" s="82" t="str">
        <x:v>GHO</x:v>
      </x:c>
      <x:c r="M720" s="82" t="str">
        <x:v>Unpainted / Metal</x:v>
      </x:c>
      <x:c r="N720" s="82" t="str">
        <x:v>Smoke tint</x:v>
      </x:c>
      <x:c r="O720" s="82" t="str">
        <x:v>Black</x:v>
      </x:c>
      <x:c r="P720" s="82" t="str">
        <x:v>Hong Kong</x:v>
      </x:c>
      <x:c r="Q720" s="82" t="str"/>
      <x:c r="R720" s="82" t="str">
        <x:v>Mainline</x:v>
      </x:c>
      <x:c r="S720" s="82" t="str">
        <x:v>Rara</x:v>
      </x:c>
      <x:c r="T720" s="82" t="str">
        <x:v>Lançado</x:v>
      </x:c>
      <x:c r="U720" s="82" t="str"/>
      <x:c r="V720" s="80" t="str">
        <x:v>Coleção principal (~1:64)</x:v>
      </x:c>
      <x:c r="W720" s="82" t="str">
        <x:v>https://hotwheels.fandom.com/wiki/P-911</x:v>
      </x:c>
      <x:c r="X720" s="82" t="str">
        <x:v>https://hotwheels.fandom.com/wiki/P-911</x:v>
      </x:c>
    </x:row>
    <x:row r="721">
      <x:c r="A721" s="80" t="str">
        <x:v>Não</x:v>
      </x:c>
      <x:c r="B721" s="80" t="str">
        <x:v>2 — Completar aos poucos</x:v>
      </x:c>
      <x:c r="C721" s="81" t="n">
        <x:v>1982</x:v>
      </x:c>
      <x:c r="D721" s="80" t="str">
        <x:v>P-911</x:v>
      </x:c>
      <x:c r="E721" s="80" t="str">
        <x:v>P-911</x:v>
      </x:c>
      <x:c r="F721" s="82" t="str">
        <x:v>Mainline</x:v>
      </x:c>
      <x:c r="G721" s="80" t="str"/>
      <x:c r="H721" s="80" t="str"/>
      <x:c r="I721" s="83" t="str"/>
      <x:c r="J721" s="80" t="str">
        <x:v>Black</x:v>
      </x:c>
      <x:c r="K721" s="82" t="str">
        <x:v>White, Yellow &amp; Red "95"</x:v>
      </x:c>
      <x:c r="L721" s="82" t="str">
        <x:v>Gold BW</x:v>
      </x:c>
      <x:c r="M721" s="82" t="str">
        <x:v>Unpainted / / / Metal</x:v>
      </x:c>
      <x:c r="N721" s="82" t="str">
        <x:v>Black tint</x:v>
      </x:c>
      <x:c r="O721" s="82" t="str">
        <x:v>Black</x:v>
      </x:c>
      <x:c r="P721" s="82" t="str">
        <x:v>Hong Kong</x:v>
      </x:c>
      <x:c r="Q721" s="82" t="str"/>
      <x:c r="R721" s="82" t="str">
        <x:v>Mainline</x:v>
      </x:c>
      <x:c r="S721" s="82" t="str">
        <x:v>Rara</x:v>
      </x:c>
      <x:c r="T721" s="82" t="str">
        <x:v>Lançado</x:v>
      </x:c>
      <x:c r="U721" s="82" t="str"/>
      <x:c r="V721" s="80" t="str">
        <x:v>Coleção principal (~1:64)</x:v>
      </x:c>
      <x:c r="W721" s="82" t="str">
        <x:v>https://hotwheels.fandom.com/wiki/P-911</x:v>
      </x:c>
      <x:c r="X721" s="82" t="str">
        <x:v>https://hotwheels.fandom.com/wiki/P-911</x:v>
      </x:c>
    </x:row>
    <x:row r="722">
      <x:c r="A722" s="80" t="str">
        <x:v>Não</x:v>
      </x:c>
      <x:c r="B722" s="80" t="str">
        <x:v>2 — Completar aos poucos</x:v>
      </x:c>
      <x:c r="C722" s="81" t="n">
        <x:v>1982</x:v>
      </x:c>
      <x:c r="D722" s="80" t="str">
        <x:v>P-911</x:v>
      </x:c>
      <x:c r="E722" s="80" t="str">
        <x:v>P-911</x:v>
      </x:c>
      <x:c r="F722" s="82" t="str">
        <x:v>The Hot Ones</x:v>
      </x:c>
      <x:c r="G722" s="80" t="str"/>
      <x:c r="H722" s="80" t="str"/>
      <x:c r="I722" s="83" t="str"/>
      <x:c r="J722" s="80" t="str">
        <x:v>Black</x:v>
      </x:c>
      <x:c r="K722" s="82" t="str">
        <x:v>White, Yellow &amp; Red "95"</x:v>
      </x:c>
      <x:c r="L722" s="82" t="str">
        <x:v>GHO</x:v>
      </x:c>
      <x:c r="M722" s="82" t="str">
        <x:v>Unpainted / / / Metal</x:v>
      </x:c>
      <x:c r="N722" s="82" t="str">
        <x:v>Black tint</x:v>
      </x:c>
      <x:c r="O722" s="82" t="str">
        <x:v>Black</x:v>
      </x:c>
      <x:c r="P722" s="82" t="str">
        <x:v>Hong Kong</x:v>
      </x:c>
      <x:c r="Q722" s="82" t="str"/>
      <x:c r="R722" s="82" t="str">
        <x:v>Outra linha</x:v>
      </x:c>
      <x:c r="S722" s="82" t="str">
        <x:v>Rara</x:v>
      </x:c>
      <x:c r="T722" s="82" t="str">
        <x:v>Lançado</x:v>
      </x:c>
      <x:c r="U722" s="82" t="str">
        <x:v>Also appears in Truck Co</x:v>
      </x:c>
      <x:c r="V722" s="80" t="str">
        <x:v>Coleção principal (~1:64)</x:v>
      </x:c>
      <x:c r="W722" s="82" t="str">
        <x:v>https://hotwheels.fandom.com/wiki/P-911</x:v>
      </x:c>
      <x:c r="X722" s="82" t="str">
        <x:v>https://hotwheels.fandom.com/wiki/P-911</x:v>
      </x:c>
    </x:row>
    <x:row r="723">
      <x:c r="A723" s="80" t="str">
        <x:v>Não</x:v>
      </x:c>
      <x:c r="B723" s="80" t="str">
        <x:v>2 — Completar aos poucos</x:v>
      </x:c>
      <x:c r="C723" s="81" t="n">
        <x:v>1982</x:v>
      </x:c>
      <x:c r="D723" s="80" t="str">
        <x:v>P-928</x:v>
      </x:c>
      <x:c r="E723" s="80" t="str">
        <x:v>P-928</x:v>
      </x:c>
      <x:c r="F723" s="82" t="str">
        <x:v>1982 Hot Wheels</x:v>
      </x:c>
      <x:c r="G723" s="80" t="str"/>
      <x:c r="H723" s="80" t="str"/>
      <x:c r="I723" s="83" t="str">
        <x:v>5160</x:v>
      </x:c>
      <x:c r="J723" s="80" t="str"/>
      <x:c r="K723" s="82" t="str"/>
      <x:c r="L723" s="82" t="str"/>
      <x:c r="M723" s="82" t="str"/>
      <x:c r="N723" s="82" t="str"/>
      <x:c r="O723" s="82" t="str"/>
      <x:c r="P723" s="82" t="str"/>
      <x:c r="Q723" s="82" t="str"/>
      <x:c r="R723" s="82" t="str">
        <x:v>Outra linha</x:v>
      </x:c>
      <x:c r="S723" s="82" t="str">
        <x:v>Rara</x:v>
      </x:c>
      <x:c r="T723" s="82" t="str">
        <x:v>Lançado</x:v>
      </x:c>
      <x:c r="U723" s="82" t="str"/>
      <x:c r="V723" s="80" t="str">
        <x:v>Coleção principal (~1:64)</x:v>
      </x:c>
      <x:c r="W723" s="82" t="str">
        <x:v>https://hotwheels.fandom.com/wiki/Porsche</x:v>
      </x:c>
      <x:c r="X723" s="82" t="str">
        <x:v>https://hotwheels.fandom.com/wiki/P-928</x:v>
      </x:c>
    </x:row>
    <x:row r="724">
      <x:c r="A724" s="80" t="str">
        <x:v>Não</x:v>
      </x:c>
      <x:c r="B724" s="80" t="str">
        <x:v>2 — Completar aos poucos</x:v>
      </x:c>
      <x:c r="C724" s="81" t="n">
        <x:v>1982</x:v>
      </x:c>
      <x:c r="D724" s="80" t="str">
        <x:v>P-928</x:v>
      </x:c>
      <x:c r="E724" s="80" t="str">
        <x:v>P-928</x:v>
      </x:c>
      <x:c r="F724" s="82" t="str">
        <x:v>Mainline</x:v>
      </x:c>
      <x:c r="G724" s="80" t="str"/>
      <x:c r="H724" s="80" t="str"/>
      <x:c r="I724" s="83" t="str">
        <x:v>5180</x:v>
      </x:c>
      <x:c r="J724" s="80" t="str">
        <x:v>Red</x:v>
      </x:c>
      <x:c r="K724" s="82" t="str">
        <x:v>Yellow &amp; Orange, "928 "turbo"</x:v>
      </x:c>
      <x:c r="L724" s="82" t="str">
        <x:v>BW</x:v>
      </x:c>
      <x:c r="M724" s="82" t="str">
        <x:v>Unpainted / Metal</x:v>
      </x:c>
      <x:c r="N724" s="82" t="str">
        <x:v>Black</x:v>
      </x:c>
      <x:c r="O724" s="82" t="str"/>
      <x:c r="P724" s="82" t="str">
        <x:v>Hong Kong</x:v>
      </x:c>
      <x:c r="Q724" s="82" t="str"/>
      <x:c r="R724" s="82" t="str">
        <x:v>Mainline</x:v>
      </x:c>
      <x:c r="S724" s="82" t="str">
        <x:v>Rara</x:v>
      </x:c>
      <x:c r="T724" s="82" t="str">
        <x:v>Lançado</x:v>
      </x:c>
      <x:c r="U724" s="82" t="str"/>
      <x:c r="V724" s="80" t="str">
        <x:v>Coleção principal (~1:64)</x:v>
      </x:c>
      <x:c r="W724" s="82" t="str">
        <x:v>https://hotwheels.fandom.com/wiki/P-928</x:v>
      </x:c>
      <x:c r="X724" s="82" t="str">
        <x:v>https://hotwheels.fandom.com/wiki/P-928</x:v>
      </x:c>
    </x:row>
    <x:row r="725">
      <x:c r="A725" s="80" t="str">
        <x:v>Não</x:v>
      </x:c>
      <x:c r="B725" s="80" t="str">
        <x:v>2 — Completar aos poucos</x:v>
      </x:c>
      <x:c r="C725" s="81" t="n">
        <x:v>1982</x:v>
      </x:c>
      <x:c r="D725" s="80" t="str">
        <x:v>P-928</x:v>
      </x:c>
      <x:c r="E725" s="80" t="str">
        <x:v>P-928</x:v>
      </x:c>
      <x:c r="F725" s="82" t="str">
        <x:v>The Hot Ones</x:v>
      </x:c>
      <x:c r="G725" s="80" t="str"/>
      <x:c r="H725" s="80" t="str"/>
      <x:c r="I725" s="83" t="str">
        <x:v>5180</x:v>
      </x:c>
      <x:c r="J725" s="80" t="str">
        <x:v>Red</x:v>
      </x:c>
      <x:c r="K725" s="82" t="str">
        <x:v>Yellow &amp; Orange, "928 "turbo"</x:v>
      </x:c>
      <x:c r="L725" s="82" t="str">
        <x:v>GHO</x:v>
      </x:c>
      <x:c r="M725" s="82" t="str">
        <x:v>Unpainted / Metal</x:v>
      </x:c>
      <x:c r="N725" s="82" t="str">
        <x:v>Black</x:v>
      </x:c>
      <x:c r="O725" s="82" t="str"/>
      <x:c r="P725" s="82" t="str">
        <x:v>Hong Kong</x:v>
      </x:c>
      <x:c r="Q725" s="82" t="str"/>
      <x:c r="R725" s="82" t="str">
        <x:v>Outra linha</x:v>
      </x:c>
      <x:c r="S725" s="82" t="str">
        <x:v>Rara</x:v>
      </x:c>
      <x:c r="T725" s="82" t="str">
        <x:v>Lançado</x:v>
      </x:c>
      <x:c r="U725" s="82" t="str">
        <x:v>also in 2-PAK 1891</x:v>
      </x:c>
      <x:c r="V725" s="80" t="str">
        <x:v>Coleção principal (~1:64)</x:v>
      </x:c>
      <x:c r="W725" s="82" t="str">
        <x:v>https://hotwheels.fandom.com/wiki/P-928</x:v>
      </x:c>
      <x:c r="X725" s="82" t="str">
        <x:v>https://hotwheels.fandom.com/wiki/P-928</x:v>
      </x:c>
    </x:row>
    <x:row r="726">
      <x:c r="A726" s="80" t="str">
        <x:v>Não</x:v>
      </x:c>
      <x:c r="B726" s="80" t="str">
        <x:v>2 — Completar aos poucos</x:v>
      </x:c>
      <x:c r="C726" s="81" t="n">
        <x:v>1982</x:v>
      </x:c>
      <x:c r="D726" s="80" t="str">
        <x:v>Upfront 924</x:v>
      </x:c>
      <x:c r="E726" s="80" t="str">
        <x:v>Upfront 924</x:v>
      </x:c>
      <x:c r="F726" s="82" t="str">
        <x:v>1982 Hot Wheels</x:v>
      </x:c>
      <x:c r="G726" s="80" t="str"/>
      <x:c r="H726" s="80" t="str"/>
      <x:c r="I726" s="83" t="str"/>
      <x:c r="J726" s="80" t="str">
        <x:v>Black</x:v>
      </x:c>
      <x:c r="K726" s="82" t="str">
        <x:v>Red, Yellow &amp; Black stripes "turbo 924" on sides</x:v>
      </x:c>
      <x:c r="L726" s="82" t="str">
        <x:v>BW</x:v>
      </x:c>
      <x:c r="M726" s="82" t="str">
        <x:v>Unpainted / Metal</x:v>
      </x:c>
      <x:c r="N726" s="82" t="str">
        <x:v>Smoke</x:v>
      </x:c>
      <x:c r="O726" s="82" t="str">
        <x:v>Black</x:v>
      </x:c>
      <x:c r="P726" s="82" t="str">
        <x:v>Malaysia</x:v>
      </x:c>
      <x:c r="Q726" s="82" t="str"/>
      <x:c r="R726" s="82" t="str">
        <x:v>Outra linha</x:v>
      </x:c>
      <x:c r="S726" s="82" t="str">
        <x:v>Rara</x:v>
      </x:c>
      <x:c r="T726" s="82" t="str">
        <x:v>Lançado</x:v>
      </x:c>
      <x:c r="U726" s="82" t="str"/>
      <x:c r="V726" s="80" t="str">
        <x:v>Coleção principal (~1:64)</x:v>
      </x:c>
      <x:c r="W726" s="82" t="str">
        <x:v>https://hotwheels.fandom.com/wiki/Upfront_924</x:v>
      </x:c>
      <x:c r="X726" s="82" t="str">
        <x:v>https://hotwheels.fandom.com/wiki/Upfront_924</x:v>
      </x:c>
    </x:row>
    <x:row r="727">
      <x:c r="A727" s="80" t="str">
        <x:v>Não</x:v>
      </x:c>
      <x:c r="B727" s="80" t="str">
        <x:v>2 — Completar aos poucos</x:v>
      </x:c>
      <x:c r="C727" s="81" t="n">
        <x:v>1982</x:v>
      </x:c>
      <x:c r="D727" s="80" t="str">
        <x:v>Upfront 924</x:v>
      </x:c>
      <x:c r="E727" s="80" t="str">
        <x:v>Upfront 924</x:v>
      </x:c>
      <x:c r="F727" s="82" t="str">
        <x:v>1982 Hot Wheels</x:v>
      </x:c>
      <x:c r="G727" s="80" t="str"/>
      <x:c r="H727" s="80" t="str"/>
      <x:c r="I727" s="83" t="str"/>
      <x:c r="J727" s="80" t="str">
        <x:v>Dark Orange</x:v>
      </x:c>
      <x:c r="K727" s="82" t="str">
        <x:v>Tampos are Bolder Thicker</x:v>
      </x:c>
      <x:c r="L727" s="82" t="str">
        <x:v>BW</x:v>
      </x:c>
      <x:c r="M727" s="82" t="str">
        <x:v>Unpainted / Metal</x:v>
      </x:c>
      <x:c r="N727" s="82" t="str">
        <x:v>Tinted Smoke</x:v>
      </x:c>
      <x:c r="O727" s="82" t="str">
        <x:v>Black</x:v>
      </x:c>
      <x:c r="P727" s="82" t="str">
        <x:v>Malaysia</x:v>
      </x:c>
      <x:c r="Q727" s="82" t="str"/>
      <x:c r="R727" s="82" t="str">
        <x:v>Outra linha</x:v>
      </x:c>
      <x:c r="S727" s="82" t="str">
        <x:v>Rara</x:v>
      </x:c>
      <x:c r="T727" s="82" t="str">
        <x:v>Lançado</x:v>
      </x:c>
      <x:c r="U727" s="82" t="str"/>
      <x:c r="V727" s="80" t="str">
        <x:v>Coleção principal (~1:64)</x:v>
      </x:c>
      <x:c r="W727" s="82" t="str">
        <x:v>https://hotwheels.fandom.com/wiki/Upfront_924</x:v>
      </x:c>
      <x:c r="X727" s="82" t="str">
        <x:v>https://hotwheels.fandom.com/wiki/Upfront_924</x:v>
      </x:c>
    </x:row>
    <x:row r="728">
      <x:c r="A728" s="80" t="str">
        <x:v>Não</x:v>
      </x:c>
      <x:c r="B728" s="80" t="str">
        <x:v>2 — Completar aos poucos</x:v>
      </x:c>
      <x:c r="C728" s="81" t="n">
        <x:v>1982</x:v>
      </x:c>
      <x:c r="D728" s="80" t="str">
        <x:v>Upfront 924</x:v>
      </x:c>
      <x:c r="E728" s="80" t="str">
        <x:v>Upfront 924</x:v>
      </x:c>
      <x:c r="F728" s="82" t="str">
        <x:v>2-Pack</x:v>
      </x:c>
      <x:c r="G728" s="80" t="str"/>
      <x:c r="H728" s="80" t="str"/>
      <x:c r="I728" s="83" t="str">
        <x:v>1892</x:v>
      </x:c>
      <x:c r="J728" s="80" t="str">
        <x:v>Black</x:v>
      </x:c>
      <x:c r="K728" s="82" t="str">
        <x:v>Red, Yellow &amp; Black stripes "turbo 924" on sides</x:v>
      </x:c>
      <x:c r="L728" s="82" t="str">
        <x:v>BW</x:v>
      </x:c>
      <x:c r="M728" s="82" t="str">
        <x:v>Unpainted / Metal</x:v>
      </x:c>
      <x:c r="N728" s="82" t="str">
        <x:v>Smoke</x:v>
      </x:c>
      <x:c r="O728" s="82" t="str">
        <x:v>Black</x:v>
      </x:c>
      <x:c r="P728" s="82" t="str">
        <x:v>Malaysia</x:v>
      </x:c>
      <x:c r="Q728" s="82" t="str"/>
      <x:c r="R728" s="82" t="str">
        <x:v>Outra linha</x:v>
      </x:c>
      <x:c r="S728" s="82" t="str">
        <x:v>Rara</x:v>
      </x:c>
      <x:c r="T728" s="82" t="str">
        <x:v>Lançado</x:v>
      </x:c>
      <x:c r="U728" s="82" t="str">
        <x:v>Paired with Baja Bruiser</x:v>
      </x:c>
      <x:c r="V728" s="80" t="str">
        <x:v>Coleção principal (~1:64)</x:v>
      </x:c>
      <x:c r="W728" s="82" t="str">
        <x:v>https://hotwheels.fandom.com/wiki/Upfront_924</x:v>
      </x:c>
      <x:c r="X728" s="82" t="str">
        <x:v>https://hotwheels.fandom.com/wiki/Upfront_924</x:v>
      </x:c>
    </x:row>
    <x:row r="729">
      <x:c r="A729" s="80" t="str">
        <x:v>Não</x:v>
      </x:c>
      <x:c r="B729" s="80" t="str">
        <x:v>2 — Completar aos poucos</x:v>
      </x:c>
      <x:c r="C729" s="81" t="n">
        <x:v>1981</x:v>
      </x:c>
      <x:c r="D729" s="80" t="str">
        <x:v>P-911</x:v>
      </x:c>
      <x:c r="E729" s="80" t="str">
        <x:v>P-911</x:v>
      </x:c>
      <x:c r="F729" s="82" t="str">
        <x:v>The Hot Ones</x:v>
      </x:c>
      <x:c r="G729" s="80" t="str"/>
      <x:c r="H729" s="80" t="str"/>
      <x:c r="I729" s="83" t="str"/>
      <x:c r="J729" s="80" t="str">
        <x:v>White</x:v>
      </x:c>
      <x:c r="K729" s="82" t="str">
        <x:v>Red, black &amp; blue stripes, "turbo", "6", and various sponsor logos</x:v>
      </x:c>
      <x:c r="L729" s="82" t="str">
        <x:v>GHO</x:v>
      </x:c>
      <x:c r="M729" s="82" t="str">
        <x:v>Unpainted / Metal</x:v>
      </x:c>
      <x:c r="N729" s="82" t="str">
        <x:v>Smoke tint</x:v>
      </x:c>
      <x:c r="O729" s="82" t="str">
        <x:v>Black</x:v>
      </x:c>
      <x:c r="P729" s="82" t="str">
        <x:v>Hong Kong</x:v>
      </x:c>
      <x:c r="Q729" s="82" t="str"/>
      <x:c r="R729" s="82" t="str">
        <x:v>Outra linha</x:v>
      </x:c>
      <x:c r="S729" s="82" t="str">
        <x:v>Rara</x:v>
      </x:c>
      <x:c r="T729" s="82" t="str">
        <x:v>Lançado</x:v>
      </x:c>
      <x:c r="U729" s="82" t="str"/>
      <x:c r="V729" s="80" t="str">
        <x:v>Coleção principal (~1:64)</x:v>
      </x:c>
      <x:c r="W729" s="82" t="str">
        <x:v>https://hotwheels.fandom.com/wiki/P-911</x:v>
      </x:c>
      <x:c r="X729" s="82" t="str">
        <x:v>https://hotwheels.fandom.com/wiki/P-911</x:v>
      </x:c>
    </x:row>
    <x:row r="730">
      <x:c r="A730" s="80" t="str">
        <x:v>Não</x:v>
      </x:c>
      <x:c r="B730" s="80" t="str">
        <x:v>2 — Completar aos poucos</x:v>
      </x:c>
      <x:c r="C730" s="81" t="n">
        <x:v>1981</x:v>
      </x:c>
      <x:c r="D730" s="80" t="str">
        <x:v>P-911</x:v>
      </x:c>
      <x:c r="E730" s="80" t="str">
        <x:v>P-911</x:v>
      </x:c>
      <x:c r="F730" s="82" t="str">
        <x:v>The Hot Ones</x:v>
      </x:c>
      <x:c r="G730" s="80" t="str"/>
      <x:c r="H730" s="80" t="str"/>
      <x:c r="I730" s="83" t="str"/>
      <x:c r="J730" s="80" t="str">
        <x:v>White</x:v>
      </x:c>
      <x:c r="K730" s="82" t="str">
        <x:v>Red, Black &amp; Blue stripes "Turbo" &amp; "6"</x:v>
      </x:c>
      <x:c r="L730" s="82" t="str">
        <x:v>GHO</x:v>
      </x:c>
      <x:c r="M730" s="82" t="str">
        <x:v>Unpainted / / / Metal</x:v>
      </x:c>
      <x:c r="N730" s="82" t="str">
        <x:v>Black tint</x:v>
      </x:c>
      <x:c r="O730" s="82" t="str">
        <x:v>Black</x:v>
      </x:c>
      <x:c r="P730" s="82" t="str">
        <x:v>Hong Kong</x:v>
      </x:c>
      <x:c r="Q730" s="82" t="str"/>
      <x:c r="R730" s="82" t="str">
        <x:v>Outra linha</x:v>
      </x:c>
      <x:c r="S730" s="82" t="str">
        <x:v>Rara</x:v>
      </x:c>
      <x:c r="T730" s="82" t="str">
        <x:v>Lançado</x:v>
      </x:c>
      <x:c r="U730" s="82" t="str"/>
      <x:c r="V730" s="80" t="str">
        <x:v>Coleção principal (~1:64)</x:v>
      </x:c>
      <x:c r="W730" s="82" t="str">
        <x:v>https://hotwheels.fandom.com/wiki/P-911</x:v>
      </x:c>
      <x:c r="X730" s="82" t="str">
        <x:v>https://hotwheels.fandom.com/wiki/P-911</x:v>
      </x:c>
    </x:row>
    <x:row r="731">
      <x:c r="A731" s="80" t="str">
        <x:v>Não</x:v>
      </x:c>
      <x:c r="B731" s="80" t="str">
        <x:v>2 — Completar aos poucos</x:v>
      </x:c>
      <x:c r="C731" s="81" t="n">
        <x:v>1980</x:v>
      </x:c>
      <x:c r="D731" s="80" t="str">
        <x:v>P-911</x:v>
      </x:c>
      <x:c r="E731" s="80" t="str">
        <x:v>P-911</x:v>
      </x:c>
      <x:c r="F731" s="82" t="str">
        <x:v>Mainline</x:v>
      </x:c>
      <x:c r="G731" s="80" t="str"/>
      <x:c r="H731" s="80" t="str"/>
      <x:c r="I731" s="83" t="str"/>
      <x:c r="J731" s="80" t="str">
        <x:v>Black</x:v>
      </x:c>
      <x:c r="K731" s="82" t="str">
        <x:v>Red, &amp; Blue stripes "Turbo" "6"</x:v>
      </x:c>
      <x:c r="L731" s="82" t="str">
        <x:v>BW</x:v>
      </x:c>
      <x:c r="M731" s="82" t="str">
        <x:v>Unpainted / / / Metal</x:v>
      </x:c>
      <x:c r="N731" s="82" t="str">
        <x:v>Black tint</x:v>
      </x:c>
      <x:c r="O731" s="82" t="str">
        <x:v>Black</x:v>
      </x:c>
      <x:c r="P731" s="82" t="str">
        <x:v>Hong Kong</x:v>
      </x:c>
      <x:c r="Q731" s="82" t="str"/>
      <x:c r="R731" s="82" t="str">
        <x:v>Mainline</x:v>
      </x:c>
      <x:c r="S731" s="82" t="str">
        <x:v>Rara</x:v>
      </x:c>
      <x:c r="T731" s="82" t="str">
        <x:v>Lançado</x:v>
      </x:c>
      <x:c r="U731" s="82" t="str"/>
      <x:c r="V731" s="80" t="str">
        <x:v>Coleção principal (~1:64)</x:v>
      </x:c>
      <x:c r="W731" s="82" t="str">
        <x:v>https://hotwheels.fandom.com/wiki/P-911</x:v>
      </x:c>
      <x:c r="X731" s="82" t="str">
        <x:v>https://hotwheels.fandom.com/wiki/P-911</x:v>
      </x:c>
    </x:row>
    <x:row r="732">
      <x:c r="A732" s="80" t="str">
        <x:v>Não</x:v>
      </x:c>
      <x:c r="B732" s="80" t="str">
        <x:v>2 — Completar aos poucos</x:v>
      </x:c>
      <x:c r="C732" s="81" t="n">
        <x:v>1980</x:v>
      </x:c>
      <x:c r="D732" s="80" t="str">
        <x:v>P-911</x:v>
      </x:c>
      <x:c r="E732" s="80" t="str">
        <x:v>P-911</x:v>
      </x:c>
      <x:c r="F732" s="82" t="str">
        <x:v>Mainline</x:v>
      </x:c>
      <x:c r="G732" s="80" t="str"/>
      <x:c r="H732" s="80" t="str"/>
      <x:c r="I732" s="83" t="str"/>
      <x:c r="J732" s="80" t="str">
        <x:v>White</x:v>
      </x:c>
      <x:c r="K732" s="82" t="str">
        <x:v>Red, black &amp; blue stripes, "turbo", "6", and various sponsor logos</x:v>
      </x:c>
      <x:c r="L732" s="82" t="str">
        <x:v>BW</x:v>
      </x:c>
      <x:c r="M732" s="82" t="str">
        <x:v>Unpainted / Metal</x:v>
      </x:c>
      <x:c r="N732" s="82" t="str">
        <x:v>Smoke tint</x:v>
      </x:c>
      <x:c r="O732" s="82" t="str">
        <x:v>Black</x:v>
      </x:c>
      <x:c r="P732" s="82" t="str">
        <x:v>Hong Kong</x:v>
      </x:c>
      <x:c r="Q732" s="82" t="str"/>
      <x:c r="R732" s="82" t="str">
        <x:v>Mainline</x:v>
      </x:c>
      <x:c r="S732" s="82" t="str">
        <x:v>Rara</x:v>
      </x:c>
      <x:c r="T732" s="82" t="str">
        <x:v>Lançado</x:v>
      </x:c>
      <x:c r="U732" s="82" t="str"/>
      <x:c r="V732" s="80" t="str">
        <x:v>Coleção principal (~1:64)</x:v>
      </x:c>
      <x:c r="W732" s="82" t="str">
        <x:v>https://hotwheels.fandom.com/wiki/P-911</x:v>
      </x:c>
      <x:c r="X732" s="82" t="str">
        <x:v>https://hotwheels.fandom.com/wiki/P-911</x:v>
      </x:c>
    </x:row>
    <x:row r="733">
      <x:c r="A733" s="80" t="str">
        <x:v>Não</x:v>
      </x:c>
      <x:c r="B733" s="80" t="str">
        <x:v>2 — Completar aos poucos</x:v>
      </x:c>
      <x:c r="C733" s="81" t="n">
        <x:v>1980</x:v>
      </x:c>
      <x:c r="D733" s="80" t="str">
        <x:v>P-911</x:v>
      </x:c>
      <x:c r="E733" s="80" t="str">
        <x:v>P-911</x:v>
      </x:c>
      <x:c r="F733" s="82" t="str">
        <x:v>Mainline</x:v>
      </x:c>
      <x:c r="G733" s="80" t="str"/>
      <x:c r="H733" s="80" t="str"/>
      <x:c r="I733" s="83" t="str"/>
      <x:c r="J733" s="80" t="str">
        <x:v>White</x:v>
      </x:c>
      <x:c r="K733" s="82" t="str">
        <x:v>Red, Black &amp; Blue stripes "Turbo" "6"</x:v>
      </x:c>
      <x:c r="L733" s="82" t="str">
        <x:v>BW</x:v>
      </x:c>
      <x:c r="M733" s="82" t="str">
        <x:v>Unpainted / / / Metal</x:v>
      </x:c>
      <x:c r="N733" s="82" t="str">
        <x:v>Black tint</x:v>
      </x:c>
      <x:c r="O733" s="82" t="str">
        <x:v>Black</x:v>
      </x:c>
      <x:c r="P733" s="82" t="str">
        <x:v>Hong Kong</x:v>
      </x:c>
      <x:c r="Q733" s="82" t="str"/>
      <x:c r="R733" s="82" t="str">
        <x:v>Mainline</x:v>
      </x:c>
      <x:c r="S733" s="82" t="str">
        <x:v>Rara</x:v>
      </x:c>
      <x:c r="T733" s="82" t="str">
        <x:v>Lançado</x:v>
      </x:c>
      <x:c r="U733" s="82" t="str"/>
      <x:c r="V733" s="80" t="str">
        <x:v>Coleção principal (~1:64)</x:v>
      </x:c>
      <x:c r="W733" s="82" t="str">
        <x:v>https://hotwheels.fandom.com/wiki/P-911</x:v>
      </x:c>
      <x:c r="X733" s="82" t="str">
        <x:v>https://hotwheels.fandom.com/wiki/P-911</x:v>
      </x:c>
    </x:row>
    <x:row r="734">
      <x:c r="A734" s="80" t="str">
        <x:v>Não</x:v>
      </x:c>
      <x:c r="B734" s="80" t="str">
        <x:v>2 — Completar aos poucos</x:v>
      </x:c>
      <x:c r="C734" s="81" t="n">
        <x:v>1980</x:v>
      </x:c>
      <x:c r="D734" s="80" t="str">
        <x:v>Upfront 924</x:v>
      </x:c>
      <x:c r="E734" s="80" t="str">
        <x:v>Upfront 924</x:v>
      </x:c>
      <x:c r="F734" s="82" t="str">
        <x:v>1980 Hot Wheels</x:v>
      </x:c>
      <x:c r="G734" s="80" t="str"/>
      <x:c r="H734" s="80" t="str"/>
      <x:c r="I734" s="83" t="str"/>
      <x:c r="J734" s="80" t="str">
        <x:v>Orange</x:v>
      </x:c>
      <x:c r="K734" s="82" t="str">
        <x:v>Burgandy, Yellow &amp; Black Porsche logo with "924" on hood and roof</x:v>
      </x:c>
      <x:c r="L734" s="82" t="str">
        <x:v>BW</x:v>
      </x:c>
      <x:c r="M734" s="82" t="str">
        <x:v>Unpainted / Metal</x:v>
      </x:c>
      <x:c r="N734" s="82" t="str">
        <x:v>Smoke</x:v>
      </x:c>
      <x:c r="O734" s="82" t="str">
        <x:v>Orange</x:v>
      </x:c>
      <x:c r="P734" s="82" t="str">
        <x:v>Hong Kong</x:v>
      </x:c>
      <x:c r="Q734" s="82" t="str"/>
      <x:c r="R734" s="82" t="str">
        <x:v>Outra linha</x:v>
      </x:c>
      <x:c r="S734" s="82" t="str">
        <x:v>Rara</x:v>
      </x:c>
      <x:c r="T734" s="82" t="str">
        <x:v>Lançado</x:v>
      </x:c>
      <x:c r="U734" s="82" t="str"/>
      <x:c r="V734" s="80" t="str">
        <x:v>Coleção principal (~1:64)</x:v>
      </x:c>
      <x:c r="W734" s="82" t="str">
        <x:v>https://hotwheels.fandom.com/wiki/Upfront_924</x:v>
      </x:c>
      <x:c r="X734" s="82" t="str">
        <x:v>https://hotwheels.fandom.com/wiki/Upfront_924</x:v>
      </x:c>
    </x:row>
    <x:row r="735">
      <x:c r="A735" s="80" t="str">
        <x:v>Não</x:v>
      </x:c>
      <x:c r="B735" s="80" t="str">
        <x:v>2 — Completar aos poucos</x:v>
      </x:c>
      <x:c r="C735" s="81" t="n">
        <x:v>1979</x:v>
      </x:c>
      <x:c r="D735" s="80" t="str">
        <x:v>Upfront 924</x:v>
      </x:c>
      <x:c r="E735" s="80" t="str">
        <x:v>Upfront 924</x:v>
      </x:c>
      <x:c r="F735" s="82" t="str">
        <x:v>Super Streeters</x:v>
      </x:c>
      <x:c r="G735" s="80" t="str"/>
      <x:c r="H735" s="80" t="str">
        <x:v>36</x:v>
      </x:c>
      <x:c r="I735" s="83" t="str">
        <x:v>2500</x:v>
      </x:c>
      <x:c r="J735" s="80" t="str">
        <x:v>Yellow</x:v>
      </x:c>
      <x:c r="K735" s="82" t="str">
        <x:v>Red, Orange &amp; Black Porsche logo with "924" on hood and roof</x:v>
      </x:c>
      <x:c r="L735" s="82" t="str">
        <x:v>BW</x:v>
      </x:c>
      <x:c r="M735" s="82" t="str">
        <x:v>Unpainted / Metal</x:v>
      </x:c>
      <x:c r="N735" s="82" t="str">
        <x:v>Smoke</x:v>
      </x:c>
      <x:c r="O735" s="82" t="str">
        <x:v>Orange</x:v>
      </x:c>
      <x:c r="P735" s="82" t="str">
        <x:v>Hong Kong</x:v>
      </x:c>
      <x:c r="Q735" s="82" t="str"/>
      <x:c r="R735" s="82" t="str">
        <x:v>Mainline</x:v>
      </x:c>
      <x:c r="S735" s="82" t="str">
        <x:v>Rara</x:v>
      </x:c>
      <x:c r="T735" s="82" t="str">
        <x:v>Lançado</x:v>
      </x:c>
      <x:c r="U735" s="82" t="str"/>
      <x:c r="V735" s="80" t="str">
        <x:v>Coleção principal (~1:64)</x:v>
      </x:c>
      <x:c r="W735" s="82" t="str">
        <x:v>https://hotwheels.fandom.com/wiki/Upfront_924</x:v>
      </x:c>
      <x:c r="X735" s="82" t="str">
        <x:v>https://hotwheels.fandom.com/wiki/Upfront_924</x:v>
      </x:c>
    </x:row>
    <x:row r="736">
      <x:c r="A736" s="80" t="str">
        <x:v>Não</x:v>
      </x:c>
      <x:c r="B736" s="80" t="str">
        <x:v>2 — Completar aos poucos</x:v>
      </x:c>
      <x:c r="C736" s="81" t="n">
        <x:v>1978</x:v>
      </x:c>
      <x:c r="D736" s="80" t="str">
        <x:v>P-911</x:v>
      </x:c>
      <x:c r="E736" s="80" t="str">
        <x:v>P-911</x:v>
      </x:c>
      <x:c r="F736" s="82" t="str">
        <x:v>Super Circuito Diabolico Track set</x:v>
      </x:c>
      <x:c r="G736" s="80" t="str"/>
      <x:c r="H736" s="80" t="str"/>
      <x:c r="I736" s="83" t="str"/>
      <x:c r="J736" s="80" t="str">
        <x:v>Enamel Light Grey</x:v>
      </x:c>
      <x:c r="K736" s="82" t="str">
        <x:v>Sticker Sheet stripes</x:v>
      </x:c>
      <x:c r="L736" s="82" t="str">
        <x:v>BW</x:v>
      </x:c>
      <x:c r="M736" s="82" t="str">
        <x:v>Zamac lacks Zink plating</x:v>
      </x:c>
      <x:c r="N736" s="82" t="str">
        <x:v>Black tint</x:v>
      </x:c>
      <x:c r="O736" s="82" t="str">
        <x:v>Black</x:v>
      </x:c>
      <x:c r="P736" s="82" t="str">
        <x:v>Hong Kong</x:v>
      </x:c>
      <x:c r="Q736" s="82" t="str"/>
      <x:c r="R736" s="82" t="str">
        <x:v>Outra linha</x:v>
      </x:c>
      <x:c r="S736" s="82" t="str">
        <x:v>Rara</x:v>
      </x:c>
      <x:c r="T736" s="82" t="str">
        <x:v>Lançado</x:v>
      </x:c>
      <x:c r="U736" s="82" t="str">
        <x:v>CIPSA Paired with Mustang Stocker</x:v>
      </x:c>
      <x:c r="V736" s="80" t="str">
        <x:v>Coleção principal (~1:64)</x:v>
      </x:c>
      <x:c r="W736" s="82" t="str">
        <x:v>https://hotwheels.fandom.com/wiki/P-911</x:v>
      </x:c>
      <x:c r="X736" s="82" t="str">
        <x:v>https://hotwheels.fandom.com/wiki/P-911</x:v>
      </x:c>
    </x:row>
    <x:row r="737">
      <x:c r="A737" s="80" t="str">
        <x:v>Não</x:v>
      </x:c>
      <x:c r="B737" s="80" t="str">
        <x:v>2 — Completar aos poucos</x:v>
      </x:c>
      <x:c r="C737" s="81" t="n">
        <x:v>1978</x:v>
      </x:c>
      <x:c r="D737" s="80" t="str">
        <x:v>P-911</x:v>
      </x:c>
      <x:c r="E737" s="80" t="str">
        <x:v>P-911</x:v>
      </x:c>
      <x:c r="F737" s="82" t="str">
        <x:v>Super Streeters</x:v>
      </x:c>
      <x:c r="G737" s="80" t="str"/>
      <x:c r="H737" s="80" t="str">
        <x:v>36</x:v>
      </x:c>
      <x:c r="I737" s="83" t="str"/>
      <x:c r="J737" s="80" t="str">
        <x:v>Chrome</x:v>
      </x:c>
      <x:c r="K737" s="82" t="str">
        <x:v>Red, Orange &amp; Yellow swirls on top</x:v>
      </x:c>
      <x:c r="L737" s="82" t="str">
        <x:v>BW</x:v>
      </x:c>
      <x:c r="M737" s="82" t="str">
        <x:v>Unpainted / Metal</x:v>
      </x:c>
      <x:c r="N737" s="82" t="str">
        <x:v>Smoke tint</x:v>
      </x:c>
      <x:c r="O737" s="82" t="str">
        <x:v>Black</x:v>
      </x:c>
      <x:c r="P737" s="82" t="str">
        <x:v>Hong Kong</x:v>
      </x:c>
      <x:c r="Q737" s="82" t="str"/>
      <x:c r="R737" s="82" t="str">
        <x:v>Mainline</x:v>
      </x:c>
      <x:c r="S737" s="82" t="str">
        <x:v>Rara</x:v>
      </x:c>
      <x:c r="T737" s="82" t="str">
        <x:v>Lançado</x:v>
      </x:c>
      <x:c r="U737" s="82" t="str"/>
      <x:c r="V737" s="80" t="str">
        <x:v>Coleção principal (~1:64)</x:v>
      </x:c>
      <x:c r="W737" s="82" t="str">
        <x:v>https://hotwheels.fandom.com/wiki/P-911</x:v>
      </x:c>
      <x:c r="X737" s="82" t="str">
        <x:v>https://hotwheels.fandom.com/wiki/P-911</x:v>
      </x:c>
    </x:row>
    <x:row r="738">
      <x:c r="A738" s="80" t="str">
        <x:v>Não</x:v>
      </x:c>
      <x:c r="B738" s="80" t="str">
        <x:v>2 — Completar aos poucos</x:v>
      </x:c>
      <x:c r="C738" s="81" t="n">
        <x:v>1978</x:v>
      </x:c>
      <x:c r="D738" s="80" t="str">
        <x:v>P-911</x:v>
      </x:c>
      <x:c r="E738" s="80" t="str">
        <x:v>P-911</x:v>
      </x:c>
      <x:c r="F738" s="82" t="str">
        <x:v>Super Streeters</x:v>
      </x:c>
      <x:c r="G738" s="80" t="str"/>
      <x:c r="H738" s="80" t="str">
        <x:v>36</x:v>
      </x:c>
      <x:c r="I738" s="83" t="str"/>
      <x:c r="J738" s="80" t="str">
        <x:v>Chrome</x:v>
      </x:c>
      <x:c r="K738" s="82" t="str">
        <x:v>Red, Orange &amp; Yellow swirls on top</x:v>
      </x:c>
      <x:c r="L738" s="82" t="str">
        <x:v>BW</x:v>
      </x:c>
      <x:c r="M738" s="82" t="str">
        <x:v>Unpainted / / / Metal</x:v>
      </x:c>
      <x:c r="N738" s="82" t="str">
        <x:v>Black tint</x:v>
      </x:c>
      <x:c r="O738" s="82" t="str">
        <x:v>Black</x:v>
      </x:c>
      <x:c r="P738" s="82" t="str">
        <x:v>Hong Kong</x:v>
      </x:c>
      <x:c r="Q738" s="82" t="str"/>
      <x:c r="R738" s="82" t="str">
        <x:v>Mainline</x:v>
      </x:c>
      <x:c r="S738" s="82" t="str">
        <x:v>Rara</x:v>
      </x:c>
      <x:c r="T738" s="82" t="str">
        <x:v>Lançado</x:v>
      </x:c>
      <x:c r="U738" s="82" t="str"/>
      <x:c r="V738" s="80" t="str">
        <x:v>Coleção principal (~1:64)</x:v>
      </x:c>
      <x:c r="W738" s="82" t="str">
        <x:v>https://hotwheels.fandom.com/wiki/P-911</x:v>
      </x:c>
      <x:c r="X738" s="82" t="str">
        <x:v>https://hotwheels.fandom.com/wiki/P-911</x:v>
      </x:c>
    </x:row>
    <x:row r="739">
      <x:c r="A739" s="80" t="str">
        <x:v>Não</x:v>
      </x:c>
      <x:c r="B739" s="80" t="str">
        <x:v>2 — Completar aos poucos</x:v>
      </x:c>
      <x:c r="C739" s="81" t="n">
        <x:v>1978</x:v>
      </x:c>
      <x:c r="D739" s="80" t="str">
        <x:v>Porsche 917</x:v>
      </x:c>
      <x:c r="E739" s="80" t="str">
        <x:v>Porsche 917</x:v>
      </x:c>
      <x:c r="F739" s="82" t="str">
        <x:v>Speedway Specials</x:v>
      </x:c>
      <x:c r="G739" s="80" t="str"/>
      <x:c r="H739" s="80" t="str"/>
      <x:c r="I739" s="83" t="str">
        <x:v>6972</x:v>
      </x:c>
      <x:c r="J739" s="80" t="str">
        <x:v>Orange</x:v>
      </x:c>
      <x:c r="K739" s="82" t="str"/>
      <x:c r="L739" s="82" t="str">
        <x:v>BW</x:v>
      </x:c>
      <x:c r="M739" s="82" t="str">
        <x:v>Black / Plastic</x:v>
      </x:c>
      <x:c r="N739" s="82" t="str">
        <x:v>Blue Tint</x:v>
      </x:c>
      <x:c r="O739" s="82" t="str">
        <x:v>Black</x:v>
      </x:c>
      <x:c r="P739" s="82" t="str">
        <x:v>Hong Kong</x:v>
      </x:c>
      <x:c r="Q739" s="82" t="str"/>
      <x:c r="R739" s="82" t="str">
        <x:v>Outra linha</x:v>
      </x:c>
      <x:c r="S739" s="82" t="str">
        <x:v>Rara</x:v>
      </x:c>
      <x:c r="T739" s="82" t="str">
        <x:v>Lançado</x:v>
      </x:c>
      <x:c r="U739" s="82" t="str">
        <x:v>Named P-917</x:v>
      </x:c>
      <x:c r="V739" s="80" t="str">
        <x:v>Coleção principal (~1:64)</x:v>
      </x:c>
      <x:c r="W739" s="82" t="str">
        <x:v>https://hotwheels.fandom.com/wiki/Porsche_917</x:v>
      </x:c>
      <x:c r="X739" s="82" t="str">
        <x:v>https://hotwheels.fandom.com/wiki/Porsche_917</x:v>
      </x:c>
    </x:row>
    <x:row r="740">
      <x:c r="A740" s="80" t="str">
        <x:v>Não</x:v>
      </x:c>
      <x:c r="B740" s="80" t="str">
        <x:v>2 — Completar aos poucos</x:v>
      </x:c>
      <x:c r="C740" s="81" t="n">
        <x:v>1977</x:v>
      </x:c>
      <x:c r="D740" s="80" t="str">
        <x:v>P-911</x:v>
      </x:c>
      <x:c r="E740" s="80" t="str">
        <x:v>P-911</x:v>
      </x:c>
      <x:c r="F740" s="82" t="str">
        <x:v>Super Chromes</x:v>
      </x:c>
      <x:c r="G740" s="80" t="str"/>
      <x:c r="H740" s="80" t="str"/>
      <x:c r="I740" s="83" t="str"/>
      <x:c r="J740" s="80" t="str">
        <x:v>Chrome</x:v>
      </x:c>
      <x:c r="K740" s="82" t="str">
        <x:v>Red, Orange &amp; Yellow swirls on top</x:v>
      </x:c>
      <x:c r="L740" s="82" t="str">
        <x:v>BW</x:v>
      </x:c>
      <x:c r="M740" s="82" t="str">
        <x:v>Unpainted / Metal</x:v>
      </x:c>
      <x:c r="N740" s="82" t="str">
        <x:v>Smoke tint</x:v>
      </x:c>
      <x:c r="O740" s="82" t="str">
        <x:v>Black</x:v>
      </x:c>
      <x:c r="P740" s="82" t="str">
        <x:v>Hong Kong</x:v>
      </x:c>
      <x:c r="Q740" s="82" t="str"/>
      <x:c r="R740" s="82" t="str">
        <x:v>Outra linha</x:v>
      </x:c>
      <x:c r="S740" s="82" t="str">
        <x:v>Rara</x:v>
      </x:c>
      <x:c r="T740" s="82" t="str">
        <x:v>Lançado</x:v>
      </x:c>
      <x:c r="U740" s="82" t="str"/>
      <x:c r="V740" s="80" t="str">
        <x:v>Coleção principal (~1:64)</x:v>
      </x:c>
      <x:c r="W740" s="82" t="str">
        <x:v>https://hotwheels.fandom.com/wiki/P-911</x:v>
      </x:c>
      <x:c r="X740" s="82" t="str">
        <x:v>https://hotwheels.fandom.com/wiki/P-911</x:v>
      </x:c>
    </x:row>
    <x:row r="741">
      <x:c r="A741" s="80" t="str">
        <x:v>Não</x:v>
      </x:c>
      <x:c r="B741" s="80" t="str">
        <x:v>2 — Completar aos poucos</x:v>
      </x:c>
      <x:c r="C741" s="81" t="n">
        <x:v>1977</x:v>
      </x:c>
      <x:c r="D741" s="80" t="str">
        <x:v>P-911</x:v>
      </x:c>
      <x:c r="E741" s="80" t="str">
        <x:v>P-911</x:v>
      </x:c>
      <x:c r="F741" s="82" t="str">
        <x:v>Super Chromes</x:v>
      </x:c>
      <x:c r="G741" s="80" t="str"/>
      <x:c r="H741" s="80" t="str"/>
      <x:c r="I741" s="83" t="str"/>
      <x:c r="J741" s="80" t="str">
        <x:v>Chrome</x:v>
      </x:c>
      <x:c r="K741" s="82" t="str">
        <x:v>Red, Orange &amp; Yellow swirls on top</x:v>
      </x:c>
      <x:c r="L741" s="82" t="str">
        <x:v>BW</x:v>
      </x:c>
      <x:c r="M741" s="82" t="str">
        <x:v>Unpainted / / / Metal</x:v>
      </x:c>
      <x:c r="N741" s="82" t="str">
        <x:v>Black tint</x:v>
      </x:c>
      <x:c r="O741" s="82" t="str">
        <x:v>Black</x:v>
      </x:c>
      <x:c r="P741" s="82" t="str">
        <x:v>Hong Kong</x:v>
      </x:c>
      <x:c r="Q741" s="82" t="str"/>
      <x:c r="R741" s="82" t="str">
        <x:v>Outra linha</x:v>
      </x:c>
      <x:c r="S741" s="82" t="str">
        <x:v>Rara</x:v>
      </x:c>
      <x:c r="T741" s="82" t="str">
        <x:v>Lançado</x:v>
      </x:c>
      <x:c r="U741" s="82" t="str"/>
      <x:c r="V741" s="80" t="str">
        <x:v>Coleção principal (~1:64)</x:v>
      </x:c>
      <x:c r="W741" s="82" t="str">
        <x:v>https://hotwheels.fandom.com/wiki/P-911</x:v>
      </x:c>
      <x:c r="X741" s="82" t="str">
        <x:v>https://hotwheels.fandom.com/wiki/P-911</x:v>
      </x:c>
    </x:row>
    <x:row r="742">
      <x:c r="A742" s="80" t="str">
        <x:v>Não</x:v>
      </x:c>
      <x:c r="B742" s="80" t="str">
        <x:v>2 — Completar aos poucos</x:v>
      </x:c>
      <x:c r="C742" s="81" t="n">
        <x:v>1977</x:v>
      </x:c>
      <x:c r="D742" s="80" t="str">
        <x:v>P-911</x:v>
      </x:c>
      <x:c r="E742" s="80" t="str">
        <x:v>P-911</x:v>
      </x:c>
      <x:c r="F742" s="82" t="str">
        <x:v>Turbo Blast 600</x:v>
      </x:c>
      <x:c r="G742" s="80" t="str"/>
      <x:c r="H742" s="80" t="str"/>
      <x:c r="I742" s="83" t="str"/>
      <x:c r="J742" s="80" t="str"/>
      <x:c r="K742" s="82" t="str">
        <x:v>Red, Orange &amp; Yellow swirls on top</x:v>
      </x:c>
      <x:c r="L742" s="82" t="str">
        <x:v>BW</x:v>
      </x:c>
      <x:c r="M742" s="82" t="str">
        <x:v>Unpainted / / / Metal</x:v>
      </x:c>
      <x:c r="N742" s="82" t="str">
        <x:v>Black tint</x:v>
      </x:c>
      <x:c r="O742" s="82" t="str">
        <x:v>Black</x:v>
      </x:c>
      <x:c r="P742" s="82" t="str">
        <x:v>HK</x:v>
      </x:c>
      <x:c r="Q742" s="82" t="str"/>
      <x:c r="R742" s="82" t="str">
        <x:v>Outra linha</x:v>
      </x:c>
      <x:c r="S742" s="82" t="str">
        <x:v>Rara</x:v>
      </x:c>
      <x:c r="T742" s="82" t="str">
        <x:v>Lançado</x:v>
      </x:c>
      <x:c r="U742" s="82" t="str">
        <x:v>Set exclusive</x:v>
      </x:c>
      <x:c r="V742" s="80" t="str">
        <x:v>Coleção principal (~1:64)</x:v>
      </x:c>
      <x:c r="W742" s="82" t="str">
        <x:v>https://hotwheels.fandom.com/wiki/P-911</x:v>
      </x:c>
      <x:c r="X742" s="82" t="str">
        <x:v>https://hotwheels.fandom.com/wiki/P-911</x:v>
      </x:c>
    </x:row>
    <x:row r="743">
      <x:c r="A743" s="80" t="str">
        <x:v>Não</x:v>
      </x:c>
      <x:c r="B743" s="80" t="str">
        <x:v>2 — Completar aos poucos</x:v>
      </x:c>
      <x:c r="C743" s="81" t="n">
        <x:v>1977</x:v>
      </x:c>
      <x:c r="D743" s="80" t="str">
        <x:v>P-911</x:v>
      </x:c>
      <x:c r="E743" s="80" t="str">
        <x:v>P-911</x:v>
      </x:c>
      <x:c r="F743" s="82" t="str">
        <x:v>Turbo Blast 600</x:v>
      </x:c>
      <x:c r="G743" s="80" t="str"/>
      <x:c r="H743" s="80" t="str"/>
      <x:c r="I743" s="83" t="str"/>
      <x:c r="J743" s="80" t="str">
        <x:v>Black</x:v>
      </x:c>
      <x:c r="K743" s="82" t="str">
        <x:v>Red, Orange &amp; Yellow swirls on top</x:v>
      </x:c>
      <x:c r="L743" s="82" t="str">
        <x:v>BW</x:v>
      </x:c>
      <x:c r="M743" s="82" t="str">
        <x:v>Unpainted / Metal</x:v>
      </x:c>
      <x:c r="N743" s="82" t="str">
        <x:v>Smoke tint</x:v>
      </x:c>
      <x:c r="O743" s="82" t="str">
        <x:v>Black</x:v>
      </x:c>
      <x:c r="P743" s="82" t="str">
        <x:v>Hong Kong</x:v>
      </x:c>
      <x:c r="Q743" s="82" t="str"/>
      <x:c r="R743" s="82" t="str">
        <x:v>Outra linha</x:v>
      </x:c>
      <x:c r="S743" s="82" t="str">
        <x:v>Rara</x:v>
      </x:c>
      <x:c r="T743" s="82" t="str">
        <x:v>Lançado</x:v>
      </x:c>
      <x:c r="U743" s="82" t="str">
        <x:v>Set exclusive</x:v>
      </x:c>
      <x:c r="V743" s="80" t="str">
        <x:v>Coleção principal (~1:64)</x:v>
      </x:c>
      <x:c r="W743" s="82" t="str">
        <x:v>https://hotwheels.fandom.com/wiki/P-911</x:v>
      </x:c>
      <x:c r="X743" s="82" t="str">
        <x:v>https://hotwheels.fandom.com/wiki/P-911</x:v>
      </x:c>
    </x:row>
    <x:row r="744">
      <x:c r="A744" s="80" t="str">
        <x:v>Não</x:v>
      </x:c>
      <x:c r="B744" s="80" t="str">
        <x:v>2 — Completar aos poucos</x:v>
      </x:c>
      <x:c r="C744" s="81" t="n">
        <x:v>1977</x:v>
      </x:c>
      <x:c r="D744" s="80" t="str">
        <x:v>Porsche 917</x:v>
      </x:c>
      <x:c r="E744" s="80" t="str">
        <x:v>Porsche 917</x:v>
      </x:c>
      <x:c r="F744" s="82" t="str">
        <x:v>Flying Colors</x:v>
      </x:c>
      <x:c r="G744" s="80" t="str"/>
      <x:c r="H744" s="80" t="str"/>
      <x:c r="I744" s="83" t="str">
        <x:v>6972</x:v>
      </x:c>
      <x:c r="J744" s="80" t="str">
        <x:v>Orange</x:v>
      </x:c>
      <x:c r="K744" s="82" t="str"/>
      <x:c r="L744" s="82" t="str">
        <x:v>BW</x:v>
      </x:c>
      <x:c r="M744" s="82" t="str">
        <x:v>Black / Plastic</x:v>
      </x:c>
      <x:c r="N744" s="82" t="str">
        <x:v>Blue Tint</x:v>
      </x:c>
      <x:c r="O744" s="82" t="str">
        <x:v>Black</x:v>
      </x:c>
      <x:c r="P744" s="82" t="str">
        <x:v>Hong Kong</x:v>
      </x:c>
      <x:c r="Q744" s="82" t="str"/>
      <x:c r="R744" s="82" t="str">
        <x:v>Outra linha</x:v>
      </x:c>
      <x:c r="S744" s="82" t="str">
        <x:v>Rara</x:v>
      </x:c>
      <x:c r="T744" s="82" t="str">
        <x:v>Lançado</x:v>
      </x:c>
      <x:c r="U744" s="82" t="str">
        <x:v>Named P-917</x:v>
      </x:c>
      <x:c r="V744" s="80" t="str">
        <x:v>Coleção principal (~1:64)</x:v>
      </x:c>
      <x:c r="W744" s="82" t="str">
        <x:v>https://hotwheels.fandom.com/wiki/Porsche_917</x:v>
      </x:c>
      <x:c r="X744" s="82" t="str">
        <x:v>https://hotwheels.fandom.com/wiki/Porsche_917</x:v>
      </x:c>
    </x:row>
    <x:row r="745">
      <x:c r="A745" s="80" t="str">
        <x:v>Não</x:v>
      </x:c>
      <x:c r="B745" s="80" t="str">
        <x:v>2 — Completar aos poucos</x:v>
      </x:c>
      <x:c r="C745" s="81" t="n">
        <x:v>1977</x:v>
      </x:c>
      <x:c r="D745" s="80" t="str">
        <x:v>Porsche 917</x:v>
      </x:c>
      <x:c r="E745" s="80" t="str">
        <x:v>Porsche 917</x:v>
      </x:c>
      <x:c r="F745" s="82" t="str">
        <x:v>Super Chromes</x:v>
      </x:c>
      <x:c r="G745" s="80" t="str"/>
      <x:c r="H745" s="80" t="str"/>
      <x:c r="I745" s="83" t="str">
        <x:v>9204</x:v>
      </x:c>
      <x:c r="J745" s="80" t="str">
        <x:v>Chrome</x:v>
      </x:c>
      <x:c r="K745" s="82" t="str"/>
      <x:c r="L745" s="82" t="str">
        <x:v>BW</x:v>
      </x:c>
      <x:c r="M745" s="82" t="str">
        <x:v>Black / Plastic</x:v>
      </x:c>
      <x:c r="N745" s="82" t="str"/>
      <x:c r="O745" s="82" t="str"/>
      <x:c r="P745" s="82" t="str">
        <x:v>Hong Kong</x:v>
      </x:c>
      <x:c r="Q745" s="82" t="str"/>
      <x:c r="R745" s="82" t="str">
        <x:v>Outra linha</x:v>
      </x:c>
      <x:c r="S745" s="82" t="str">
        <x:v>Rara</x:v>
      </x:c>
      <x:c r="T745" s="82" t="str">
        <x:v>Lançado</x:v>
      </x:c>
      <x:c r="U745" s="82" t="str">
        <x:v>Named P-917</x:v>
      </x:c>
      <x:c r="V745" s="80" t="str">
        <x:v>Coleção principal (~1:64)</x:v>
      </x:c>
      <x:c r="W745" s="82" t="str">
        <x:v>https://hotwheels.fandom.com/wiki/Porsche_917</x:v>
      </x:c>
      <x:c r="X745" s="82" t="str">
        <x:v>https://hotwheels.fandom.com/wiki/Porsche_917</x:v>
      </x:c>
    </x:row>
    <x:row r="746">
      <x:c r="A746" s="80" t="str">
        <x:v>Não</x:v>
      </x:c>
      <x:c r="B746" s="80" t="str">
        <x:v>2 — Completar aos poucos</x:v>
      </x:c>
      <x:c r="C746" s="81" t="n">
        <x:v>1976</x:v>
      </x:c>
      <x:c r="D746" s="80" t="str">
        <x:v>P-911</x:v>
      </x:c>
      <x:c r="E746" s="80" t="str">
        <x:v>P-911</x:v>
      </x:c>
      <x:c r="F746" s="82" t="str">
        <x:v>Super Chromes</x:v>
      </x:c>
      <x:c r="G746" s="80" t="str"/>
      <x:c r="H746" s="80" t="str"/>
      <x:c r="I746" s="83" t="str"/>
      <x:c r="J746" s="80" t="str">
        <x:v>Chrome</x:v>
      </x:c>
      <x:c r="K746" s="82" t="str">
        <x:v>Red &amp; Green stripes on top</x:v>
      </x:c>
      <x:c r="L746" s="82" t="str">
        <x:v>RL</x:v>
      </x:c>
      <x:c r="M746" s="82" t="str">
        <x:v>Unpainted / Metal</x:v>
      </x:c>
      <x:c r="N746" s="82" t="str">
        <x:v>Smoke tint</x:v>
      </x:c>
      <x:c r="O746" s="82" t="str">
        <x:v>Black</x:v>
      </x:c>
      <x:c r="P746" s="82" t="str">
        <x:v>Hong Kong</x:v>
      </x:c>
      <x:c r="Q746" s="82" t="str"/>
      <x:c r="R746" s="82" t="str">
        <x:v>Outra linha</x:v>
      </x:c>
      <x:c r="S746" s="82" t="str">
        <x:v>Rara</x:v>
      </x:c>
      <x:c r="T746" s="82" t="str">
        <x:v>Lançado</x:v>
      </x:c>
      <x:c r="U746" s="82" t="str">
        <x:v>also in "Japan Red Box 47"</x:v>
      </x:c>
      <x:c r="V746" s="80" t="str">
        <x:v>Coleção principal (~1:64)</x:v>
      </x:c>
      <x:c r="W746" s="82" t="str">
        <x:v>https://hotwheels.fandom.com/wiki/P-911</x:v>
      </x:c>
      <x:c r="X746" s="82" t="str">
        <x:v>https://hotwheels.fandom.com/wiki/P-911</x:v>
      </x:c>
    </x:row>
    <x:row r="747">
      <x:c r="A747" s="80" t="str">
        <x:v>Não</x:v>
      </x:c>
      <x:c r="B747" s="80" t="str">
        <x:v>2 — Completar aos poucos</x:v>
      </x:c>
      <x:c r="C747" s="81" t="n">
        <x:v>1976</x:v>
      </x:c>
      <x:c r="D747" s="80" t="str">
        <x:v>P-911</x:v>
      </x:c>
      <x:c r="E747" s="80" t="str">
        <x:v>P-911</x:v>
      </x:c>
      <x:c r="F747" s="82" t="str">
        <x:v>Super Chromes</x:v>
      </x:c>
      <x:c r="G747" s="80" t="str"/>
      <x:c r="H747" s="80" t="str"/>
      <x:c r="I747" s="83" t="str"/>
      <x:c r="J747" s="80" t="str">
        <x:v>Chrome</x:v>
      </x:c>
      <x:c r="K747" s="82" t="str">
        <x:v>Red, Orange &amp; Yellow swirls on top</x:v>
      </x:c>
      <x:c r="L747" s="82" t="str">
        <x:v>BW</x:v>
      </x:c>
      <x:c r="M747" s="82" t="str">
        <x:v>Unpainted / Metal</x:v>
      </x:c>
      <x:c r="N747" s="82" t="str">
        <x:v>Smoke tint</x:v>
      </x:c>
      <x:c r="O747" s="82" t="str">
        <x:v>Black</x:v>
      </x:c>
      <x:c r="P747" s="82" t="str">
        <x:v>Hong Kong</x:v>
      </x:c>
      <x:c r="Q747" s="82" t="str"/>
      <x:c r="R747" s="82" t="str">
        <x:v>Outra linha</x:v>
      </x:c>
      <x:c r="S747" s="82" t="str">
        <x:v>Rara</x:v>
      </x:c>
      <x:c r="T747" s="82" t="str">
        <x:v>Lançado</x:v>
      </x:c>
      <x:c r="U747" s="82" t="str"/>
      <x:c r="V747" s="80" t="str">
        <x:v>Coleção principal (~1:64)</x:v>
      </x:c>
      <x:c r="W747" s="82" t="str">
        <x:v>https://hotwheels.fandom.com/wiki/P-911</x:v>
      </x:c>
      <x:c r="X747" s="82" t="str">
        <x:v>https://hotwheels.fandom.com/wiki/P-911</x:v>
      </x:c>
    </x:row>
    <x:row r="748">
      <x:c r="A748" s="80" t="str">
        <x:v>Não</x:v>
      </x:c>
      <x:c r="B748" s="80" t="str">
        <x:v>2 — Completar aos poucos</x:v>
      </x:c>
      <x:c r="C748" s="81" t="n">
        <x:v>1976</x:v>
      </x:c>
      <x:c r="D748" s="80" t="str">
        <x:v>P-911</x:v>
      </x:c>
      <x:c r="E748" s="80" t="str">
        <x:v>P-911</x:v>
      </x:c>
      <x:c r="F748" s="82" t="str">
        <x:v>Super Chromes</x:v>
      </x:c>
      <x:c r="G748" s="80" t="str"/>
      <x:c r="H748" s="80" t="str"/>
      <x:c r="I748" s="83" t="str"/>
      <x:c r="J748" s="80" t="str">
        <x:v>Chrome</x:v>
      </x:c>
      <x:c r="K748" s="82" t="str">
        <x:v>Red &amp; Green stripes on top</x:v>
      </x:c>
      <x:c r="L748" s="82" t="str">
        <x:v>RL</x:v>
      </x:c>
      <x:c r="M748" s="82" t="str">
        <x:v>Unpainted / / / Metal</x:v>
      </x:c>
      <x:c r="N748" s="82" t="str">
        <x:v>Black tint</x:v>
      </x:c>
      <x:c r="O748" s="82" t="str">
        <x:v>Black</x:v>
      </x:c>
      <x:c r="P748" s="82" t="str">
        <x:v>Hong Kong</x:v>
      </x:c>
      <x:c r="Q748" s="82" t="str"/>
      <x:c r="R748" s="82" t="str">
        <x:v>Outra linha</x:v>
      </x:c>
      <x:c r="S748" s="82" t="str">
        <x:v>Rara</x:v>
      </x:c>
      <x:c r="T748" s="82" t="str">
        <x:v>Lançado</x:v>
      </x:c>
      <x:c r="U748" s="82" t="str">
        <x:v>also in "Japan Red Box 47"</x:v>
      </x:c>
      <x:c r="V748" s="80" t="str">
        <x:v>Coleção principal (~1:64)</x:v>
      </x:c>
      <x:c r="W748" s="82" t="str">
        <x:v>https://hotwheels.fandom.com/wiki/P-911</x:v>
      </x:c>
      <x:c r="X748" s="82" t="str">
        <x:v>https://hotwheels.fandom.com/wiki/P-911</x:v>
      </x:c>
    </x:row>
    <x:row r="749">
      <x:c r="A749" s="80" t="str">
        <x:v>Não</x:v>
      </x:c>
      <x:c r="B749" s="80" t="str">
        <x:v>2 — Completar aos poucos</x:v>
      </x:c>
      <x:c r="C749" s="81" t="n">
        <x:v>1976</x:v>
      </x:c>
      <x:c r="D749" s="80" t="str">
        <x:v>P-911</x:v>
      </x:c>
      <x:c r="E749" s="80" t="str">
        <x:v>P-911</x:v>
      </x:c>
      <x:c r="F749" s="82" t="str">
        <x:v>Super Chromes</x:v>
      </x:c>
      <x:c r="G749" s="80" t="str"/>
      <x:c r="H749" s="80" t="str"/>
      <x:c r="I749" s="83" t="str"/>
      <x:c r="J749" s="80" t="str">
        <x:v>Chrome</x:v>
      </x:c>
      <x:c r="K749" s="82" t="str">
        <x:v>Red, Orange &amp; Yellow swirls on top</x:v>
      </x:c>
      <x:c r="L749" s="82" t="str">
        <x:v>BW</x:v>
      </x:c>
      <x:c r="M749" s="82" t="str">
        <x:v>Unpainted / / / Metal</x:v>
      </x:c>
      <x:c r="N749" s="82" t="str">
        <x:v>Black tint</x:v>
      </x:c>
      <x:c r="O749" s="82" t="str">
        <x:v>Black</x:v>
      </x:c>
      <x:c r="P749" s="82" t="str">
        <x:v>Hong Kong</x:v>
      </x:c>
      <x:c r="Q749" s="82" t="str"/>
      <x:c r="R749" s="82" t="str">
        <x:v>Outra linha</x:v>
      </x:c>
      <x:c r="S749" s="82" t="str">
        <x:v>Rara</x:v>
      </x:c>
      <x:c r="T749" s="82" t="str">
        <x:v>Lançado</x:v>
      </x:c>
      <x:c r="U749" s="82" t="str"/>
      <x:c r="V749" s="80" t="str">
        <x:v>Coleção principal (~1:64)</x:v>
      </x:c>
      <x:c r="W749" s="82" t="str">
        <x:v>https://hotwheels.fandom.com/wiki/P-911</x:v>
      </x:c>
      <x:c r="X749" s="82" t="str">
        <x:v>https://hotwheels.fandom.com/wiki/P-911</x:v>
      </x:c>
    </x:row>
    <x:row r="750">
      <x:c r="A750" s="80" t="str">
        <x:v>Não</x:v>
      </x:c>
      <x:c r="B750" s="80" t="str">
        <x:v>2 — Completar aos poucos</x:v>
      </x:c>
      <x:c r="C750" s="81" t="n">
        <x:v>1976</x:v>
      </x:c>
      <x:c r="D750" s="80" t="str">
        <x:v>Porsche 917</x:v>
      </x:c>
      <x:c r="E750" s="80" t="str">
        <x:v>Porsche 917</x:v>
      </x:c>
      <x:c r="F750" s="82" t="str">
        <x:v>Super Chromes</x:v>
      </x:c>
      <x:c r="G750" s="80" t="str"/>
      <x:c r="H750" s="80" t="str"/>
      <x:c r="I750" s="83" t="str">
        <x:v>9204</x:v>
      </x:c>
      <x:c r="J750" s="80" t="str">
        <x:v>Chrome</x:v>
      </x:c>
      <x:c r="K750" s="82" t="str"/>
      <x:c r="L750" s="82" t="str">
        <x:v>RL2</x:v>
      </x:c>
      <x:c r="M750" s="82" t="str">
        <x:v>Black / Plastic</x:v>
      </x:c>
      <x:c r="N750" s="82" t="str">
        <x:v>Blue Tint</x:v>
      </x:c>
      <x:c r="O750" s="82" t="str">
        <x:v>Black</x:v>
      </x:c>
      <x:c r="P750" s="82" t="str">
        <x:v>Hong Kong</x:v>
      </x:c>
      <x:c r="Q750" s="82" t="str"/>
      <x:c r="R750" s="82" t="str">
        <x:v>Outra linha</x:v>
      </x:c>
      <x:c r="S750" s="82" t="str">
        <x:v>Rara</x:v>
      </x:c>
      <x:c r="T750" s="82" t="str">
        <x:v>Lançado</x:v>
      </x:c>
      <x:c r="U750" s="82" t="str">
        <x:v>Named P-917</x:v>
      </x:c>
      <x:c r="V750" s="80" t="str">
        <x:v>Coleção principal (~1:64)</x:v>
      </x:c>
      <x:c r="W750" s="82" t="str">
        <x:v>https://hotwheels.fandom.com/wiki/Porsche_917</x:v>
      </x:c>
      <x:c r="X750" s="82" t="str">
        <x:v>https://hotwheels.fandom.com/wiki/Porsche_917</x:v>
      </x:c>
    </x:row>
    <x:row r="751">
      <x:c r="A751" s="80" t="str">
        <x:v>Não</x:v>
      </x:c>
      <x:c r="B751" s="80" t="str">
        <x:v>2 — Completar aos poucos</x:v>
      </x:c>
      <x:c r="C751" s="81" t="n">
        <x:v>1975</x:v>
      </x:c>
      <x:c r="D751" s="80" t="str">
        <x:v>P-911</x:v>
      </x:c>
      <x:c r="E751" s="80" t="str">
        <x:v>P-911</x:v>
      </x:c>
      <x:c r="F751" s="82" t="str">
        <x:v>Flying Colors</x:v>
      </x:c>
      <x:c r="G751" s="80" t="str"/>
      <x:c r="H751" s="80" t="str"/>
      <x:c r="I751" s="83" t="str">
        <x:v>7648</x:v>
      </x:c>
      <x:c r="J751" s="80" t="str"/>
      <x:c r="K751" s="82" t="str"/>
      <x:c r="L751" s="82" t="str"/>
      <x:c r="M751" s="82" t="str"/>
      <x:c r="N751" s="82" t="str"/>
      <x:c r="O751" s="82" t="str"/>
      <x:c r="P751" s="82" t="str"/>
      <x:c r="Q751" s="82" t="str"/>
      <x:c r="R751" s="82" t="str">
        <x:v>Outra linha</x:v>
      </x:c>
      <x:c r="S751" s="82" t="str">
        <x:v>Rara</x:v>
      </x:c>
      <x:c r="T751" s="82" t="str">
        <x:v>Lançado</x:v>
      </x:c>
      <x:c r="U751" s="82" t="str">
        <x:v>Originally Porsche Carrera</x:v>
      </x:c>
      <x:c r="V751" s="80" t="str">
        <x:v>Coleção principal (~1:64)</x:v>
      </x:c>
      <x:c r="W751" s="82" t="str">
        <x:v>https://hotwheels.fandom.com/wiki/Porsche</x:v>
      </x:c>
      <x:c r="X751" s="82" t="str">
        <x:v>https://hotwheels.fandom.com/wiki/P-911</x:v>
      </x:c>
    </x:row>
    <x:row r="752">
      <x:c r="A752" s="80" t="str">
        <x:v>Não</x:v>
      </x:c>
      <x:c r="B752" s="80" t="str">
        <x:v>2 — Completar aos poucos</x:v>
      </x:c>
      <x:c r="C752" s="81" t="n">
        <x:v>1975</x:v>
      </x:c>
      <x:c r="D752" s="80" t="str">
        <x:v>P-911</x:v>
      </x:c>
      <x:c r="E752" s="80" t="str">
        <x:v>P-911</x:v>
      </x:c>
      <x:c r="F752" s="82" t="str">
        <x:v>Flying Colors</x:v>
      </x:c>
      <x:c r="G752" s="80" t="str"/>
      <x:c r="H752" s="80" t="str"/>
      <x:c r="I752" s="83" t="str"/>
      <x:c r="J752" s="80" t="str">
        <x:v>Enamel White</x:v>
      </x:c>
      <x:c r="K752" s="82" t="str"/>
      <x:c r="L752" s="82" t="str">
        <x:v>RL</x:v>
      </x:c>
      <x:c r="M752" s="82" t="str">
        <x:v>Unpainted / Metal</x:v>
      </x:c>
      <x:c r="N752" s="82" t="str">
        <x:v>Smoke tint</x:v>
      </x:c>
      <x:c r="O752" s="82" t="str">
        <x:v>Black</x:v>
      </x:c>
      <x:c r="P752" s="82" t="str">
        <x:v>Hong Kong</x:v>
      </x:c>
      <x:c r="Q752" s="82" t="str"/>
      <x:c r="R752" s="82" t="str">
        <x:v>Outra linha</x:v>
      </x:c>
      <x:c r="S752" s="82" t="str">
        <x:v>Rara</x:v>
      </x:c>
      <x:c r="T752" s="82" t="str">
        <x:v>Lançado</x:v>
      </x:c>
      <x:c r="U752" s="82" t="str"/>
      <x:c r="V752" s="80" t="str">
        <x:v>Coleção principal (~1:64)</x:v>
      </x:c>
      <x:c r="W752" s="82" t="str">
        <x:v>https://hotwheels.fandom.com/wiki/P-911</x:v>
      </x:c>
      <x:c r="X752" s="82" t="str">
        <x:v>https://hotwheels.fandom.com/wiki/P-911</x:v>
      </x:c>
    </x:row>
    <x:row r="753">
      <x:c r="A753" s="80" t="str">
        <x:v>Não</x:v>
      </x:c>
      <x:c r="B753" s="80" t="str">
        <x:v>2 — Completar aos poucos</x:v>
      </x:c>
      <x:c r="C753" s="81" t="n">
        <x:v>1975</x:v>
      </x:c>
      <x:c r="D753" s="80" t="str">
        <x:v>P-911</x:v>
      </x:c>
      <x:c r="E753" s="80" t="str">
        <x:v>P-911</x:v>
      </x:c>
      <x:c r="F753" s="82" t="str">
        <x:v>Flying Colors</x:v>
      </x:c>
      <x:c r="G753" s="80" t="str"/>
      <x:c r="H753" s="80" t="str"/>
      <x:c r="I753" s="83" t="str"/>
      <x:c r="J753" s="80" t="str">
        <x:v>Enamel White</x:v>
      </x:c>
      <x:c r="K753" s="82" t="str"/>
      <x:c r="L753" s="82" t="str">
        <x:v>RL</x:v>
      </x:c>
      <x:c r="M753" s="82" t="str">
        <x:v>Unpainted / / / Metal</x:v>
      </x:c>
      <x:c r="N753" s="82" t="str"/>
      <x:c r="O753" s="82" t="str">
        <x:v>Black</x:v>
      </x:c>
      <x:c r="P753" s="82" t="str">
        <x:v>Hong Kong</x:v>
      </x:c>
      <x:c r="Q753" s="82" t="str"/>
      <x:c r="R753" s="82" t="str">
        <x:v>Outra linha</x:v>
      </x:c>
      <x:c r="S753" s="82" t="str">
        <x:v>Rara</x:v>
      </x:c>
      <x:c r="T753" s="82" t="str">
        <x:v>Lançado</x:v>
      </x:c>
      <x:c r="U753" s="82" t="str"/>
      <x:c r="V753" s="80" t="str">
        <x:v>Coleção principal (~1:64)</x:v>
      </x:c>
      <x:c r="W753" s="82" t="str">
        <x:v>https://hotwheels.fandom.com/wiki/P-911</x:v>
      </x:c>
      <x:c r="X753" s="82" t="str">
        <x:v>https://hotwheels.fandom.com/wiki/P-911</x:v>
      </x:c>
    </x:row>
    <x:row r="754">
      <x:c r="A754" s="80" t="str">
        <x:v>Não</x:v>
      </x:c>
      <x:c r="B754" s="80" t="str">
        <x:v>2 — Completar aos poucos</x:v>
      </x:c>
      <x:c r="C754" s="81" t="n">
        <x:v>1975</x:v>
      </x:c>
      <x:c r="D754" s="80" t="str">
        <x:v>P-911</x:v>
      </x:c>
      <x:c r="E754" s="80" t="str">
        <x:v>P-911</x:v>
      </x:c>
      <x:c r="F754" s="82" t="str">
        <x:v>Flying Colors</x:v>
      </x:c>
      <x:c r="G754" s="80" t="str"/>
      <x:c r="H754" s="80" t="str"/>
      <x:c r="I754" s="83" t="str"/>
      <x:c r="J754" s="80" t="str">
        <x:v>Yellow</x:v>
      </x:c>
      <x:c r="K754" s="82" t="str">
        <x:v>Red &amp; Blue stripes on top</x:v>
      </x:c>
      <x:c r="L754" s="82" t="str">
        <x:v>RL</x:v>
      </x:c>
      <x:c r="M754" s="82" t="str">
        <x:v>Unpainted / Metal</x:v>
      </x:c>
      <x:c r="N754" s="82" t="str">
        <x:v>Smoke tint</x:v>
      </x:c>
      <x:c r="O754" s="82" t="str">
        <x:v>Black</x:v>
      </x:c>
      <x:c r="P754" s="82" t="str">
        <x:v>Hong Kong</x:v>
      </x:c>
      <x:c r="Q754" s="82" t="str"/>
      <x:c r="R754" s="82" t="str">
        <x:v>Outra linha</x:v>
      </x:c>
      <x:c r="S754" s="82" t="str">
        <x:v>Rara</x:v>
      </x:c>
      <x:c r="T754" s="82" t="str">
        <x:v>Lançado</x:v>
      </x:c>
      <x:c r="U754" s="82" t="str">
        <x:v>Porsche Carrera on Base Capped Front wheels</x:v>
      </x:c>
      <x:c r="V754" s="80" t="str">
        <x:v>Coleção principal (~1:64)</x:v>
      </x:c>
      <x:c r="W754" s="82" t="str">
        <x:v>https://hotwheels.fandom.com/wiki/P-911</x:v>
      </x:c>
      <x:c r="X754" s="82" t="str">
        <x:v>https://hotwheels.fandom.com/wiki/P-911</x:v>
      </x:c>
    </x:row>
    <x:row r="755">
      <x:c r="A755" s="80" t="str">
        <x:v>Não</x:v>
      </x:c>
      <x:c r="B755" s="80" t="str">
        <x:v>2 — Completar aos poucos</x:v>
      </x:c>
      <x:c r="C755" s="81" t="n">
        <x:v>1975</x:v>
      </x:c>
      <x:c r="D755" s="80" t="str">
        <x:v>P-911</x:v>
      </x:c>
      <x:c r="E755" s="80" t="str">
        <x:v>P-911</x:v>
      </x:c>
      <x:c r="F755" s="82" t="str">
        <x:v>Flying Colors</x:v>
      </x:c>
      <x:c r="G755" s="80" t="str"/>
      <x:c r="H755" s="80" t="str"/>
      <x:c r="I755" s="83" t="str"/>
      <x:c r="J755" s="80" t="str">
        <x:v>Yellow</x:v>
      </x:c>
      <x:c r="K755" s="82" t="str">
        <x:v>Red &amp; Blue stripes on top</x:v>
      </x:c>
      <x:c r="L755" s="82" t="str">
        <x:v>RL</x:v>
      </x:c>
      <x:c r="M755" s="82" t="str">
        <x:v>Unpainted / / / Metal</x:v>
      </x:c>
      <x:c r="N755" s="82" t="str">
        <x:v>Black tint</x:v>
      </x:c>
      <x:c r="O755" s="82" t="str">
        <x:v>Black</x:v>
      </x:c>
      <x:c r="P755" s="82" t="str">
        <x:v>Hong Kong</x:v>
      </x:c>
      <x:c r="Q755" s="82" t="str"/>
      <x:c r="R755" s="82" t="str">
        <x:v>Outra linha</x:v>
      </x:c>
      <x:c r="S755" s="82" t="str">
        <x:v>Rara</x:v>
      </x:c>
      <x:c r="T755" s="82" t="str">
        <x:v>Lançado</x:v>
      </x:c>
      <x:c r="U755" s="82" t="str">
        <x:v>Porsche Carrera on Base / Capped Front wheels</x:v>
      </x:c>
      <x:c r="V755" s="80" t="str">
        <x:v>Coleção principal (~1:64)</x:v>
      </x:c>
      <x:c r="W755" s="82" t="str">
        <x:v>https://hotwheels.fandom.com/wiki/P-911</x:v>
      </x:c>
      <x:c r="X755" s="82" t="str">
        <x:v>https://hotwheels.fandom.com/wiki/P-911</x:v>
      </x:c>
    </x:row>
    <x:row r="756">
      <x:c r="A756" s="80" t="str">
        <x:v>Não</x:v>
      </x:c>
      <x:c r="B756" s="80" t="str">
        <x:v>2 — Completar aos poucos</x:v>
      </x:c>
      <x:c r="C756" s="81" t="n">
        <x:v>1975</x:v>
      </x:c>
      <x:c r="D756" s="80" t="str">
        <x:v>P-911</x:v>
      </x:c>
      <x:c r="E756" s="80" t="str">
        <x:v>P-911</x:v>
      </x:c>
      <x:c r="F756" s="82" t="str">
        <x:v>Salesman Award</x:v>
      </x:c>
      <x:c r="G756" s="80" t="str"/>
      <x:c r="H756" s="80" t="str"/>
      <x:c r="I756" s="83" t="str"/>
      <x:c r="J756" s="80" t="str">
        <x:v>Gold Plated</x:v>
      </x:c>
      <x:c r="K756" s="82" t="str"/>
      <x:c r="L756" s="82" t="str">
        <x:v>RL</x:v>
      </x:c>
      <x:c r="M756" s="82" t="str">
        <x:v>Unpainted / Metal</x:v>
      </x:c>
      <x:c r="N756" s="82" t="str">
        <x:v>Smoke tint</x:v>
      </x:c>
      <x:c r="O756" s="82" t="str">
        <x:v>Black</x:v>
      </x:c>
      <x:c r="P756" s="82" t="str">
        <x:v>Hong Kong</x:v>
      </x:c>
      <x:c r="Q756" s="82" t="str"/>
      <x:c r="R756" s="82" t="str">
        <x:v>Outra linha</x:v>
      </x:c>
      <x:c r="S756" s="82" t="str">
        <x:v>Rara</x:v>
      </x:c>
      <x:c r="T756" s="82" t="str">
        <x:v>Lançado</x:v>
      </x:c>
      <x:c r="U756" s="82" t="str"/>
      <x:c r="V756" s="80" t="str">
        <x:v>Coleção principal (~1:64)</x:v>
      </x:c>
      <x:c r="W756" s="82" t="str">
        <x:v>https://hotwheels.fandom.com/wiki/P-911</x:v>
      </x:c>
      <x:c r="X756" s="82" t="str">
        <x:v>https://hotwheels.fandom.com/wiki/P-911</x:v>
      </x:c>
    </x:row>
    <x:row r="757">
      <x:c r="A757" s="80" t="str">
        <x:v>Não</x:v>
      </x:c>
      <x:c r="B757" s="80" t="str">
        <x:v>2 — Completar aos poucos</x:v>
      </x:c>
      <x:c r="C757" s="81" t="n">
        <x:v>1975</x:v>
      </x:c>
      <x:c r="D757" s="80" t="str">
        <x:v>P-911</x:v>
      </x:c>
      <x:c r="E757" s="80" t="str">
        <x:v>P-911</x:v>
      </x:c>
      <x:c r="F757" s="82" t="str">
        <x:v>Salesman Award</x:v>
      </x:c>
      <x:c r="G757" s="80" t="str"/>
      <x:c r="H757" s="80" t="str"/>
      <x:c r="I757" s="83" t="str"/>
      <x:c r="J757" s="80" t="str">
        <x:v>Gold Plated</x:v>
      </x:c>
      <x:c r="K757" s="82" t="str"/>
      <x:c r="L757" s="82" t="str">
        <x:v>RL</x:v>
      </x:c>
      <x:c r="M757" s="82" t="str">
        <x:v>Unpainted / / / Metal</x:v>
      </x:c>
      <x:c r="N757" s="82" t="str">
        <x:v>Smoked tint</x:v>
      </x:c>
      <x:c r="O757" s="82" t="str">
        <x:v>Black</x:v>
      </x:c>
      <x:c r="P757" s="82" t="str">
        <x:v>Hong Kong</x:v>
      </x:c>
      <x:c r="Q757" s="82" t="str"/>
      <x:c r="R757" s="82" t="str">
        <x:v>Outra linha</x:v>
      </x:c>
      <x:c r="S757" s="82" t="str">
        <x:v>Rara</x:v>
      </x:c>
      <x:c r="T757" s="82" t="str">
        <x:v>Lançado</x:v>
      </x:c>
      <x:c r="U757" s="82" t="str"/>
      <x:c r="V757" s="80" t="str">
        <x:v>Coleção principal (~1:64)</x:v>
      </x:c>
      <x:c r="W757" s="82" t="str">
        <x:v>https://hotwheels.fandom.com/wiki/P-911</x:v>
      </x:c>
      <x:c r="X757" s="82" t="str">
        <x:v>https://hotwheels.fandom.com/wiki/P-911</x:v>
      </x:c>
    </x:row>
    <x:row r="758">
      <x:c r="A758" s="80" t="str">
        <x:v>Não</x:v>
      </x:c>
      <x:c r="B758" s="80" t="str">
        <x:v>2 — Completar aos poucos</x:v>
      </x:c>
      <x:c r="C758" s="81" t="n">
        <x:v>1975</x:v>
      </x:c>
      <x:c r="D758" s="80" t="str">
        <x:v>Porsche 917</x:v>
      </x:c>
      <x:c r="E758" s="80" t="str">
        <x:v>Porsche 917</x:v>
      </x:c>
      <x:c r="F758" s="82" t="str">
        <x:v>Flying Colors</x:v>
      </x:c>
      <x:c r="G758" s="80" t="str"/>
      <x:c r="H758" s="80" t="str"/>
      <x:c r="I758" s="83" t="str">
        <x:v>6972</x:v>
      </x:c>
      <x:c r="J758" s="80" t="str">
        <x:v>Orange</x:v>
      </x:c>
      <x:c r="K758" s="82" t="str"/>
      <x:c r="L758" s="82" t="str">
        <x:v>RL2</x:v>
      </x:c>
      <x:c r="M758" s="82" t="str">
        <x:v>Black / Plastic</x:v>
      </x:c>
      <x:c r="N758" s="82" t="str">
        <x:v>Blue Tint</x:v>
      </x:c>
      <x:c r="O758" s="82" t="str">
        <x:v>Black</x:v>
      </x:c>
      <x:c r="P758" s="82" t="str">
        <x:v>Hong Kong</x:v>
      </x:c>
      <x:c r="Q758" s="82" t="str"/>
      <x:c r="R758" s="82" t="str">
        <x:v>Outra linha</x:v>
      </x:c>
      <x:c r="S758" s="82" t="str">
        <x:v>Rara</x:v>
      </x:c>
      <x:c r="T758" s="82" t="str">
        <x:v>Lançado</x:v>
      </x:c>
      <x:c r="U758" s="82" t="str">
        <x:v>Named P-917 P-917 base</x:v>
      </x:c>
      <x:c r="V758" s="80" t="str">
        <x:v>Coleção principal (~1:64)</x:v>
      </x:c>
      <x:c r="W758" s="82" t="str">
        <x:v>https://hotwheels.fandom.com/wiki/Porsche_917</x:v>
      </x:c>
      <x:c r="X758" s="82" t="str">
        <x:v>https://hotwheels.fandom.com/wiki/Porsche_917</x:v>
      </x:c>
    </x:row>
    <x:row r="759">
      <x:c r="A759" s="80" t="str">
        <x:v>Não</x:v>
      </x:c>
      <x:c r="B759" s="80" t="str">
        <x:v>2 — Completar aos poucos</x:v>
      </x:c>
      <x:c r="C759" s="81" t="n">
        <x:v>1975</x:v>
      </x:c>
      <x:c r="D759" s="80" t="str">
        <x:v>Porsche 917</x:v>
      </x:c>
      <x:c r="E759" s="80" t="str">
        <x:v>Porsche 917</x:v>
      </x:c>
      <x:c r="F759" s="82" t="str">
        <x:v>Flying Colors</x:v>
      </x:c>
      <x:c r="G759" s="80" t="str"/>
      <x:c r="H759" s="80" t="str"/>
      <x:c r="I759" s="83" t="str">
        <x:v>6972</x:v>
      </x:c>
      <x:c r="J759" s="80" t="str">
        <x:v>Red</x:v>
      </x:c>
      <x:c r="K759" s="82" t="str"/>
      <x:c r="L759" s="82" t="str">
        <x:v>RL2</x:v>
      </x:c>
      <x:c r="M759" s="82" t="str">
        <x:v>Black / Plastic</x:v>
      </x:c>
      <x:c r="N759" s="82" t="str">
        <x:v>Blue tint</x:v>
      </x:c>
      <x:c r="O759" s="82" t="str">
        <x:v>Black</x:v>
      </x:c>
      <x:c r="P759" s="82" t="str">
        <x:v>Hong Kong</x:v>
      </x:c>
      <x:c r="Q759" s="82" t="str"/>
      <x:c r="R759" s="82" t="str">
        <x:v>Outra linha</x:v>
      </x:c>
      <x:c r="S759" s="82" t="str">
        <x:v>Rara</x:v>
      </x:c>
      <x:c r="T759" s="82" t="str">
        <x:v>Lançado</x:v>
      </x:c>
      <x:c r="U759" s="82" t="str">
        <x:v>Named P-917 Alt. Color</x:v>
      </x:c>
      <x:c r="V759" s="80" t="str">
        <x:v>Coleção principal (~1:64)</x:v>
      </x:c>
      <x:c r="W759" s="82" t="str">
        <x:v>https://hotwheels.fandom.com/wiki/Porsche_917</x:v>
      </x:c>
      <x:c r="X759" s="82" t="str">
        <x:v>https://hotwheels.fandom.com/wiki/Porsche_917</x:v>
      </x:c>
    </x:row>
    <x:row r="760">
      <x:c r="A760" s="80" t="str">
        <x:v>Não</x:v>
      </x:c>
      <x:c r="B760" s="80" t="str">
        <x:v>2 — Completar aos poucos</x:v>
      </x:c>
      <x:c r="C760" s="81" t="n">
        <x:v>1974</x:v>
      </x:c>
      <x:c r="D760" s="80" t="str">
        <x:v>Porsche 917</x:v>
      </x:c>
      <x:c r="E760" s="80" t="str">
        <x:v>Porsche 917</x:v>
      </x:c>
      <x:c r="F760" s="82" t="str">
        <x:v>Flying Colors</x:v>
      </x:c>
      <x:c r="G760" s="80" t="str"/>
      <x:c r="H760" s="80" t="str"/>
      <x:c r="I760" s="83" t="str">
        <x:v>6972</x:v>
      </x:c>
      <x:c r="J760" s="80" t="str">
        <x:v>Orange</x:v>
      </x:c>
      <x:c r="K760" s="82" t="str"/>
      <x:c r="L760" s="82" t="str">
        <x:v>RL2</x:v>
      </x:c>
      <x:c r="M760" s="82" t="str">
        <x:v>Metal</x:v>
      </x:c>
      <x:c r="N760" s="82" t="str">
        <x:v>Blue Tint</x:v>
      </x:c>
      <x:c r="O760" s="82" t="str">
        <x:v>Black</x:v>
      </x:c>
      <x:c r="P760" s="82" t="str">
        <x:v>Hong Kong</x:v>
      </x:c>
      <x:c r="Q760" s="82" t="str"/>
      <x:c r="R760" s="82" t="str">
        <x:v>Outra linha</x:v>
      </x:c>
      <x:c r="S760" s="82" t="str">
        <x:v>Rara</x:v>
      </x:c>
      <x:c r="T760" s="82" t="str">
        <x:v>Lançado</x:v>
      </x:c>
      <x:c r="U760" s="82" t="str">
        <x:v>Named P-917</x:v>
      </x:c>
      <x:c r="V760" s="80" t="str">
        <x:v>Coleção principal (~1:64)</x:v>
      </x:c>
      <x:c r="W760" s="82" t="str">
        <x:v>https://hotwheels.fandom.com/wiki/Porsche_917</x:v>
      </x:c>
      <x:c r="X760" s="82" t="str">
        <x:v>https://hotwheels.fandom.com/wiki/Porsche_917</x:v>
      </x:c>
    </x:row>
    <x:row r="761">
      <x:c r="A761" s="80" t="str">
        <x:v>Não</x:v>
      </x:c>
      <x:c r="B761" s="80" t="str">
        <x:v>2 — Completar aos poucos</x:v>
      </x:c>
      <x:c r="C761" s="81" t="n">
        <x:v>1974</x:v>
      </x:c>
      <x:c r="D761" s="80" t="str">
        <x:v>Porsche 917</x:v>
      </x:c>
      <x:c r="E761" s="80" t="str">
        <x:v>Porsche 917</x:v>
      </x:c>
      <x:c r="F761" s="82" t="str">
        <x:v>Flying Colors</x:v>
      </x:c>
      <x:c r="G761" s="80" t="str"/>
      <x:c r="H761" s="80" t="str"/>
      <x:c r="I761" s="83" t="str">
        <x:v>6972</x:v>
      </x:c>
      <x:c r="J761" s="80" t="str">
        <x:v>Red</x:v>
      </x:c>
      <x:c r="K761" s="82" t="str"/>
      <x:c r="L761" s="82" t="str">
        <x:v>RL2</x:v>
      </x:c>
      <x:c r="M761" s="82" t="str">
        <x:v>Metal</x:v>
      </x:c>
      <x:c r="N761" s="82" t="str">
        <x:v>Blue Tint</x:v>
      </x:c>
      <x:c r="O761" s="82" t="str">
        <x:v>Black</x:v>
      </x:c>
      <x:c r="P761" s="82" t="str">
        <x:v>Hong Kong</x:v>
      </x:c>
      <x:c r="Q761" s="82" t="str"/>
      <x:c r="R761" s="82" t="str">
        <x:v>Outra linha</x:v>
      </x:c>
      <x:c r="S761" s="82" t="str">
        <x:v>Rara</x:v>
      </x:c>
      <x:c r="T761" s="82" t="str">
        <x:v>Lançado</x:v>
      </x:c>
      <x:c r="U761" s="82" t="str">
        <x:v>Named P-917Porsche tampo/ Alt. Color</x:v>
      </x:c>
      <x:c r="V761" s="80" t="str">
        <x:v>Coleção principal (~1:64)</x:v>
      </x:c>
      <x:c r="W761" s="82" t="str">
        <x:v>https://hotwheels.fandom.com/wiki/Porsche_917</x:v>
      </x:c>
      <x:c r="X761" s="82" t="str">
        <x:v>https://hotwheels.fandom.com/wiki/Porsche_917</x:v>
      </x:c>
    </x:row>
    <x:row r="762">
      <x:c r="A762" s="80" t="str">
        <x:v>Não</x:v>
      </x:c>
      <x:c r="B762" s="80" t="str">
        <x:v>2 — Completar aos poucos</x:v>
      </x:c>
      <x:c r="C762" s="81" t="n">
        <x:v>1973</x:v>
      </x:c>
      <x:c r="D762" s="80" t="str">
        <x:v>Porsche 917</x:v>
      </x:c>
      <x:c r="E762" s="80" t="str">
        <x:v>Porsche 917</x:v>
      </x:c>
      <x:c r="F762" s="82" t="str">
        <x:v>1973 Hot Wheels</x:v>
      </x:c>
      <x:c r="G762" s="80" t="str"/>
      <x:c r="H762" s="80" t="str"/>
      <x:c r="I762" s="83" t="str">
        <x:v>6972</x:v>
      </x:c>
      <x:c r="J762" s="80" t="str">
        <x:v>Enamel Dark Blue</x:v>
      </x:c>
      <x:c r="K762" s="82" t="str"/>
      <x:c r="L762" s="82" t="str">
        <x:v>RL</x:v>
      </x:c>
      <x:c r="M762" s="82" t="str">
        <x:v>Unpainted / Metal</x:v>
      </x:c>
      <x:c r="N762" s="82" t="str"/>
      <x:c r="O762" s="82" t="str"/>
      <x:c r="P762" s="82" t="str"/>
      <x:c r="Q762" s="82" t="str"/>
      <x:c r="R762" s="82" t="str">
        <x:v>Outra linha</x:v>
      </x:c>
      <x:c r="S762" s="82" t="str">
        <x:v>Rara</x:v>
      </x:c>
      <x:c r="T762" s="82" t="str">
        <x:v>Lançado</x:v>
      </x:c>
      <x:c r="U762" s="82" t="str"/>
      <x:c r="V762" s="80" t="str">
        <x:v>Coleção principal (~1:64)</x:v>
      </x:c>
      <x:c r="W762" s="82" t="str">
        <x:v>https://hotwheels.fandom.com/wiki/Porsche_917</x:v>
      </x:c>
      <x:c r="X762" s="82" t="str">
        <x:v>https://hotwheels.fandom.com/wiki/Porsche_917</x:v>
      </x:c>
    </x:row>
    <x:row r="763">
      <x:c r="A763" s="80" t="str">
        <x:v>Não</x:v>
      </x:c>
      <x:c r="B763" s="80" t="str">
        <x:v>2 — Completar aos poucos</x:v>
      </x:c>
      <x:c r="C763" s="81" t="n">
        <x:v>1973</x:v>
      </x:c>
      <x:c r="D763" s="80" t="str">
        <x:v>Porsche 917</x:v>
      </x:c>
      <x:c r="E763" s="80" t="str">
        <x:v>Porsche 917</x:v>
      </x:c>
      <x:c r="F763" s="82" t="str">
        <x:v>1973 Hot Wheels</x:v>
      </x:c>
      <x:c r="G763" s="80" t="str"/>
      <x:c r="H763" s="80" t="str"/>
      <x:c r="I763" s="83" t="str">
        <x:v>6972</x:v>
      </x:c>
      <x:c r="J763" s="80" t="str">
        <x:v>Enamel Fluorescent Lime Green</x:v>
      </x:c>
      <x:c r="K763" s="82" t="str"/>
      <x:c r="L763" s="82" t="str">
        <x:v>RL</x:v>
      </x:c>
      <x:c r="M763" s="82" t="str">
        <x:v>Unpainted / Metal</x:v>
      </x:c>
      <x:c r="N763" s="82" t="str"/>
      <x:c r="O763" s="82" t="str"/>
      <x:c r="P763" s="82" t="str"/>
      <x:c r="Q763" s="82" t="str"/>
      <x:c r="R763" s="82" t="str">
        <x:v>Outra linha</x:v>
      </x:c>
      <x:c r="S763" s="82" t="str">
        <x:v>Rara</x:v>
      </x:c>
      <x:c r="T763" s="82" t="str">
        <x:v>Lançado</x:v>
      </x:c>
      <x:c r="U763" s="82" t="str"/>
      <x:c r="V763" s="80" t="str">
        <x:v>Coleção principal (~1:64)</x:v>
      </x:c>
      <x:c r="W763" s="82" t="str">
        <x:v>https://hotwheels.fandom.com/wiki/Porsche_917</x:v>
      </x:c>
      <x:c r="X763" s="82" t="str">
        <x:v>https://hotwheels.fandom.com/wiki/Porsche_917</x:v>
      </x:c>
    </x:row>
    <x:row r="764">
      <x:c r="A764" s="80" t="str">
        <x:v>Não</x:v>
      </x:c>
      <x:c r="B764" s="80" t="str">
        <x:v>2 — Completar aos poucos</x:v>
      </x:c>
      <x:c r="C764" s="81" t="n">
        <x:v>1973</x:v>
      </x:c>
      <x:c r="D764" s="80" t="str">
        <x:v>Porsche 917</x:v>
      </x:c>
      <x:c r="E764" s="80" t="str">
        <x:v>Porsche 917</x:v>
      </x:c>
      <x:c r="F764" s="82" t="str">
        <x:v>1973 Hot Wheels</x:v>
      </x:c>
      <x:c r="G764" s="80" t="str"/>
      <x:c r="H764" s="80" t="str"/>
      <x:c r="I764" s="83" t="str">
        <x:v>6972</x:v>
      </x:c>
      <x:c r="J764" s="80" t="str">
        <x:v>Enamel Fluorescent Pink</x:v>
      </x:c>
      <x:c r="K764" s="82" t="str"/>
      <x:c r="L764" s="82" t="str">
        <x:v>RL</x:v>
      </x:c>
      <x:c r="M764" s="82" t="str">
        <x:v>Unpainted / Metal</x:v>
      </x:c>
      <x:c r="N764" s="82" t="str"/>
      <x:c r="O764" s="82" t="str"/>
      <x:c r="P764" s="82" t="str"/>
      <x:c r="Q764" s="82" t="str"/>
      <x:c r="R764" s="82" t="str">
        <x:v>Outra linha</x:v>
      </x:c>
      <x:c r="S764" s="82" t="str">
        <x:v>Rara</x:v>
      </x:c>
      <x:c r="T764" s="82" t="str">
        <x:v>Lançado</x:v>
      </x:c>
      <x:c r="U764" s="82" t="str"/>
      <x:c r="V764" s="80" t="str">
        <x:v>Coleção principal (~1:64)</x:v>
      </x:c>
      <x:c r="W764" s="82" t="str">
        <x:v>https://hotwheels.fandom.com/wiki/Porsche_917</x:v>
      </x:c>
      <x:c r="X764" s="82" t="str">
        <x:v>https://hotwheels.fandom.com/wiki/Porsche_917</x:v>
      </x:c>
    </x:row>
    <x:row r="765">
      <x:c r="A765" s="80" t="str">
        <x:v>Não</x:v>
      </x:c>
      <x:c r="B765" s="80" t="str">
        <x:v>2 — Completar aos poucos</x:v>
      </x:c>
      <x:c r="C765" s="81" t="n">
        <x:v>1973</x:v>
      </x:c>
      <x:c r="D765" s="80" t="str">
        <x:v>Porsche 917</x:v>
      </x:c>
      <x:c r="E765" s="80" t="str">
        <x:v>Porsche 917</x:v>
      </x:c>
      <x:c r="F765" s="82" t="str">
        <x:v>1973 Hot Wheels</x:v>
      </x:c>
      <x:c r="G765" s="80" t="str"/>
      <x:c r="H765" s="80" t="str"/>
      <x:c r="I765" s="83" t="str">
        <x:v>6972</x:v>
      </x:c>
      <x:c r="J765" s="80" t="str">
        <x:v>Enamel Lemon Yellow</x:v>
      </x:c>
      <x:c r="K765" s="82" t="str"/>
      <x:c r="L765" s="82" t="str">
        <x:v>RL</x:v>
      </x:c>
      <x:c r="M765" s="82" t="str">
        <x:v>Unpainted / Metal</x:v>
      </x:c>
      <x:c r="N765" s="82" t="str"/>
      <x:c r="O765" s="82" t="str"/>
      <x:c r="P765" s="82" t="str"/>
      <x:c r="Q765" s="82" t="str"/>
      <x:c r="R765" s="82" t="str">
        <x:v>Outra linha</x:v>
      </x:c>
      <x:c r="S765" s="82" t="str">
        <x:v>Rara</x:v>
      </x:c>
      <x:c r="T765" s="82" t="str">
        <x:v>Lançado</x:v>
      </x:c>
      <x:c r="U765" s="82" t="str"/>
      <x:c r="V765" s="80" t="str">
        <x:v>Coleção principal (~1:64)</x:v>
      </x:c>
      <x:c r="W765" s="82" t="str">
        <x:v>https://hotwheels.fandom.com/wiki/Porsche_917</x:v>
      </x:c>
      <x:c r="X765" s="82" t="str">
        <x:v>https://hotwheels.fandom.com/wiki/Porsche_917</x:v>
      </x:c>
    </x:row>
    <x:row r="766">
      <x:c r="A766" s="80" t="str">
        <x:v>Não</x:v>
      </x:c>
      <x:c r="B766" s="80" t="str">
        <x:v>2 — Completar aos poucos</x:v>
      </x:c>
      <x:c r="C766" s="81" t="n">
        <x:v>1973</x:v>
      </x:c>
      <x:c r="D766" s="80" t="str">
        <x:v>Porsche 917</x:v>
      </x:c>
      <x:c r="E766" s="80" t="str">
        <x:v>Porsche 917</x:v>
      </x:c>
      <x:c r="F766" s="82" t="str">
        <x:v>1973 Hot Wheels</x:v>
      </x:c>
      <x:c r="G766" s="80" t="str"/>
      <x:c r="H766" s="80" t="str"/>
      <x:c r="I766" s="83" t="str">
        <x:v>6972</x:v>
      </x:c>
      <x:c r="J766" s="80" t="str">
        <x:v>Enamel Light Blue</x:v>
      </x:c>
      <x:c r="K766" s="82" t="str"/>
      <x:c r="L766" s="82" t="str">
        <x:v>RL</x:v>
      </x:c>
      <x:c r="M766" s="82" t="str">
        <x:v>Unpainted / Metal</x:v>
      </x:c>
      <x:c r="N766" s="82" t="str"/>
      <x:c r="O766" s="82" t="str"/>
      <x:c r="P766" s="82" t="str"/>
      <x:c r="Q766" s="82" t="str"/>
      <x:c r="R766" s="82" t="str">
        <x:v>Outra linha</x:v>
      </x:c>
      <x:c r="S766" s="82" t="str">
        <x:v>Rara</x:v>
      </x:c>
      <x:c r="T766" s="82" t="str">
        <x:v>Lançado</x:v>
      </x:c>
      <x:c r="U766" s="82" t="str"/>
      <x:c r="V766" s="80" t="str">
        <x:v>Coleção principal (~1:64)</x:v>
      </x:c>
      <x:c r="W766" s="82" t="str">
        <x:v>https://hotwheels.fandom.com/wiki/Porsche_917</x:v>
      </x:c>
      <x:c r="X766" s="82" t="str">
        <x:v>https://hotwheels.fandom.com/wiki/Porsche_917</x:v>
      </x:c>
    </x:row>
    <x:row r="767">
      <x:c r="A767" s="80" t="str">
        <x:v>Não</x:v>
      </x:c>
      <x:c r="B767" s="80" t="str">
        <x:v>2 — Completar aos poucos</x:v>
      </x:c>
      <x:c r="C767" s="81" t="n">
        <x:v>1973</x:v>
      </x:c>
      <x:c r="D767" s="80" t="str">
        <x:v>Porsche 917</x:v>
      </x:c>
      <x:c r="E767" s="80" t="str">
        <x:v>Porsche 917</x:v>
      </x:c>
      <x:c r="F767" s="82" t="str">
        <x:v>1973 Hot Wheels</x:v>
      </x:c>
      <x:c r="G767" s="80" t="str"/>
      <x:c r="H767" s="80" t="str"/>
      <x:c r="I767" s="83" t="str">
        <x:v>6972</x:v>
      </x:c>
      <x:c r="J767" s="80" t="str">
        <x:v>Enamel Red</x:v>
      </x:c>
      <x:c r="K767" s="82" t="str"/>
      <x:c r="L767" s="82" t="str">
        <x:v>RL</x:v>
      </x:c>
      <x:c r="M767" s="82" t="str">
        <x:v>Unpainted / Metal</x:v>
      </x:c>
      <x:c r="N767" s="82" t="str"/>
      <x:c r="O767" s="82" t="str"/>
      <x:c r="P767" s="82" t="str"/>
      <x:c r="Q767" s="82" t="str"/>
      <x:c r="R767" s="82" t="str">
        <x:v>Outra linha</x:v>
      </x:c>
      <x:c r="S767" s="82" t="str">
        <x:v>Rara</x:v>
      </x:c>
      <x:c r="T767" s="82" t="str">
        <x:v>Lançado</x:v>
      </x:c>
      <x:c r="U767" s="82" t="str"/>
      <x:c r="V767" s="80" t="str">
        <x:v>Coleção principal (~1:64)</x:v>
      </x:c>
      <x:c r="W767" s="82" t="str">
        <x:v>https://hotwheels.fandom.com/wiki/Porsche_917</x:v>
      </x:c>
      <x:c r="X767" s="82" t="str">
        <x:v>https://hotwheels.fandom.com/wiki/Porsche_917</x:v>
      </x:c>
    </x:row>
    <x:row r="768">
      <x:c r="A768" s="80" t="str">
        <x:v>Não</x:v>
      </x:c>
      <x:c r="B768" s="80" t="str">
        <x:v>2 — Completar aos poucos</x:v>
      </x:c>
      <x:c r="C768" s="81" t="n">
        <x:v>1970</x:v>
      </x:c>
      <x:c r="D768" s="80" t="str">
        <x:v>Porsche 917</x:v>
      </x:c>
      <x:c r="E768" s="80" t="str">
        <x:v>Porsche 917</x:v>
      </x:c>
      <x:c r="F768" s="82" t="str">
        <x:v>Grand Prix</x:v>
      </x:c>
      <x:c r="G768" s="80" t="str"/>
      <x:c r="H768" s="80" t="str"/>
      <x:c r="I768" s="83" t="str">
        <x:v>6416</x:v>
      </x:c>
      <x:c r="J768" s="80" t="str"/>
      <x:c r="K768" s="82" t="str"/>
      <x:c r="L768" s="82" t="str">
        <x:v>RL</x:v>
      </x:c>
      <x:c r="M768" s="82" t="str">
        <x:v>Unpainted / Metal</x:v>
      </x:c>
      <x:c r="N768" s="82" t="str"/>
      <x:c r="O768" s="82" t="str"/>
      <x:c r="P768" s="82" t="str">
        <x:v>USA</x:v>
      </x:c>
      <x:c r="Q768" s="82" t="str"/>
      <x:c r="R768" s="82" t="str">
        <x:v>Outra linha</x:v>
      </x:c>
      <x:c r="S768" s="82" t="str">
        <x:v>Rara</x:v>
      </x:c>
      <x:c r="T768" s="82" t="str">
        <x:v>Lançado</x:v>
      </x:c>
      <x:c r="U768" s="82" t="str"/>
      <x:c r="V768" s="80" t="str">
        <x:v>Coleção principal (~1:64)</x:v>
      </x:c>
      <x:c r="W768" s="82" t="str">
        <x:v>https://hotwheels.fandom.com/wiki/Porsche_917</x:v>
      </x:c>
      <x:c r="X768" s="82" t="str">
        <x:v>https://hotwheels.fandom.com/wiki/Porsche_917</x:v>
      </x:c>
    </x:row>
    <x:row r="769">
      <x:c r="A769" s="80" t="str">
        <x:v>Não</x:v>
      </x:c>
      <x:c r="B769" s="80" t="str">
        <x:v>2 — Completar aos poucos</x:v>
      </x:c>
      <x:c r="C769" s="81" t="n">
        <x:v>1970</x:v>
      </x:c>
      <x:c r="D769" s="80" t="str">
        <x:v>Porsche 917</x:v>
      </x:c>
      <x:c r="E769" s="80" t="str">
        <x:v>Porsche 917</x:v>
      </x:c>
      <x:c r="F769" s="82" t="str">
        <x:v>Grand Prix</x:v>
      </x:c>
      <x:c r="G769" s="80" t="str"/>
      <x:c r="H769" s="80" t="str"/>
      <x:c r="I769" s="83" t="str">
        <x:v>6416</x:v>
      </x:c>
      <x:c r="J769" s="80" t="str">
        <x:v>Gray Enamel</x:v>
      </x:c>
      <x:c r="K769" s="82" t="str"/>
      <x:c r="L769" s="82" t="str">
        <x:v>RL</x:v>
      </x:c>
      <x:c r="M769" s="82" t="str">
        <x:v>Unpainted / Metal</x:v>
      </x:c>
      <x:c r="N769" s="82" t="str"/>
      <x:c r="O769" s="82" t="str"/>
      <x:c r="P769" s="82" t="str">
        <x:v>USA</x:v>
      </x:c>
      <x:c r="Q769" s="82" t="str"/>
      <x:c r="R769" s="82" t="str">
        <x:v>Outra linha</x:v>
      </x:c>
      <x:c r="S769" s="82" t="str">
        <x:v>Rara</x:v>
      </x:c>
      <x:c r="T769" s="82" t="str">
        <x:v>Lançado</x:v>
      </x:c>
      <x:c r="U769" s="82" t="str"/>
      <x:c r="V769" s="80" t="str">
        <x:v>Coleção principal (~1:64)</x:v>
      </x:c>
      <x:c r="W769" s="82" t="str">
        <x:v>https://hotwheels.fandom.com/wiki/Porsche_917</x:v>
      </x:c>
      <x:c r="X769" s="82" t="str">
        <x:v>https://hotwheels.fandom.com/wiki/Porsche_917</x:v>
      </x:c>
    </x:row>
    <x:row r="770">
      <x:c r="A770" s="80" t="str">
        <x:v>Não</x:v>
      </x:c>
      <x:c r="B770" s="80" t="str">
        <x:v>2 — Completar aos poucos</x:v>
      </x:c>
      <x:c r="C770" s="81" t="n">
        <x:v>1970</x:v>
      </x:c>
      <x:c r="D770" s="80" t="str">
        <x:v>Porsche 917</x:v>
      </x:c>
      <x:c r="E770" s="80" t="str">
        <x:v>Porsche 917</x:v>
      </x:c>
      <x:c r="F770" s="82" t="str">
        <x:v>Grand Prix</x:v>
      </x:c>
      <x:c r="G770" s="80" t="str"/>
      <x:c r="H770" s="80" t="str"/>
      <x:c r="I770" s="83" t="str">
        <x:v>6416</x:v>
      </x:c>
      <x:c r="J770" s="80" t="str">
        <x:v>Spectraflame Aqua</x:v>
      </x:c>
      <x:c r="K770" s="82" t="str"/>
      <x:c r="L770" s="82" t="str">
        <x:v>RL</x:v>
      </x:c>
      <x:c r="M770" s="82" t="str">
        <x:v>Unpainted / Metal</x:v>
      </x:c>
      <x:c r="N770" s="82" t="str"/>
      <x:c r="O770" s="82" t="str"/>
      <x:c r="P770" s="82" t="str">
        <x:v>USA</x:v>
      </x:c>
      <x:c r="Q770" s="82" t="str"/>
      <x:c r="R770" s="82" t="str">
        <x:v>Outra linha</x:v>
      </x:c>
      <x:c r="S770" s="82" t="str">
        <x:v>Rara</x:v>
      </x:c>
      <x:c r="T770" s="82" t="str">
        <x:v>Lançado</x:v>
      </x:c>
      <x:c r="U770" s="82" t="str"/>
      <x:c r="V770" s="80" t="str">
        <x:v>Coleção principal (~1:64)</x:v>
      </x:c>
      <x:c r="W770" s="82" t="str">
        <x:v>https://hotwheels.fandom.com/wiki/Porsche_917</x:v>
      </x:c>
      <x:c r="X770" s="82" t="str">
        <x:v>https://hotwheels.fandom.com/wiki/Porsche_917</x:v>
      </x:c>
    </x:row>
    <x:row r="771">
      <x:c r="A771" s="80" t="str">
        <x:v>Não</x:v>
      </x:c>
      <x:c r="B771" s="80" t="str">
        <x:v>2 — Completar aos poucos</x:v>
      </x:c>
      <x:c r="C771" s="81" t="n">
        <x:v>1970</x:v>
      </x:c>
      <x:c r="D771" s="80" t="str">
        <x:v>Porsche 917</x:v>
      </x:c>
      <x:c r="E771" s="80" t="str">
        <x:v>Porsche 917</x:v>
      </x:c>
      <x:c r="F771" s="82" t="str">
        <x:v>Grand Prix</x:v>
      </x:c>
      <x:c r="G771" s="80" t="str"/>
      <x:c r="H771" s="80" t="str"/>
      <x:c r="I771" s="83" t="str">
        <x:v>6416</x:v>
      </x:c>
      <x:c r="J771" s="80" t="str">
        <x:v>Spectraflame Blue</x:v>
      </x:c>
      <x:c r="K771" s="82" t="str"/>
      <x:c r="L771" s="82" t="str">
        <x:v>RL</x:v>
      </x:c>
      <x:c r="M771" s="82" t="str">
        <x:v>Unpainted / Metal</x:v>
      </x:c>
      <x:c r="N771" s="82" t="str"/>
      <x:c r="O771" s="82" t="str"/>
      <x:c r="P771" s="82" t="str">
        <x:v>USA</x:v>
      </x:c>
      <x:c r="Q771" s="82" t="str"/>
      <x:c r="R771" s="82" t="str">
        <x:v>Outra linha</x:v>
      </x:c>
      <x:c r="S771" s="82" t="str">
        <x:v>Rara</x:v>
      </x:c>
      <x:c r="T771" s="82" t="str">
        <x:v>Lançado</x:v>
      </x:c>
      <x:c r="U771" s="82" t="str"/>
      <x:c r="V771" s="80" t="str">
        <x:v>Coleção principal (~1:64)</x:v>
      </x:c>
      <x:c r="W771" s="82" t="str">
        <x:v>https://hotwheels.fandom.com/wiki/Porsche_917</x:v>
      </x:c>
      <x:c r="X771" s="82" t="str">
        <x:v>https://hotwheels.fandom.com/wiki/Porsche_917</x:v>
      </x:c>
    </x:row>
    <x:row r="772">
      <x:c r="A772" s="80" t="str">
        <x:v>Não</x:v>
      </x:c>
      <x:c r="B772" s="80" t="str">
        <x:v>2 — Completar aos poucos</x:v>
      </x:c>
      <x:c r="C772" s="81" t="n">
        <x:v>1970</x:v>
      </x:c>
      <x:c r="D772" s="80" t="str">
        <x:v>Porsche 917</x:v>
      </x:c>
      <x:c r="E772" s="80" t="str">
        <x:v>Porsche 917</x:v>
      </x:c>
      <x:c r="F772" s="82" t="str">
        <x:v>Grand Prix</x:v>
      </x:c>
      <x:c r="G772" s="80" t="str"/>
      <x:c r="H772" s="80" t="str"/>
      <x:c r="I772" s="83" t="str">
        <x:v>6416</x:v>
      </x:c>
      <x:c r="J772" s="80" t="str">
        <x:v>Spectraflame Green</x:v>
      </x:c>
      <x:c r="K772" s="82" t="str"/>
      <x:c r="L772" s="82" t="str">
        <x:v>RL</x:v>
      </x:c>
      <x:c r="M772" s="82" t="str">
        <x:v>Unpainted / Metal</x:v>
      </x:c>
      <x:c r="N772" s="82" t="str"/>
      <x:c r="O772" s="82" t="str"/>
      <x:c r="P772" s="82" t="str">
        <x:v>USA</x:v>
      </x:c>
      <x:c r="Q772" s="82" t="str"/>
      <x:c r="R772" s="82" t="str">
        <x:v>Outra linha</x:v>
      </x:c>
      <x:c r="S772" s="82" t="str">
        <x:v>Rara</x:v>
      </x:c>
      <x:c r="T772" s="82" t="str">
        <x:v>Lançado</x:v>
      </x:c>
      <x:c r="U772" s="82" t="str"/>
      <x:c r="V772" s="80" t="str">
        <x:v>Coleção principal (~1:64)</x:v>
      </x:c>
      <x:c r="W772" s="82" t="str">
        <x:v>https://hotwheels.fandom.com/wiki/Porsche_917</x:v>
      </x:c>
      <x:c r="X772" s="82" t="str">
        <x:v>https://hotwheels.fandom.com/wiki/Porsche_917</x:v>
      </x:c>
    </x:row>
    <x:row r="773">
      <x:c r="A773" s="80" t="str">
        <x:v>Não</x:v>
      </x:c>
      <x:c r="B773" s="80" t="str">
        <x:v>2 — Completar aos poucos</x:v>
      </x:c>
      <x:c r="C773" s="81" t="n">
        <x:v>1970</x:v>
      </x:c>
      <x:c r="D773" s="80" t="str">
        <x:v>Porsche 917</x:v>
      </x:c>
      <x:c r="E773" s="80" t="str">
        <x:v>Porsche 917</x:v>
      </x:c>
      <x:c r="F773" s="82" t="str">
        <x:v>Grand Prix</x:v>
      </x:c>
      <x:c r="G773" s="80" t="str"/>
      <x:c r="H773" s="80" t="str"/>
      <x:c r="I773" s="83" t="str">
        <x:v>6416</x:v>
      </x:c>
      <x:c r="J773" s="80" t="str">
        <x:v>Spectraflame Hot Pink</x:v>
      </x:c>
      <x:c r="K773" s="82" t="str"/>
      <x:c r="L773" s="82" t="str">
        <x:v>RL</x:v>
      </x:c>
      <x:c r="M773" s="82" t="str">
        <x:v>Unpainted / Metal</x:v>
      </x:c>
      <x:c r="N773" s="82" t="str"/>
      <x:c r="O773" s="82" t="str"/>
      <x:c r="P773" s="82" t="str">
        <x:v>USA</x:v>
      </x:c>
      <x:c r="Q773" s="82" t="str"/>
      <x:c r="R773" s="82" t="str">
        <x:v>Outra linha</x:v>
      </x:c>
      <x:c r="S773" s="82" t="str">
        <x:v>Rara</x:v>
      </x:c>
      <x:c r="T773" s="82" t="str">
        <x:v>Lançado</x:v>
      </x:c>
      <x:c r="U773" s="82" t="str"/>
      <x:c r="V773" s="80" t="str">
        <x:v>Coleção principal (~1:64)</x:v>
      </x:c>
      <x:c r="W773" s="82" t="str">
        <x:v>https://hotwheels.fandom.com/wiki/Porsche_917</x:v>
      </x:c>
      <x:c r="X773" s="82" t="str">
        <x:v>https://hotwheels.fandom.com/wiki/Porsche_917</x:v>
      </x:c>
    </x:row>
    <x:row r="774">
      <x:c r="A774" s="80" t="str">
        <x:v>Não</x:v>
      </x:c>
      <x:c r="B774" s="80" t="str">
        <x:v>2 — Completar aos poucos</x:v>
      </x:c>
      <x:c r="C774" s="81" t="n">
        <x:v>1970</x:v>
      </x:c>
      <x:c r="D774" s="80" t="str">
        <x:v>Porsche 917</x:v>
      </x:c>
      <x:c r="E774" s="80" t="str">
        <x:v>Porsche 917</x:v>
      </x:c>
      <x:c r="F774" s="82" t="str">
        <x:v>Grand Prix</x:v>
      </x:c>
      <x:c r="G774" s="80" t="str"/>
      <x:c r="H774" s="80" t="str"/>
      <x:c r="I774" s="83" t="str">
        <x:v>6416</x:v>
      </x:c>
      <x:c r="J774" s="80" t="str">
        <x:v>Spectraflame Light Green</x:v>
      </x:c>
      <x:c r="K774" s="82" t="str"/>
      <x:c r="L774" s="82" t="str">
        <x:v>RL</x:v>
      </x:c>
      <x:c r="M774" s="82" t="str">
        <x:v>Unpainted / Metal</x:v>
      </x:c>
      <x:c r="N774" s="82" t="str"/>
      <x:c r="O774" s="82" t="str"/>
      <x:c r="P774" s="82" t="str">
        <x:v>USA</x:v>
      </x:c>
      <x:c r="Q774" s="82" t="str"/>
      <x:c r="R774" s="82" t="str">
        <x:v>Outra linha</x:v>
      </x:c>
      <x:c r="S774" s="82" t="str">
        <x:v>Rara</x:v>
      </x:c>
      <x:c r="T774" s="82" t="str">
        <x:v>Lançado</x:v>
      </x:c>
      <x:c r="U774" s="82" t="str"/>
      <x:c r="V774" s="80" t="str">
        <x:v>Coleção principal (~1:64)</x:v>
      </x:c>
      <x:c r="W774" s="82" t="str">
        <x:v>https://hotwheels.fandom.com/wiki/Porsche_917</x:v>
      </x:c>
      <x:c r="X774" s="82" t="str">
        <x:v>https://hotwheels.fandom.com/wiki/Porsche_917</x:v>
      </x:c>
    </x:row>
    <x:row r="775">
      <x:c r="A775" s="80" t="str">
        <x:v>Não</x:v>
      </x:c>
      <x:c r="B775" s="80" t="str">
        <x:v>2 — Completar aos poucos</x:v>
      </x:c>
      <x:c r="C775" s="81" t="n">
        <x:v>1970</x:v>
      </x:c>
      <x:c r="D775" s="80" t="str">
        <x:v>Porsche 917</x:v>
      </x:c>
      <x:c r="E775" s="80" t="str">
        <x:v>Porsche 917</x:v>
      </x:c>
      <x:c r="F775" s="82" t="str">
        <x:v>Grand Prix</x:v>
      </x:c>
      <x:c r="G775" s="80" t="str"/>
      <x:c r="H775" s="80" t="str"/>
      <x:c r="I775" s="83" t="str">
        <x:v>6416</x:v>
      </x:c>
      <x:c r="J775" s="80" t="str">
        <x:v>Spectraflame Lime Green</x:v>
      </x:c>
      <x:c r="K775" s="82" t="str"/>
      <x:c r="L775" s="82" t="str">
        <x:v>RL</x:v>
      </x:c>
      <x:c r="M775" s="82" t="str">
        <x:v>Unpainted / Metal</x:v>
      </x:c>
      <x:c r="N775" s="82" t="str"/>
      <x:c r="O775" s="82" t="str"/>
      <x:c r="P775" s="82" t="str">
        <x:v>USA</x:v>
      </x:c>
      <x:c r="Q775" s="82" t="str"/>
      <x:c r="R775" s="82" t="str">
        <x:v>Outra linha</x:v>
      </x:c>
      <x:c r="S775" s="82" t="str">
        <x:v>Rara</x:v>
      </x:c>
      <x:c r="T775" s="82" t="str">
        <x:v>Lançado</x:v>
      </x:c>
      <x:c r="U775" s="82" t="str"/>
      <x:c r="V775" s="80" t="str">
        <x:v>Coleção principal (~1:64)</x:v>
      </x:c>
      <x:c r="W775" s="82" t="str">
        <x:v>https://hotwheels.fandom.com/wiki/Porsche_917</x:v>
      </x:c>
      <x:c r="X775" s="82" t="str">
        <x:v>https://hotwheels.fandom.com/wiki/Porsche_917</x:v>
      </x:c>
    </x:row>
    <x:row r="776">
      <x:c r="A776" s="80" t="str">
        <x:v>Não</x:v>
      </x:c>
      <x:c r="B776" s="80" t="str">
        <x:v>2 — Completar aos poucos</x:v>
      </x:c>
      <x:c r="C776" s="81" t="n">
        <x:v>1970</x:v>
      </x:c>
      <x:c r="D776" s="80" t="str">
        <x:v>Porsche 917</x:v>
      </x:c>
      <x:c r="E776" s="80" t="str">
        <x:v>Porsche 917</x:v>
      </x:c>
      <x:c r="F776" s="82" t="str">
        <x:v>Grand Prix</x:v>
      </x:c>
      <x:c r="G776" s="80" t="str"/>
      <x:c r="H776" s="80" t="str"/>
      <x:c r="I776" s="83" t="str">
        <x:v>6416</x:v>
      </x:c>
      <x:c r="J776" s="80" t="str">
        <x:v>Spectraflame Magenta</x:v>
      </x:c>
      <x:c r="K776" s="82" t="str"/>
      <x:c r="L776" s="82" t="str">
        <x:v>RL</x:v>
      </x:c>
      <x:c r="M776" s="82" t="str">
        <x:v>Unpainted / Metal</x:v>
      </x:c>
      <x:c r="N776" s="82" t="str"/>
      <x:c r="O776" s="82" t="str"/>
      <x:c r="P776" s="82" t="str">
        <x:v>USA</x:v>
      </x:c>
      <x:c r="Q776" s="82" t="str"/>
      <x:c r="R776" s="82" t="str">
        <x:v>Outra linha</x:v>
      </x:c>
      <x:c r="S776" s="82" t="str">
        <x:v>Rara</x:v>
      </x:c>
      <x:c r="T776" s="82" t="str">
        <x:v>Lançado</x:v>
      </x:c>
      <x:c r="U776" s="82" t="str"/>
      <x:c r="V776" s="80" t="str">
        <x:v>Coleção principal (~1:64)</x:v>
      </x:c>
      <x:c r="W776" s="82" t="str">
        <x:v>https://hotwheels.fandom.com/wiki/Porsche_917</x:v>
      </x:c>
      <x:c r="X776" s="82" t="str">
        <x:v>https://hotwheels.fandom.com/wiki/Porsche_917</x:v>
      </x:c>
    </x:row>
    <x:row r="777">
      <x:c r="A777" s="80" t="str">
        <x:v>Não</x:v>
      </x:c>
      <x:c r="B777" s="80" t="str">
        <x:v>2 — Completar aos poucos</x:v>
      </x:c>
      <x:c r="C777" s="81" t="n">
        <x:v>1970</x:v>
      </x:c>
      <x:c r="D777" s="80" t="str">
        <x:v>Porsche 917</x:v>
      </x:c>
      <x:c r="E777" s="80" t="str">
        <x:v>Porsche 917</x:v>
      </x:c>
      <x:c r="F777" s="82" t="str">
        <x:v>Grand Prix</x:v>
      </x:c>
      <x:c r="G777" s="80" t="str"/>
      <x:c r="H777" s="80" t="str"/>
      <x:c r="I777" s="83" t="str">
        <x:v>6416</x:v>
      </x:c>
      <x:c r="J777" s="80" t="str">
        <x:v>Spectraflame Purple</x:v>
      </x:c>
      <x:c r="K777" s="82" t="str"/>
      <x:c r="L777" s="82" t="str">
        <x:v>RL</x:v>
      </x:c>
      <x:c r="M777" s="82" t="str">
        <x:v>Unpainted / Metal</x:v>
      </x:c>
      <x:c r="N777" s="82" t="str"/>
      <x:c r="O777" s="82" t="str"/>
      <x:c r="P777" s="82" t="str">
        <x:v>Hong Kong</x:v>
      </x:c>
      <x:c r="Q777" s="82" t="str"/>
      <x:c r="R777" s="82" t="str">
        <x:v>Outra linha</x:v>
      </x:c>
      <x:c r="S777" s="82" t="str">
        <x:v>Rara</x:v>
      </x:c>
      <x:c r="T777" s="82" t="str">
        <x:v>Lançado</x:v>
      </x:c>
      <x:c r="U777" s="82" t="str"/>
      <x:c r="V777" s="80" t="str">
        <x:v>Coleção principal (~1:64)</x:v>
      </x:c>
      <x:c r="W777" s="82" t="str">
        <x:v>https://hotwheels.fandom.com/wiki/Porsche_917</x:v>
      </x:c>
      <x:c r="X777" s="82" t="str">
        <x:v>https://hotwheels.fandom.com/wiki/Porsche_917</x:v>
      </x:c>
    </x:row>
    <x:row r="778">
      <x:c r="A778" s="80" t="str">
        <x:v>Não</x:v>
      </x:c>
      <x:c r="B778" s="80" t="str">
        <x:v>2 — Completar aos poucos</x:v>
      </x:c>
      <x:c r="C778" s="81" t="n">
        <x:v>1970</x:v>
      </x:c>
      <x:c r="D778" s="80" t="str">
        <x:v>Porsche 917</x:v>
      </x:c>
      <x:c r="E778" s="80" t="str">
        <x:v>Porsche 917</x:v>
      </x:c>
      <x:c r="F778" s="82" t="str">
        <x:v>Grand Prix</x:v>
      </x:c>
      <x:c r="G778" s="80" t="str"/>
      <x:c r="H778" s="80" t="str"/>
      <x:c r="I778" s="83" t="str">
        <x:v>6416</x:v>
      </x:c>
      <x:c r="J778" s="80" t="str">
        <x:v>Spectraflame Red</x:v>
      </x:c>
      <x:c r="K778" s="82" t="str"/>
      <x:c r="L778" s="82" t="str">
        <x:v>RL</x:v>
      </x:c>
      <x:c r="M778" s="82" t="str">
        <x:v>Unpainted / Metal</x:v>
      </x:c>
      <x:c r="N778" s="82" t="str"/>
      <x:c r="O778" s="82" t="str"/>
      <x:c r="P778" s="82" t="str">
        <x:v>USA</x:v>
      </x:c>
      <x:c r="Q778" s="82" t="str"/>
      <x:c r="R778" s="82" t="str">
        <x:v>Outra linha</x:v>
      </x:c>
      <x:c r="S778" s="82" t="str">
        <x:v>Rara</x:v>
      </x:c>
      <x:c r="T778" s="82" t="str">
        <x:v>Lançado</x:v>
      </x:c>
      <x:c r="U778" s="82" t="str"/>
      <x:c r="V778" s="80" t="str">
        <x:v>Coleção principal (~1:64)</x:v>
      </x:c>
      <x:c r="W778" s="82" t="str">
        <x:v>https://hotwheels.fandom.com/wiki/Porsche_917</x:v>
      </x:c>
      <x:c r="X778" s="82" t="str">
        <x:v>https://hotwheels.fandom.com/wiki/Porsche_917</x:v>
      </x:c>
    </x:row>
    <x:row r="779">
      <x:c r="A779" s="80" t="str">
        <x:v>Não</x:v>
      </x:c>
      <x:c r="B779" s="80" t="str">
        <x:v>2 — Completar aos poucos</x:v>
      </x:c>
      <x:c r="C779" s="81" t="n">
        <x:v>1970</x:v>
      </x:c>
      <x:c r="D779" s="80" t="str">
        <x:v>Porsche 917</x:v>
      </x:c>
      <x:c r="E779" s="80" t="str">
        <x:v>Porsche 917</x:v>
      </x:c>
      <x:c r="F779" s="82" t="str">
        <x:v>Grand Prix</x:v>
      </x:c>
      <x:c r="G779" s="80" t="str"/>
      <x:c r="H779" s="80" t="str"/>
      <x:c r="I779" s="83" t="str">
        <x:v>6416</x:v>
      </x:c>
      <x:c r="J779" s="80" t="str">
        <x:v>Spectraflame Rose</x:v>
      </x:c>
      <x:c r="K779" s="82" t="str"/>
      <x:c r="L779" s="82" t="str">
        <x:v>RL</x:v>
      </x:c>
      <x:c r="M779" s="82" t="str">
        <x:v>Unpainted / Metal</x:v>
      </x:c>
      <x:c r="N779" s="82" t="str"/>
      <x:c r="O779" s="82" t="str"/>
      <x:c r="P779" s="82" t="str">
        <x:v>USA</x:v>
      </x:c>
      <x:c r="Q779" s="82" t="str"/>
      <x:c r="R779" s="82" t="str">
        <x:v>Outra linha</x:v>
      </x:c>
      <x:c r="S779" s="82" t="str">
        <x:v>Rara</x:v>
      </x:c>
      <x:c r="T779" s="82" t="str">
        <x:v>Lançado</x:v>
      </x:c>
      <x:c r="U779" s="82" t="str"/>
      <x:c r="V779" s="80" t="str">
        <x:v>Coleção principal (~1:64)</x:v>
      </x:c>
      <x:c r="W779" s="82" t="str">
        <x:v>https://hotwheels.fandom.com/wiki/Porsche_917</x:v>
      </x:c>
      <x:c r="X779" s="82" t="str">
        <x:v>https://hotwheels.fandom.com/wiki/Porsche_917</x:v>
      </x:c>
    </x:row>
    <x:row r="780">
      <x:c r="A780" s="80" t="str">
        <x:v>Não</x:v>
      </x:c>
      <x:c r="B780" s="80" t="str">
        <x:v>2 — Completar aos poucos</x:v>
      </x:c>
      <x:c r="C780" s="81" t="n">
        <x:v>1970</x:v>
      </x:c>
      <x:c r="D780" s="80" t="str">
        <x:v>Porsche 917</x:v>
      </x:c>
      <x:c r="E780" s="80" t="str">
        <x:v>Porsche 917</x:v>
      </x:c>
      <x:c r="F780" s="82" t="str">
        <x:v>Grand Prix</x:v>
      </x:c>
      <x:c r="G780" s="80" t="str"/>
      <x:c r="H780" s="80" t="str"/>
      <x:c r="I780" s="83" t="str">
        <x:v>6416</x:v>
      </x:c>
      <x:c r="J780" s="80" t="str">
        <x:v>Spectraflame Salmon</x:v>
      </x:c>
      <x:c r="K780" s="82" t="str"/>
      <x:c r="L780" s="82" t="str">
        <x:v>RL</x:v>
      </x:c>
      <x:c r="M780" s="82" t="str">
        <x:v>Unpainted / Metal</x:v>
      </x:c>
      <x:c r="N780" s="82" t="str"/>
      <x:c r="O780" s="82" t="str"/>
      <x:c r="P780" s="82" t="str">
        <x:v>USA</x:v>
      </x:c>
      <x:c r="Q780" s="82" t="str"/>
      <x:c r="R780" s="82" t="str">
        <x:v>Outra linha</x:v>
      </x:c>
      <x:c r="S780" s="82" t="str">
        <x:v>Rara</x:v>
      </x:c>
      <x:c r="T780" s="82" t="str">
        <x:v>Lançado</x:v>
      </x:c>
      <x:c r="U780" s="82" t="str"/>
      <x:c r="V780" s="80" t="str">
        <x:v>Coleção principal (~1:64)</x:v>
      </x:c>
      <x:c r="W780" s="82" t="str">
        <x:v>https://hotwheels.fandom.com/wiki/Porsche_917</x:v>
      </x:c>
      <x:c r="X780" s="82" t="str">
        <x:v>https://hotwheels.fandom.com/wiki/Porsche_917</x:v>
      </x:c>
    </x:row>
    <x:row r="781">
      <x:c r="A781" s="80" t="str">
        <x:v>Não</x:v>
      </x:c>
      <x:c r="B781" s="80" t="str">
        <x:v>2 — Completar aos poucos</x:v>
      </x:c>
      <x:c r="C781" s="81" t="n">
        <x:v>1970</x:v>
      </x:c>
      <x:c r="D781" s="80" t="str">
        <x:v>Porsche 917</x:v>
      </x:c>
      <x:c r="E781" s="80" t="str">
        <x:v>Porsche 917</x:v>
      </x:c>
      <x:c r="F781" s="82" t="str">
        <x:v>Grand Prix</x:v>
      </x:c>
      <x:c r="G781" s="80" t="str"/>
      <x:c r="H781" s="80" t="str"/>
      <x:c r="I781" s="83" t="str">
        <x:v>6416</x:v>
      </x:c>
      <x:c r="J781" s="80" t="str">
        <x:v>Spectraflame Yellow</x:v>
      </x:c>
      <x:c r="K781" s="82" t="str"/>
      <x:c r="L781" s="82" t="str">
        <x:v>RL</x:v>
      </x:c>
      <x:c r="M781" s="82" t="str">
        <x:v>Unpainted / Metal</x:v>
      </x:c>
      <x:c r="N781" s="82" t="str"/>
      <x:c r="O781" s="82" t="str"/>
      <x:c r="P781" s="82" t="str">
        <x:v>USA</x:v>
      </x:c>
      <x:c r="Q781" s="82" t="str"/>
      <x:c r="R781" s="82" t="str">
        <x:v>Outra linha</x:v>
      </x:c>
      <x:c r="S781" s="82" t="str">
        <x:v>Rara</x:v>
      </x:c>
      <x:c r="T781" s="82" t="str">
        <x:v>Lançado</x:v>
      </x:c>
      <x:c r="U781" s="82" t="str"/>
      <x:c r="V781" s="80" t="str">
        <x:v>Coleção principal (~1:64)</x:v>
      </x:c>
      <x:c r="W781" s="82" t="str">
        <x:v>https://hotwheels.fandom.com/wiki/Porsche_917</x:v>
      </x:c>
      <x:c r="X781" s="82" t="str">
        <x:v>https://hotwheels.fandom.com/wiki/Porsche_917</x:v>
      </x:c>
    </x:row>
    <x:row r="782">
      <x:c r="A782" s="80" t="str">
        <x:v>Não</x:v>
      </x:c>
      <x:c r="B782" s="80" t="str">
        <x:v>2 — Completar aos poucos</x:v>
      </x:c>
      <x:c r="C782" s="81" t="str"/>
      <x:c r="D782" s="80" t="str">
        <x:v>P-911</x:v>
      </x:c>
      <x:c r="E782" s="80" t="str">
        <x:v>P-911</x:v>
      </x:c>
      <x:c r="F782" s="82" t="str">
        <x:v>Leo Hot Wheels</x:v>
      </x:c>
      <x:c r="G782" s="80" t="str"/>
      <x:c r="H782" s="80" t="str"/>
      <x:c r="I782" s="83" t="str"/>
      <x:c r="J782" s="80" t="str"/>
      <x:c r="K782" s="82" t="str"/>
      <x:c r="L782" s="82" t="str">
        <x:v>BW</x:v>
      </x:c>
      <x:c r="M782" s="82" t="str">
        <x:v>Unpainted / Metal</x:v>
      </x:c>
      <x:c r="N782" s="82" t="str"/>
      <x:c r="O782" s="82" t="str"/>
      <x:c r="P782" s="82" t="str"/>
      <x:c r="Q782" s="82" t="str"/>
      <x:c r="R782" s="82" t="str">
        <x:v>Outra linha</x:v>
      </x:c>
      <x:c r="S782" s="82" t="str">
        <x:v>Comum / atual</x:v>
      </x:c>
      <x:c r="T782" s="82" t="str">
        <x:v>Ano não documentado</x:v>
      </x:c>
      <x:c r="U782" s="82" t="str"/>
      <x:c r="V782" s="80" t="str">
        <x:v>Coleção principal (~1:64)</x:v>
      </x:c>
      <x:c r="W782" s="82" t="str">
        <x:v>https://hotwheels.fandom.com/wiki/P-911</x:v>
      </x:c>
      <x:c r="X782" s="82" t="str">
        <x:v>https://hotwheels.fandom.com/wiki/P-911</x:v>
      </x:c>
    </x:row>
    <x:row r="783">
      <x:c r="A783" s="80" t="str">
        <x:v>Não</x:v>
      </x:c>
      <x:c r="B783" s="80" t="str">
        <x:v>2 — Completar aos poucos</x:v>
      </x:c>
      <x:c r="C783" s="81" t="str"/>
      <x:c r="D783" s="80" t="str">
        <x:v>P-911</x:v>
      </x:c>
      <x:c r="E783" s="80" t="str">
        <x:v>P-911</x:v>
      </x:c>
      <x:c r="F783" s="82" t="str">
        <x:v>Leo Hot Wheels</x:v>
      </x:c>
      <x:c r="G783" s="80" t="str"/>
      <x:c r="H783" s="80" t="str"/>
      <x:c r="I783" s="83" t="str"/>
      <x:c r="J783" s="80" t="str">
        <x:v>Black</x:v>
      </x:c>
      <x:c r="K783" s="82" t="str">
        <x:v>Yellow stripes on roof, Bolt &amp; "95" hood</x:v>
      </x:c>
      <x:c r="L783" s="82" t="str">
        <x:v>BW</x:v>
      </x:c>
      <x:c r="M783" s="82" t="str">
        <x:v>Unpainted / Metal]]</x:v>
      </x:c>
      <x:c r="N783" s="82" t="str">
        <x:v>Dark tint</x:v>
      </x:c>
      <x:c r="O783" s="82" t="str">
        <x:v>Black</x:v>
      </x:c>
      <x:c r="P783" s="82" t="str">
        <x:v>no CoO</x:v>
      </x:c>
      <x:c r="Q783" s="82" t="str"/>
      <x:c r="R783" s="82" t="str">
        <x:v>Outra linha</x:v>
      </x:c>
      <x:c r="S783" s="82" t="str">
        <x:v>Comum / atual</x:v>
      </x:c>
      <x:c r="T783" s="82" t="str">
        <x:v>Ano não documentado</x:v>
      </x:c>
      <x:c r="U783" s="82" t="str">
        <x:v>no casting name on base</x:v>
      </x:c>
      <x:c r="V783" s="80" t="str">
        <x:v>Coleção principal (~1:64)</x:v>
      </x:c>
      <x:c r="W783" s="82" t="str">
        <x:v>https://hotwheels.fandom.com/wiki/P-911</x:v>
      </x:c>
      <x:c r="X783" s="82" t="str">
        <x:v>https://hotwheels.fandom.com/wiki/P-911</x:v>
      </x:c>
    </x:row>
    <x:row r="784">
      <x:c r="A784" s="80" t="str">
        <x:v>Não</x:v>
      </x:c>
      <x:c r="B784" s="80" t="str">
        <x:v>2 — Completar aos poucos</x:v>
      </x:c>
      <x:c r="C784" s="81" t="str"/>
      <x:c r="D784" s="80" t="str">
        <x:v>P-911</x:v>
      </x:c>
      <x:c r="E784" s="80" t="str">
        <x:v>P-911</x:v>
      </x:c>
      <x:c r="F784" s="82" t="str">
        <x:v>Leo Hot Wheels</x:v>
      </x:c>
      <x:c r="G784" s="80" t="str"/>
      <x:c r="H784" s="80" t="str"/>
      <x:c r="I784" s="83" t="str"/>
      <x:c r="J784" s="80" t="str">
        <x:v>Red</x:v>
      </x:c>
      <x:c r="K784" s="82" t="str">
        <x:v>Yellow tampo stripes on roof, bolt "95" on hood</x:v>
      </x:c>
      <x:c r="L784" s="82" t="str">
        <x:v>BW</x:v>
      </x:c>
      <x:c r="M784" s="82" t="str">
        <x:v>Unpainted / Metal]]</x:v>
      </x:c>
      <x:c r="N784" s="82" t="str"/>
      <x:c r="O784" s="82" t="str"/>
      <x:c r="P784" s="82" t="str">
        <x:v>No CoO</x:v>
      </x:c>
      <x:c r="Q784" s="82" t="str"/>
      <x:c r="R784" s="82" t="str">
        <x:v>Outra linha</x:v>
      </x:c>
      <x:c r="S784" s="82" t="str">
        <x:v>Comum / atual</x:v>
      </x:c>
      <x:c r="T784" s="82" t="str">
        <x:v>Ano não documentado</x:v>
      </x:c>
      <x:c r="U784" s="82" t="str">
        <x:v>no name on base</x:v>
      </x:c>
      <x:c r="V784" s="80" t="str">
        <x:v>Coleção principal (~1:64)</x:v>
      </x:c>
      <x:c r="W784" s="82" t="str">
        <x:v>https://hotwheels.fandom.com/wiki/P-911</x:v>
      </x:c>
      <x:c r="X784" s="82" t="str">
        <x:v>https://hotwheels.fandom.com/wiki/P-911</x:v>
      </x:c>
    </x:row>
    <x:row r="785">
      <x:c r="A785" s="80" t="str">
        <x:v>Não</x:v>
      </x:c>
      <x:c r="B785" s="80" t="str">
        <x:v>2 — Completar aos poucos</x:v>
      </x:c>
      <x:c r="C785" s="81" t="str"/>
      <x:c r="D785" s="80" t="str">
        <x:v>Upfront 924</x:v>
      </x:c>
      <x:c r="E785" s="80" t="str">
        <x:v>Upfront 924</x:v>
      </x:c>
      <x:c r="F785" s="82" t="str"/>
      <x:c r="G785" s="80" t="str"/>
      <x:c r="H785" s="80" t="str"/>
      <x:c r="I785" s="83" t="str"/>
      <x:c r="J785" s="80" t="str">
        <x:v>Gold Metalflake</x:v>
      </x:c>
      <x:c r="K785" s="82" t="str">
        <x:v>N/A</x:v>
      </x:c>
      <x:c r="L785" s="82" t="str">
        <x:v>WW</x:v>
      </x:c>
      <x:c r="M785" s="82" t="str">
        <x:v>Unpainted / Metal</x:v>
      </x:c>
      <x:c r="N785" s="82" t="str">
        <x:v>Smoke</x:v>
      </x:c>
      <x:c r="O785" s="82" t="str"/>
      <x:c r="P785" s="82" t="str">
        <x:v>Mexico</x:v>
      </x:c>
      <x:c r="Q785" s="82" t="str"/>
      <x:c r="R785" s="82" t="str">
        <x:v>Outra linha</x:v>
      </x:c>
      <x:c r="S785" s="82" t="str">
        <x:v>Comum / atual</x:v>
      </x:c>
      <x:c r="T785" s="82" t="str">
        <x:v>Ano não documentado</x:v>
      </x:c>
      <x:c r="U785" s="82" t="str"/>
      <x:c r="V785" s="80" t="str">
        <x:v>Coleção principal (~1:64)</x:v>
      </x:c>
      <x:c r="W785" s="82" t="str">
        <x:v>https://hotwheels.fandom.com/wiki/Upfront_924</x:v>
      </x:c>
      <x:c r="X785" s="82" t="str">
        <x:v>https://hotwheels.fandom.com/wiki/Upfront_924</x:v>
      </x:c>
    </x:row>
    <x:row r="786">
      <x:c r="A786" s="80" t="str">
        <x:v>Não</x:v>
      </x:c>
      <x:c r="B786" s="80" t="str">
        <x:v>3 — Caça de longo prazo</x:v>
      </x:c>
      <x:c r="C786" s="81" t="n">
        <x:v>2026</x:v>
      </x:c>
      <x:c r="D786" s="80" t="str">
        <x:v>1988 Porsche 911 Targa Turbo</x:v>
      </x:c>
      <x:c r="E786" s="80" t="str">
        <x:v>1988 Porsche 911 Targa Turbo</x:v>
      </x:c>
      <x:c r="F786" s="82" t="str">
        <x:v>HWC / RLC</x:v>
      </x:c>
      <x:c r="G786" s="80" t="str"/>
      <x:c r="H786" s="80" t="str"/>
      <x:c r="I786" s="83" t="str"/>
      <x:c r="J786" s="80" t="str">
        <x:v>Spectraflame Brown+ Chase = Chrome</x:v>
      </x:c>
      <x:c r="K786" s="82" t="str"/>
      <x:c r="L786" s="82" t="str"/>
      <x:c r="M786" s="82" t="str"/>
      <x:c r="N786" s="82" t="str"/>
      <x:c r="O786" s="82" t="str"/>
      <x:c r="P786" s="82" t="str"/>
      <x:c r="Q786" s="82" t="str">
        <x:v>Chase, RLC / HWC</x:v>
      </x:c>
      <x:c r="R786" s="82" t="str">
        <x:v>RLC / HWC</x:v>
      </x:c>
      <x:c r="S786" s="82" t="str">
        <x:v>Muito rara</x:v>
      </x:c>
      <x:c r="T786" s="82" t="str">
        <x:v>2026 — listado; confirmar disponibilidade</x:v>
      </x:c>
      <x:c r="U786" s="82" t="str">
        <x:v>April 21, 2026</x:v>
      </x:c>
      <x:c r="V786" s="80" t="str">
        <x:v>Coleção principal (~1:64)</x:v>
      </x:c>
      <x:c r="W786" s="82" t="str">
        <x:v>https://orangetrackdiecast.com/2026-hot-wheels-master-list-of-all-lines/</x:v>
      </x:c>
      <x:c r="X786" s="82" t="str">
        <x:v>https://hotwheels.fandom.com/wiki/1988_Porsche_911_Targa_Turbo</x:v>
      </x:c>
    </x:row>
    <x:row r="787">
      <x:c r="A787" s="80" t="str">
        <x:v>Não</x:v>
      </x:c>
      <x:c r="B787" s="80" t="str">
        <x:v>3 — Caça de longo prazo</x:v>
      </x:c>
      <x:c r="C787" s="81" t="n">
        <x:v>2026</x:v>
      </x:c>
      <x:c r="D787" s="80" t="str">
        <x:v>1988 Porsche 911 Targa Turbo</x:v>
      </x:c>
      <x:c r="E787" s="80" t="str">
        <x:v>1988 Porsche 911 Targa Turbo</x:v>
      </x:c>
      <x:c r="F787" s="82" t="str">
        <x:v>RLC</x:v>
      </x:c>
      <x:c r="G787" s="80" t="str"/>
      <x:c r="H787" s="80" t="str"/>
      <x:c r="I787" s="83" t="str">
        <x:v>JJY65</x:v>
      </x:c>
      <x:c r="J787" s="80" t="str"/>
      <x:c r="K787" s="82" t="str"/>
      <x:c r="L787" s="82" t="str"/>
      <x:c r="M787" s="82" t="str"/>
      <x:c r="N787" s="82" t="str"/>
      <x:c r="O787" s="82" t="str"/>
      <x:c r="P787" s="82" t="str"/>
      <x:c r="Q787" s="82" t="str">
        <x:v>Chase, RLC / HWC</x:v>
      </x:c>
      <x:c r="R787" s="82" t="str">
        <x:v>RLC / HWC</x:v>
      </x:c>
      <x:c r="S787" s="82" t="str">
        <x:v>Muito rara</x:v>
      </x:c>
      <x:c r="T787" s="82" t="str">
        <x:v>2026 — listado; confirmar disponibilidade</x:v>
      </x:c>
      <x:c r="U787" s="82" t="str">
        <x:v>also RLC first CHASE car (parallel)</x:v>
      </x:c>
      <x:c r="V787" s="80" t="str">
        <x:v>Coleção principal (~1:64)</x:v>
      </x:c>
      <x:c r="W787" s="82" t="str">
        <x:v>https://hotwheels.fandom.com/wiki/Porsche</x:v>
      </x:c>
      <x:c r="X787" s="82" t="str">
        <x:v>https://hotwheels.fandom.com/wiki/1988_Porsche_911_Targa_Turbo</x:v>
      </x:c>
    </x:row>
    <x:row r="788">
      <x:c r="A788" s="80" t="str">
        <x:v>Não</x:v>
      </x:c>
      <x:c r="B788" s="80" t="str">
        <x:v>3 — Caça de longo prazo</x:v>
      </x:c>
      <x:c r="C788" s="81" t="n">
        <x:v>2026</x:v>
      </x:c>
      <x:c r="D788" s="80" t="str">
        <x:v>KPop Demon Hunters Porsche 911 GT3 R (992)</x:v>
      </x:c>
      <x:c r="E788" s="80" t="str">
        <x:v>KPop Demon Hunters Porsche 911 GT3 R (992)</x:v>
      </x:c>
      <x:c r="F788" s="82" t="str">
        <x:v>Conventions / San Diego Comic Con (SDCC)</x:v>
      </x:c>
      <x:c r="G788" s="80" t="str"/>
      <x:c r="H788" s="80" t="str"/>
      <x:c r="I788" s="83" t="str"/>
      <x:c r="J788" s="80" t="str"/>
      <x:c r="K788" s="82" t="str"/>
      <x:c r="L788" s="82" t="str"/>
      <x:c r="M788" s="82" t="str"/>
      <x:c r="N788" s="82" t="str"/>
      <x:c r="O788" s="82" t="str"/>
      <x:c r="P788" s="82" t="str"/>
      <x:c r="Q788" s="82" t="str">
        <x:v>Convenção</x:v>
      </x:c>
      <x:c r="R788" s="82" t="str">
        <x:v>Convenção / evento</x:v>
      </x:c>
      <x:c r="S788" s="82" t="str">
        <x:v>Muito rara</x:v>
      </x:c>
      <x:c r="T788" s="82" t="str">
        <x:v>2026 — listado; confirmar disponibilidade</x:v>
      </x:c>
      <x:c r="U788" s="82" t="str"/>
      <x:c r="V788" s="80" t="str">
        <x:v>Coleção principal (~1:64)</x:v>
      </x:c>
      <x:c r="W788" s="82" t="str">
        <x:v>https://orangetrackdiecast.com/2026-hot-wheels-master-list-of-all-lines/</x:v>
      </x:c>
      <x:c r="X788" s="82" t="str"/>
    </x:row>
    <x:row r="789">
      <x:c r="A789" s="80" t="str">
        <x:v>Não</x:v>
      </x:c>
      <x:c r="B789" s="80" t="str">
        <x:v>3 — Caça de longo prazo</x:v>
      </x:c>
      <x:c r="C789" s="81" t="n">
        <x:v>2026</x:v>
      </x:c>
      <x:c r="D789" s="80" t="str">
        <x:v>Porsche 911 Carrera RS 2.7</x:v>
      </x:c>
      <x:c r="E789" s="80" t="str">
        <x:v>Porsche 911 Carrera RS 2.7</x:v>
      </x:c>
      <x:c r="F789" s="82" t="str">
        <x:v>Then and Now — **Super Treasure Hunt**</x:v>
      </x:c>
      <x:c r="G789" s="80" t="str">
        <x:v>9/10</x:v>
      </x:c>
      <x:c r="H789" s="80" t="str">
        <x:v>208</x:v>
      </x:c>
      <x:c r="I789" s="83" t="str">
        <x:v>JJM24</x:v>
      </x:c>
      <x:c r="J789" s="80" t="str"/>
      <x:c r="K789" s="82" t="str"/>
      <x:c r="L789" s="82" t="str"/>
      <x:c r="M789" s="82" t="str"/>
      <x:c r="N789" s="82" t="str"/>
      <x:c r="O789" s="82" t="str"/>
      <x:c r="P789" s="82" t="str"/>
      <x:c r="Q789" s="82" t="str">
        <x:v>Super Treasure Hunt</x:v>
      </x:c>
      <x:c r="R789" s="82" t="str">
        <x:v>Mainline especial</x:v>
      </x:c>
      <x:c r="S789" s="82" t="str">
        <x:v>Muito rara</x:v>
      </x:c>
      <x:c r="T789" s="82" t="str">
        <x:v>2026 — listado; confirmar disponibilidade</x:v>
      </x:c>
      <x:c r="U789" s="82" t="str"/>
      <x:c r="V789" s="80" t="str">
        <x:v>Coleção principal (~1:64)</x:v>
      </x:c>
      <x:c r="W789" s="82" t="str">
        <x:v>https://hotwheels.fandom.com/wiki/List_of_2026_Hot_Wheels</x:v>
      </x:c>
      <x:c r="X789" s="82" t="str">
        <x:v>https://hotwheels.fandom.com/wiki/Porsche_911_Carrera_RS_2.7</x:v>
      </x:c>
    </x:row>
    <x:row r="790">
      <x:c r="A790" s="80" t="str">
        <x:v>Não</x:v>
      </x:c>
      <x:c r="B790" s="80" t="str">
        <x:v>3 — Caça de longo prazo</x:v>
      </x:c>
      <x:c r="C790" s="81" t="n">
        <x:v>2026</x:v>
      </x:c>
      <x:c r="D790" s="80" t="str">
        <x:v>Porsche 959 (RLC)</x:v>
      </x:c>
      <x:c r="E790" s="80" t="str">
        <x:v>Porsche 959</x:v>
      </x:c>
      <x:c r="F790" s="82" t="str">
        <x:v>HWC / RLC / 2026 RLC sELECTIONs</x:v>
      </x:c>
      <x:c r="G790" s="80" t="str"/>
      <x:c r="H790" s="80" t="str">
        <x:v>2</x:v>
      </x:c>
      <x:c r="I790" s="83" t="str"/>
      <x:c r="J790" s="80" t="str">
        <x:v>Spectraflame Purple</x:v>
      </x:c>
      <x:c r="K790" s="82" t="str"/>
      <x:c r="L790" s="82" t="str"/>
      <x:c r="M790" s="82" t="str"/>
      <x:c r="N790" s="82" t="str"/>
      <x:c r="O790" s="82" t="str"/>
      <x:c r="P790" s="82" t="str"/>
      <x:c r="Q790" s="82" t="str">
        <x:v>RLC / HWC</x:v>
      </x:c>
      <x:c r="R790" s="82" t="str">
        <x:v>RLC / HWC</x:v>
      </x:c>
      <x:c r="S790" s="82" t="str">
        <x:v>Muito rara</x:v>
      </x:c>
      <x:c r="T790" s="82" t="str">
        <x:v>Anunciado / confirmar lançamento</x:v>
      </x:c>
      <x:c r="U790" s="82" t="str">
        <x:v>TBD; Ainda não confirmado / anunciado na fonte</x:v>
      </x:c>
      <x:c r="V790" s="80" t="str">
        <x:v>Coleção principal (~1:64)</x:v>
      </x:c>
      <x:c r="W790" s="82" t="str">
        <x:v>https://orangetrackdiecast.com/2026-hot-wheels-master-list-of-all-lines/</x:v>
      </x:c>
      <x:c r="X790" s="82" t="str">
        <x:v>https://hotwheels.fandom.com/wiki/Porsche_959_(RLC)</x:v>
      </x:c>
    </x:row>
    <x:row r="791">
      <x:c r="A791" s="80" t="str">
        <x:v>Não</x:v>
      </x:c>
      <x:c r="B791" s="80" t="str">
        <x:v>3 — Caça de longo prazo</x:v>
      </x:c>
      <x:c r="C791" s="81" t="n">
        <x:v>2026</x:v>
      </x:c>
      <x:c r="D791" s="80" t="str">
        <x:v>RWB Porsche 930 (RLC)</x:v>
      </x:c>
      <x:c r="E791" s="80" t="str">
        <x:v>RWB Porsche 930</x:v>
      </x:c>
      <x:c r="F791" s="82" t="str">
        <x:v>HWC / RLC</x:v>
      </x:c>
      <x:c r="G791" s="80" t="str"/>
      <x:c r="H791" s="80" t="str"/>
      <x:c r="I791" s="83" t="str"/>
      <x:c r="J791" s="80" t="str">
        <x:v>Spectraflame Orange</x:v>
      </x:c>
      <x:c r="K791" s="82" t="str"/>
      <x:c r="L791" s="82" t="str"/>
      <x:c r="M791" s="82" t="str"/>
      <x:c r="N791" s="82" t="str"/>
      <x:c r="O791" s="82" t="str"/>
      <x:c r="P791" s="82" t="str"/>
      <x:c r="Q791" s="82" t="str">
        <x:v>RLC / HWC</x:v>
      </x:c>
      <x:c r="R791" s="82" t="str">
        <x:v>RLC / HWC</x:v>
      </x:c>
      <x:c r="S791" s="82" t="str">
        <x:v>Muito rara</x:v>
      </x:c>
      <x:c r="T791" s="82" t="str">
        <x:v>2026 — listado; confirmar disponibilidade</x:v>
      </x:c>
      <x:c r="U791" s="82" t="str"/>
      <x:c r="V791" s="80" t="str">
        <x:v>Coleção principal (~1:64)</x:v>
      </x:c>
      <x:c r="W791" s="82" t="str">
        <x:v>https://orangetrackdiecast.com/2026-hot-wheels-master-list-of-all-lines/</x:v>
      </x:c>
      <x:c r="X791" s="82" t="str">
        <x:v>https://hotwheels.fandom.com/wiki/RWB_Porsche_930_(RLC)</x:v>
      </x:c>
    </x:row>
    <x:row r="792">
      <x:c r="A792" s="80" t="str">
        <x:v>Não</x:v>
      </x:c>
      <x:c r="B792" s="80" t="str">
        <x:v>3 — Caça de longo prazo</x:v>
      </x:c>
      <x:c r="C792" s="81" t="n">
        <x:v>2025</x:v>
      </x:c>
      <x:c r="D792" s="80" t="str">
        <x:v>'67 Porsche 911 R</x:v>
      </x:c>
      <x:c r="E792" s="80" t="str">
        <x:v>'67 Porsche 911 R</x:v>
      </x:c>
      <x:c r="F792" s="82" t="str">
        <x:v>National Icons / 5/5</x:v>
      </x:c>
      <x:c r="G792" s="80" t="str"/>
      <x:c r="H792" s="80" t="str"/>
      <x:c r="I792" s="83" t="str">
        <x:v>JBY91</x:v>
      </x:c>
      <x:c r="J792" s="80" t="str">
        <x:v>Spectraflame red</x:v>
      </x:c>
      <x:c r="K792" s="82" t="str">
        <x:v>Detailed headlights and taillights, Porsche wordmark on sides and rear, Porsche logo on hood, black stripes on sides, "911R" on trunk</x:v>
      </x:c>
      <x:c r="L792" s="82" t="str">
        <x:v>C5</x:v>
      </x:c>
      <x:c r="M792" s="82" t="str">
        <x:v>Black / / / Metal</x:v>
      </x:c>
      <x:c r="N792" s="82" t="str">
        <x:v>Smoke tint</x:v>
      </x:c>
      <x:c r="O792" s="82" t="str">
        <x:v>Black</x:v>
      </x:c>
      <x:c r="P792" s="82" t="str">
        <x:v>Indonesia</x:v>
      </x:c>
      <x:c r="Q792" s="82" t="str">
        <x:v>Chase</x:v>
      </x:c>
      <x:c r="R792" s="82" t="str">
        <x:v>Outra linha</x:v>
      </x:c>
      <x:c r="S792" s="82" t="str">
        <x:v>Muito rara</x:v>
      </x:c>
      <x:c r="T792" s="82" t="str">
        <x:v>Lançado</x:v>
      </x:c>
      <x:c r="U792" s="82" t="str">
        <x:v>Chase / Base code(s): U09I, U10I, U11I, U12I</x:v>
      </x:c>
      <x:c r="V792" s="80" t="str">
        <x:v>Coleção principal (~1:64)</x:v>
      </x:c>
      <x:c r="W792" s="82" t="str">
        <x:v>https://hotwheels.fandom.com/wiki/%2767_Porsche_911_R</x:v>
      </x:c>
      <x:c r="X792" s="82" t="str">
        <x:v>https://hotwheels.fandom.com/wiki/%2767_Porsche_911_R</x:v>
      </x:c>
    </x:row>
    <x:row r="793">
      <x:c r="A793" s="80" t="str">
        <x:v>Não</x:v>
      </x:c>
      <x:c r="B793" s="80" t="str">
        <x:v>3 — Caça de longo prazo</x:v>
      </x:c>
      <x:c r="C793" s="81" t="n">
        <x:v>2025</x:v>
      </x:c>
      <x:c r="D793" s="80" t="str">
        <x:v>Porsche 911 Carrera RS 3.8</x:v>
      </x:c>
      <x:c r="E793" s="80" t="str">
        <x:v>Porsche 911 Carrera RS 3.8</x:v>
      </x:c>
      <x:c r="F793" s="82" t="str">
        <x:v>Philippines Hot Wheels Collectors Convention</x:v>
      </x:c>
      <x:c r="G793" s="80" t="str"/>
      <x:c r="H793" s="80" t="str"/>
      <x:c r="I793" s="83" t="str">
        <x:v>JLW59</x:v>
      </x:c>
      <x:c r="J793" s="80" t="str">
        <x:v>Dark blue</x:v>
      </x:c>
      <x:c r="K793" s="82" t="str">
        <x:v>Detailed headlights and taillights, green "tribal" striping around body, "88" on sides, Porsche badging, "HW CON25" European license plate</x:v>
      </x:c>
      <x:c r="L793" s="82" t="str">
        <x:v>Black RRLW5</x:v>
      </x:c>
      <x:c r="M793" s="82" t="str">
        <x:v>Black / / / Metal</x:v>
      </x:c>
      <x:c r="N793" s="82" t="str">
        <x:v>Smoke tint</x:v>
      </x:c>
      <x:c r="O793" s="82" t="str">
        <x:v>Black</x:v>
      </x:c>
      <x:c r="P793" s="82" t="str">
        <x:v>Thailand</x:v>
      </x:c>
      <x:c r="Q793" s="82" t="str">
        <x:v>Convenção</x:v>
      </x:c>
      <x:c r="R793" s="82" t="str">
        <x:v>RLC / HWC</x:v>
      </x:c>
      <x:c r="S793" s="82" t="str">
        <x:v>Muito rara</x:v>
      </x:c>
      <x:c r="T793" s="82" t="str">
        <x:v>Lançado</x:v>
      </x:c>
      <x:c r="U793" s="82" t="str">
        <x:v>1,100 produced / Base code(s):</x:v>
      </x:c>
      <x:c r="V793" s="80" t="str">
        <x:v>Coleção principal (~1:64)</x:v>
      </x:c>
      <x:c r="W793" s="82" t="str">
        <x:v>https://hotwheels.fandom.com/wiki/Porsche_911_Carrera_RS_3.8</x:v>
      </x:c>
      <x:c r="X793" s="82" t="str">
        <x:v>https://hotwheels.fandom.com/wiki/Porsche_911_Carrera_RS_3.8</x:v>
      </x:c>
    </x:row>
    <x:row r="794">
      <x:c r="A794" s="80" t="str">
        <x:v>Não</x:v>
      </x:c>
      <x:c r="B794" s="80" t="str">
        <x:v>3 — Caça de longo prazo</x:v>
      </x:c>
      <x:c r="C794" s="81" t="n">
        <x:v>2025</x:v>
      </x:c>
      <x:c r="D794" s="80" t="str">
        <x:v>Porsche 911 Rallye</x:v>
      </x:c>
      <x:c r="E794" s="80" t="str">
        <x:v>Porsche 911 Rallye</x:v>
      </x:c>
      <x:c r="F794" s="82" t="str">
        <x:v>Safari Mode / 2/5</x:v>
      </x:c>
      <x:c r="G794" s="80" t="str"/>
      <x:c r="H794" s="80" t="str">
        <x:v>154/250</x:v>
      </x:c>
      <x:c r="I794" s="83" t="str">
        <x:v>JBC41</x:v>
      </x:c>
      <x:c r="J794" s="80" t="str">
        <x:v>Spectraflame green</x:v>
      </x:c>
      <x:c r="K794" s="82" t="str">
        <x:v>Detailed headlights, multicolored striping, "17" on sides, TH logo on doors</x:v>
      </x:c>
      <x:c r="L794" s="82" t="str">
        <x:v>Gold RR5SPM</x:v>
      </x:c>
      <x:c r="M794" s="82" t="str">
        <x:v>Gray / / / Plastic</x:v>
      </x:c>
      <x:c r="N794" s="82" t="str">
        <x:v>Smoke tint</x:v>
      </x:c>
      <x:c r="O794" s="82" t="str">
        <x:v>Black</x:v>
      </x:c>
      <x:c r="P794" s="82" t="str">
        <x:v>Malaysia</x:v>
      </x:c>
      <x:c r="Q794" s="82" t="str">
        <x:v>Super Treasure Hunt</x:v>
      </x:c>
      <x:c r="R794" s="82" t="str">
        <x:v>Mainline especial</x:v>
      </x:c>
      <x:c r="S794" s="82" t="str">
        <x:v>Muito rara</x:v>
      </x:c>
      <x:c r="T794" s="82" t="str">
        <x:v>Lançado</x:v>
      </x:c>
      <x:c r="U794" s="82" t="str">
        <x:v>Super Treasure Hunt / Base code(s): T51, T51N,</x:v>
      </x:c>
      <x:c r="V794" s="80" t="str">
        <x:v>Coleção principal (~1:64)</x:v>
      </x:c>
      <x:c r="W794" s="82" t="str">
        <x:v>https://hotwheels.fandom.com/wiki/Porsche_911_Rallye</x:v>
      </x:c>
      <x:c r="X794" s="82" t="str">
        <x:v>https://hotwheels.fandom.com/wiki/Porsche_911_Rallye</x:v>
      </x:c>
    </x:row>
    <x:row r="795">
      <x:c r="A795" s="80" t="str">
        <x:v>Não</x:v>
      </x:c>
      <x:c r="B795" s="80" t="str">
        <x:v>3 — Caça de longo prazo</x:v>
      </x:c>
      <x:c r="C795" s="81" t="n">
        <x:v>2025</x:v>
      </x:c>
      <x:c r="D795" s="80" t="str">
        <x:v>Porsche 959 (RLC)</x:v>
      </x:c>
      <x:c r="E795" s="80" t="str">
        <x:v>Porsche 959</x:v>
      </x:c>
      <x:c r="F795" s="82" t="str">
        <x:v>RLC Exclusive</x:v>
      </x:c>
      <x:c r="G795" s="80" t="str"/>
      <x:c r="H795" s="80" t="str"/>
      <x:c r="I795" s="83" t="str">
        <x:v>JCP15</x:v>
      </x:c>
      <x:c r="J795" s="80" t="str">
        <x:v>Gulf blue</x:v>
      </x:c>
      <x:c r="K795" s="82" t="str">
        <x:v>Gulf logo on sides and bonnet, "59" on sides, marigold orange lower body, "GULF 959" on rear license plate, black trim, detailed headlights &amp; taillights</x:v>
      </x:c>
      <x:c r="L795" s="82" t="str">
        <x:v>RR6SPM</x:v>
      </x:c>
      <x:c r="M795" s="82" t="str">
        <x:v>Matte black / / / Metal</x:v>
      </x:c>
      <x:c r="N795" s="82" t="str">
        <x:v>Light smoke tint</x:v>
      </x:c>
      <x:c r="O795" s="82" t="str">
        <x:v>Two-tone orange and black</x:v>
      </x:c>
      <x:c r="P795" s="82" t="str">
        <x:v>China</x:v>
      </x:c>
      <x:c r="Q795" s="82" t="str">
        <x:v>RLC / HWC</x:v>
      </x:c>
      <x:c r="R795" s="82" t="str">
        <x:v>RLC / HWC</x:v>
      </x:c>
      <x:c r="S795" s="82" t="str">
        <x:v>Muito rara</x:v>
      </x:c>
      <x:c r="T795" s="82" t="str">
        <x:v>Lançado</x:v>
      </x:c>
      <x:c r="U795" s="82" t="str">
        <x:v>Released in acrylic case / Production code(s): 3654EAA, 0025EAA, 0035EAA, 0205EAA</x:v>
      </x:c>
      <x:c r="V795" s="80" t="str">
        <x:v>Coleção principal (~1:64)</x:v>
      </x:c>
      <x:c r="W795" s="82" t="str">
        <x:v>https://hotwheels.fandom.com/wiki/Porsche_959_(RLC)</x:v>
      </x:c>
      <x:c r="X795" s="82" t="str">
        <x:v>https://hotwheels.fandom.com/wiki/Porsche_959_(RLC)</x:v>
      </x:c>
    </x:row>
    <x:row r="796">
      <x:c r="A796" s="80" t="str">
        <x:v>Não</x:v>
      </x:c>
      <x:c r="B796" s="80" t="str">
        <x:v>3 — Caça de longo prazo</x:v>
      </x:c>
      <x:c r="C796" s="81" t="n">
        <x:v>2025</x:v>
      </x:c>
      <x:c r="D796" s="80" t="str">
        <x:v>RWB Porsche 930 (RLC)</x:v>
      </x:c>
      <x:c r="E796" s="80" t="str">
        <x:v>RWB Porsche 930</x:v>
      </x:c>
      <x:c r="F796" s="82" t="str">
        <x:v>Red Line Club Exclusive</x:v>
      </x:c>
      <x:c r="G796" s="80" t="str"/>
      <x:c r="H796" s="80" t="str"/>
      <x:c r="I796" s="83" t="str">
        <x:v>JLJ20</x:v>
      </x:c>
      <x:c r="J796" s="80" t="str">
        <x:v>Spectraflame teal</x:v>
      </x:c>
      <x:c r="K796" s="82" t="str">
        <x:v>"RAUH-Welt" on windshield, "RWB" on gold stripes on sides, detailed headlights, taillights, &amp; trim</x:v>
      </x:c>
      <x:c r="L796" s="82" t="str">
        <x:v>Silver lip, gold RR5SPM</x:v>
      </x:c>
      <x:c r="M796" s="82" t="str">
        <x:v>Matte black / / / Metal</x:v>
      </x:c>
      <x:c r="N796" s="82" t="str">
        <x:v>Light smoke tint</x:v>
      </x:c>
      <x:c r="O796" s="82" t="str">
        <x:v>Black, with brown roll bar</x:v>
      </x:c>
      <x:c r="P796" s="82" t="str">
        <x:v>China</x:v>
      </x:c>
      <x:c r="Q796" s="82" t="str">
        <x:v>RLC / HWC</x:v>
      </x:c>
      <x:c r="R796" s="82" t="str">
        <x:v>RLC / HWC</x:v>
      </x:c>
      <x:c r="S796" s="82" t="str">
        <x:v>Muito rara</x:v>
      </x:c>
      <x:c r="T796" s="82" t="str">
        <x:v>Lançado</x:v>
      </x:c>
      <x:c r="U796" s="82" t="str">
        <x:v>Production code(s): 1845EAA, 2235EAA</x:v>
      </x:c>
      <x:c r="V796" s="80" t="str">
        <x:v>Coleção principal (~1:64)</x:v>
      </x:c>
      <x:c r="W796" s="82" t="str">
        <x:v>https://hotwheels.fandom.com/wiki/RWB_Porsche_930_(RLC)</x:v>
      </x:c>
      <x:c r="X796" s="82" t="str">
        <x:v>https://hotwheels.fandom.com/wiki/RWB_Porsche_930_(RLC)</x:v>
      </x:c>
    </x:row>
    <x:row r="797">
      <x:c r="A797" s="80" t="str">
        <x:v>Não</x:v>
      </x:c>
      <x:c r="B797" s="80" t="str">
        <x:v>3 — Caça de longo prazo</x:v>
      </x:c>
      <x:c r="C797" s="81" t="n">
        <x:v>2024</x:v>
      </x:c>
      <x:c r="D797" s="80" t="str">
        <x:v>'71 Porsche 911</x:v>
      </x:c>
      <x:c r="E797" s="80" t="str">
        <x:v>'71 Porsche 911</x:v>
      </x:c>
      <x:c r="F797" s="82" t="str">
        <x:v>Car Culture: Exotic Envy / 0/5</x:v>
      </x:c>
      <x:c r="G797" s="80" t="str"/>
      <x:c r="H797" s="80" t="str"/>
      <x:c r="I797" s="83" t="str">
        <x:v>HKC81</x:v>
      </x:c>
      <x:c r="J797" s="80" t="str">
        <x:v>Black</x:v>
      </x:c>
      <x:c r="K797" s="82" t="str">
        <x:v>Detailed headlights &amp; taillights, "71", Goodyear, Bell, Bilstein and Castrol logos, stripes on sides and roof, Porsche windshield banner</x:v>
      </x:c>
      <x:c r="L797" s="82" t="str">
        <x:v>RRLW5</x:v>
      </x:c>
      <x:c r="M797" s="82" t="str">
        <x:v>Black / / / Metal</x:v>
      </x:c>
      <x:c r="N797" s="82" t="str">
        <x:v>Smoke tint</x:v>
      </x:c>
      <x:c r="O797" s="82" t="str">
        <x:v>Black</x:v>
      </x:c>
      <x:c r="P797" s="82" t="str">
        <x:v>Thailand</x:v>
      </x:c>
      <x:c r="Q797" s="82" t="str">
        <x:v>Chase</x:v>
      </x:c>
      <x:c r="R797" s="82" t="str">
        <x:v>Premium</x:v>
      </x:c>
      <x:c r="S797" s="82" t="str">
        <x:v>Muito rara</x:v>
      </x:c>
      <x:c r="T797" s="82" t="str">
        <x:v>Lançado</x:v>
      </x:c>
      <x:c r="U797" s="82" t="str">
        <x:v>Chase / Base code(s): S50</x:v>
      </x:c>
      <x:c r="V797" s="80" t="str">
        <x:v>Coleção principal (~1:64)</x:v>
      </x:c>
      <x:c r="W797" s="82" t="str">
        <x:v>https://hotwheels.fandom.com/wiki/%2771_Porsche_911</x:v>
      </x:c>
      <x:c r="X797" s="82" t="str">
        <x:v>https://hotwheels.fandom.com/wiki/%2771_Porsche_911</x:v>
      </x:c>
    </x:row>
    <x:row r="798">
      <x:c r="A798" s="80" t="str">
        <x:v>Não</x:v>
      </x:c>
      <x:c r="B798" s="80" t="str">
        <x:v>3 — Caça de longo prazo</x:v>
      </x:c>
      <x:c r="C798" s="81" t="n">
        <x:v>2024</x:v>
      </x:c>
      <x:c r="D798" s="80" t="str">
        <x:v>Porsche 911 GT3 R (992)</x:v>
      </x:c>
      <x:c r="E798" s="80" t="str">
        <x:v>Porsche 911 GT3 R (992)</x:v>
      </x:c>
      <x:c r="F798" s="82" t="str">
        <x:v>Car Culture: Race Day / 0/5</x:v>
      </x:c>
      <x:c r="G798" s="80" t="str"/>
      <x:c r="H798" s="80" t="str"/>
      <x:c r="I798" s="83" t="str">
        <x:v>HRV96</x:v>
      </x:c>
      <x:c r="J798" s="80" t="str">
        <x:v>Pink</x:v>
      </x:c>
      <x:c r="K798" s="82" t="str">
        <x:v>Detailed taillights, AO Racing Roxy graphics</x:v>
      </x:c>
      <x:c r="L798" s="82" t="str">
        <x:v>Pink RR10SPM</x:v>
      </x:c>
      <x:c r="M798" s="82" t="str">
        <x:v>Black / / / Metal</x:v>
      </x:c>
      <x:c r="N798" s="82" t="str">
        <x:v>Smoke tint</x:v>
      </x:c>
      <x:c r="O798" s="82" t="str">
        <x:v>Black</x:v>
      </x:c>
      <x:c r="P798" s="82" t="str">
        <x:v>Thailand</x:v>
      </x:c>
      <x:c r="Q798" s="82" t="str">
        <x:v>Chase</x:v>
      </x:c>
      <x:c r="R798" s="82" t="str">
        <x:v>Premium</x:v>
      </x:c>
      <x:c r="S798" s="82" t="str">
        <x:v>Muito rara</x:v>
      </x:c>
      <x:c r="T798" s="82" t="str">
        <x:v>Lançado</x:v>
      </x:c>
      <x:c r="U798" s="82" t="str">
        <x:v>Named "Roxy" Porsche 911 GT3 R (992) / Chase / Base code(s): T29, T30, T33</x:v>
      </x:c>
      <x:c r="V798" s="80" t="str">
        <x:v>Coleção principal (~1:64)</x:v>
      </x:c>
      <x:c r="W798" s="82" t="str">
        <x:v>https://hotwheels.fandom.com/wiki/Porsche_911_GT3_R_(992)</x:v>
      </x:c>
      <x:c r="X798" s="82" t="str">
        <x:v>https://hotwheels.fandom.com/wiki/Porsche_911_GT3_R_(992)</x:v>
      </x:c>
    </x:row>
    <x:row r="799">
      <x:c r="A799" s="80" t="str">
        <x:v>Não</x:v>
      </x:c>
      <x:c r="B799" s="80" t="str">
        <x:v>3 — Caça de longo prazo</x:v>
      </x:c>
      <x:c r="C799" s="81" t="n">
        <x:v>2024</x:v>
      </x:c>
      <x:c r="D799" s="80" t="str">
        <x:v>Porsche 914-6</x:v>
      </x:c>
      <x:c r="E799" s="80" t="str">
        <x:v>Porsche 914-6</x:v>
      </x:c>
      <x:c r="F799" s="82" t="str">
        <x:v>Porsche / 6/6</x:v>
      </x:c>
      <x:c r="G799" s="80" t="str"/>
      <x:c r="H799" s="80" t="str"/>
      <x:c r="I799" s="83" t="str">
        <x:v>HRW61</x:v>
      </x:c>
      <x:c r="J799" s="80" t="str">
        <x:v>Dark green</x:v>
      </x:c>
      <x:c r="K799" s="82" t="str">
        <x:v>Detailed taillights, "PORSCHE" on sides</x:v>
      </x:c>
      <x:c r="L799" s="82" t="str">
        <x:v>C5</x:v>
      </x:c>
      <x:c r="M799" s="82" t="str"/>
      <x:c r="N799" s="82" t="str">
        <x:v>Clear</x:v>
      </x:c>
      <x:c r="O799" s="82" t="str">
        <x:v>Black</x:v>
      </x:c>
      <x:c r="P799" s="82" t="str">
        <x:v>Thailand</x:v>
      </x:c>
      <x:c r="Q799" s="82" t="str">
        <x:v>Chase</x:v>
      </x:c>
      <x:c r="R799" s="82" t="str">
        <x:v>Outra linha</x:v>
      </x:c>
      <x:c r="S799" s="82" t="str">
        <x:v>Muito rara</x:v>
      </x:c>
      <x:c r="T799" s="82" t="str">
        <x:v>Lançado</x:v>
      </x:c>
      <x:c r="U799" s="82" t="str">
        <x:v>Chase / Base code(s): S41</x:v>
      </x:c>
      <x:c r="V799" s="80" t="str">
        <x:v>Coleção principal (~1:64)</x:v>
      </x:c>
      <x:c r="W799" s="82" t="str">
        <x:v>https://hotwheels.fandom.com/wiki/Porsche_914-6</x:v>
      </x:c>
      <x:c r="X799" s="82" t="str">
        <x:v>https://hotwheels.fandom.com/wiki/Porsche_914-6</x:v>
      </x:c>
    </x:row>
    <x:row r="800">
      <x:c r="A800" s="80" t="str">
        <x:v>Não</x:v>
      </x:c>
      <x:c r="B800" s="80" t="str">
        <x:v>3 — Caça de longo prazo</x:v>
      </x:c>
      <x:c r="C800" s="81" t="n">
        <x:v>2024</x:v>
      </x:c>
      <x:c r="D800" s="80" t="str">
        <x:v>Porsche 959 (RLC)</x:v>
      </x:c>
      <x:c r="E800" s="80" t="str">
        <x:v>Porsche 959</x:v>
      </x:c>
      <x:c r="F800" s="82" t="str">
        <x:v>38th Annual Hot Wheels Collectors Convention / 2/3</x:v>
      </x:c>
      <x:c r="G800" s="80" t="str"/>
      <x:c r="H800" s="80" t="str"/>
      <x:c r="I800" s="83" t="str">
        <x:v>HWF35</x:v>
      </x:c>
      <x:c r="J800" s="80" t="str">
        <x:v>Yellow</x:v>
      </x:c>
      <x:c r="K800" s="82" t="str">
        <x:v>Detailed trim, Detailed engine, Porsche logo on sides ; Engine deck Convention date; Plate CALI * 24</x:v>
      </x:c>
      <x:c r="L800" s="82" t="str">
        <x:v>RR10SP</x:v>
      </x:c>
      <x:c r="M800" s="82" t="str">
        <x:v>Black / / / Metal / detailed underside</x:v>
      </x:c>
      <x:c r="N800" s="82" t="str">
        <x:v>Light smoke tint</x:v>
      </x:c>
      <x:c r="O800" s="82" t="str">
        <x:v>Black</x:v>
      </x:c>
      <x:c r="P800" s="82" t="str">
        <x:v>China</x:v>
      </x:c>
      <x:c r="Q800" s="82" t="str">
        <x:v>Convenção</x:v>
      </x:c>
      <x:c r="R800" s="82" t="str">
        <x:v>RLC / HWC</x:v>
      </x:c>
      <x:c r="S800" s="82" t="str">
        <x:v>Muito rara</x:v>
      </x:c>
      <x:c r="T800" s="82" t="str">
        <x:v>Lançado</x:v>
      </x:c>
      <x:c r="U800" s="82" t="str">
        <x:v>6,200 produced / Production code(s): 1404EAA, 1414EAA</x:v>
      </x:c>
      <x:c r="V800" s="80" t="str">
        <x:v>Coleção principal (~1:64)</x:v>
      </x:c>
      <x:c r="W800" s="82" t="str">
        <x:v>https://hotwheels.fandom.com/wiki/Porsche_959_(RLC)</x:v>
      </x:c>
      <x:c r="X800" s="82" t="str">
        <x:v>https://hotwheels.fandom.com/wiki/Porsche_959_(RLC)</x:v>
      </x:c>
    </x:row>
    <x:row r="801">
      <x:c r="A801" s="80" t="str">
        <x:v>Não</x:v>
      </x:c>
      <x:c r="B801" s="80" t="str">
        <x:v>3 — Caça de longo prazo</x:v>
      </x:c>
      <x:c r="C801" s="81" t="n">
        <x:v>2024</x:v>
      </x:c>
      <x:c r="D801" s="80" t="str">
        <x:v>Porsche 959 (RLC)</x:v>
      </x:c>
      <x:c r="E801" s="80" t="str">
        <x:v>Porsche 959</x:v>
      </x:c>
      <x:c r="F801" s="82" t="str">
        <x:v>RLC Exclusive</x:v>
      </x:c>
      <x:c r="G801" s="80" t="str"/>
      <x:c r="H801" s="80" t="str"/>
      <x:c r="I801" s="83" t="str">
        <x:v>HWF18</x:v>
      </x:c>
      <x:c r="J801" s="80" t="str">
        <x:v>Spectraflame steel blue</x:v>
      </x:c>
      <x:c r="K801" s="82" t="str">
        <x:v>Detailed headlights and taillights, Porsche logo on hood</x:v>
      </x:c>
      <x:c r="L801" s="82" t="str">
        <x:v>Black RRF52O</x:v>
      </x:c>
      <x:c r="M801" s="82" t="str">
        <x:v>Black / / / Metal</x:v>
      </x:c>
      <x:c r="N801" s="82" t="str">
        <x:v>Light smoke tint</x:v>
      </x:c>
      <x:c r="O801" s="82" t="str">
        <x:v>Medium brown</x:v>
      </x:c>
      <x:c r="P801" s="82" t="str">
        <x:v>China</x:v>
      </x:c>
      <x:c r="Q801" s="82" t="str">
        <x:v>RLC / HWC</x:v>
      </x:c>
      <x:c r="R801" s="82" t="str">
        <x:v>RLC / HWC</x:v>
      </x:c>
      <x:c r="S801" s="82" t="str">
        <x:v>Muito rara</x:v>
      </x:c>
      <x:c r="T801" s="82" t="str">
        <x:v>Lançado</x:v>
      </x:c>
      <x:c r="U801" s="82" t="str">
        <x:v>Production code(s): 1964EAA, 2054EAA</x:v>
      </x:c>
      <x:c r="V801" s="80" t="str">
        <x:v>Coleção principal (~1:64)</x:v>
      </x:c>
      <x:c r="W801" s="82" t="str">
        <x:v>https://hotwheels.fandom.com/wiki/Porsche_959_(RLC)</x:v>
      </x:c>
      <x:c r="X801" s="82" t="str">
        <x:v>https://hotwheels.fandom.com/wiki/Porsche_959_(RLC)</x:v>
      </x:c>
    </x:row>
    <x:row r="802">
      <x:c r="A802" s="80" t="str">
        <x:v>Não</x:v>
      </x:c>
      <x:c r="B802" s="80" t="str">
        <x:v>3 — Caça de longo prazo</x:v>
      </x:c>
      <x:c r="C802" s="81" t="n">
        <x:v>2023</x:v>
      </x:c>
      <x:c r="D802" s="80" t="str">
        <x:v>Porsche 911 GT3</x:v>
      </x:c>
      <x:c r="E802" s="80" t="str">
        <x:v>Porsche 911 GT3</x:v>
      </x:c>
      <x:c r="F802" s="82" t="str">
        <x:v>Car Culture: Speed Machines / 0/5</x:v>
      </x:c>
      <x:c r="G802" s="80" t="str"/>
      <x:c r="H802" s="80" t="str"/>
      <x:c r="I802" s="83" t="str">
        <x:v>HKC45</x:v>
      </x:c>
      <x:c r="J802" s="80" t="str">
        <x:v>Jet Black</x:v>
      </x:c>
      <x:c r="K802" s="82" t="str">
        <x:v>Detailed taillights, daytime running lights and reflectors, grey accents, "60" on sides and hood, Porsche logo on doors</x:v>
      </x:c>
      <x:c r="L802" s="82" t="str">
        <x:v>Grey CM6</x:v>
      </x:c>
      <x:c r="M802" s="82" t="str">
        <x:v>Black / / / Metal</x:v>
      </x:c>
      <x:c r="N802" s="82" t="str">
        <x:v>Smoke tint</x:v>
      </x:c>
      <x:c r="O802" s="82" t="str">
        <x:v>Black</x:v>
      </x:c>
      <x:c r="P802" s="82" t="str">
        <x:v>Thailand</x:v>
      </x:c>
      <x:c r="Q802" s="82" t="str">
        <x:v>Chase</x:v>
      </x:c>
      <x:c r="R802" s="82" t="str">
        <x:v>Premium</x:v>
      </x:c>
      <x:c r="S802" s="82" t="str">
        <x:v>Muito rara</x:v>
      </x:c>
      <x:c r="T802" s="82" t="str">
        <x:v>Lançado</x:v>
      </x:c>
      <x:c r="U802" s="82" t="str">
        <x:v>Chase / Base code(s): R51. S01</x:v>
      </x:c>
      <x:c r="V802" s="80" t="str">
        <x:v>Coleção principal (~1:64)</x:v>
      </x:c>
      <x:c r="W802" s="82" t="str">
        <x:v>https://hotwheels.fandom.com/wiki/Porsche_911_GT3</x:v>
      </x:c>
      <x:c r="X802" s="82" t="str">
        <x:v>https://hotwheels.fandom.com/wiki/Porsche_911_GT3</x:v>
      </x:c>
    </x:row>
    <x:row r="803">
      <x:c r="A803" s="80" t="str">
        <x:v>Não</x:v>
      </x:c>
      <x:c r="B803" s="80" t="str">
        <x:v>3 — Caça de longo prazo</x:v>
      </x:c>
      <x:c r="C803" s="81" t="n">
        <x:v>2023</x:v>
      </x:c>
      <x:c r="D803" s="80" t="str">
        <x:v>Porsche 911 Turbo (930)</x:v>
      </x:c>
      <x:c r="E803" s="80" t="str">
        <x:v>Porsche 911 Turbo (930)</x:v>
      </x:c>
      <x:c r="F803" s="82" t="str">
        <x:v>23rd Annual Hot Wheels Collectors Nationals / 3/3</x:v>
      </x:c>
      <x:c r="G803" s="80" t="str"/>
      <x:c r="H803" s="80" t="str"/>
      <x:c r="I803" s="83" t="str">
        <x:v>HNL05</x:v>
      </x:c>
      <x:c r="J803" s="80" t="str">
        <x:v>Black</x:v>
      </x:c>
      <x:c r="K803" s="82" t="str">
        <x:v>Detailed headlights, taillights 23rd Collectors Nationals Columbus, OH April 5–9, 2023 on rear Euro plate</x:v>
      </x:c>
      <x:c r="L803" s="82" t="str">
        <x:v>Chrome Rim Gold RRF52O</x:v>
      </x:c>
      <x:c r="M803" s="82" t="str">
        <x:v>Black / / / Metal</x:v>
      </x:c>
      <x:c r="N803" s="82" t="str">
        <x:v>Smoke tint</x:v>
      </x:c>
      <x:c r="O803" s="82" t="str">
        <x:v>Black</x:v>
      </x:c>
      <x:c r="P803" s="82" t="str">
        <x:v>Thailand</x:v>
      </x:c>
      <x:c r="Q803" s="82" t="str">
        <x:v>Convenção</x:v>
      </x:c>
      <x:c r="R803" s="82" t="str">
        <x:v>RLC / HWC</x:v>
      </x:c>
      <x:c r="S803" s="82" t="str">
        <x:v>Muito rara</x:v>
      </x:c>
      <x:c r="T803" s="82" t="str">
        <x:v>Lançado</x:v>
      </x:c>
      <x:c r="U803" s="82" t="str">
        <x:v>Named Porsche 930 / Finale Model / 4,200 Produced / Base code(s): R48, R49</x:v>
      </x:c>
      <x:c r="V803" s="80" t="str">
        <x:v>Coleção principal (~1:64)</x:v>
      </x:c>
      <x:c r="W803" s="82" t="str">
        <x:v>https://hotwheels.fandom.com/wiki/Porsche_911_Turbo_(930)</x:v>
      </x:c>
      <x:c r="X803" s="82" t="str">
        <x:v>https://hotwheels.fandom.com/wiki/Porsche_911_Turbo_(930)</x:v>
      </x:c>
    </x:row>
    <x:row r="804">
      <x:c r="A804" s="80" t="str">
        <x:v>Não</x:v>
      </x:c>
      <x:c r="B804" s="80" t="str">
        <x:v>3 — Caça de longo prazo</x:v>
      </x:c>
      <x:c r="C804" s="81" t="n">
        <x:v>2023</x:v>
      </x:c>
      <x:c r="D804" s="80" t="str">
        <x:v>Porsche 935 (2022)</x:v>
      </x:c>
      <x:c r="E804" s="80" t="str">
        <x:v>Porsche 935</x:v>
      </x:c>
      <x:c r="F804" s="82" t="str">
        <x:v>Car Culture: Race Day / 0/5</x:v>
      </x:c>
      <x:c r="G804" s="80" t="str"/>
      <x:c r="H804" s="80" t="str"/>
      <x:c r="I804" s="83" t="str">
        <x:v>HKC63</x:v>
      </x:c>
      <x:c r="J804" s="80" t="str">
        <x:v>Black</x:v>
      </x:c>
      <x:c r="K804" s="82" t="str">
        <x:v>Detailed headlights and taillights, "75" on sides</x:v>
      </x:c>
      <x:c r="L804" s="82" t="str">
        <x:v>Black RRA</x:v>
      </x:c>
      <x:c r="M804" s="82" t="str">
        <x:v>Black / / / Metal</x:v>
      </x:c>
      <x:c r="N804" s="82" t="str">
        <x:v>Smoke tint</x:v>
      </x:c>
      <x:c r="O804" s="82" t="str">
        <x:v>Black</x:v>
      </x:c>
      <x:c r="P804" s="82" t="str">
        <x:v>Thailand</x:v>
      </x:c>
      <x:c r="Q804" s="82" t="str">
        <x:v>Chase</x:v>
      </x:c>
      <x:c r="R804" s="82" t="str">
        <x:v>Premium</x:v>
      </x:c>
      <x:c r="S804" s="82" t="str">
        <x:v>Muito rara</x:v>
      </x:c>
      <x:c r="T804" s="82" t="str">
        <x:v>Lançado</x:v>
      </x:c>
      <x:c r="U804" s="82" t="str">
        <x:v>Chase / Base code(s): S26</x:v>
      </x:c>
      <x:c r="V804" s="80" t="str">
        <x:v>Coleção principal (~1:64)</x:v>
      </x:c>
      <x:c r="W804" s="82" t="str">
        <x:v>https://hotwheels.fandom.com/wiki/Porsche_935_(2022)</x:v>
      </x:c>
      <x:c r="X804" s="82" t="str">
        <x:v>https://hotwheels.fandom.com/wiki/Porsche_935_(2022)</x:v>
      </x:c>
    </x:row>
    <x:row r="805">
      <x:c r="A805" s="80" t="str">
        <x:v>Não</x:v>
      </x:c>
      <x:c r="B805" s="80" t="str">
        <x:v>3 — Caça de longo prazo</x:v>
      </x:c>
      <x:c r="C805" s="81" t="n">
        <x:v>2023</x:v>
      </x:c>
      <x:c r="D805" s="80" t="str">
        <x:v>Porsche 935 (2022)</x:v>
      </x:c>
      <x:c r="E805" s="80" t="str">
        <x:v>Porsche 935</x:v>
      </x:c>
      <x:c r="F805" s="82" t="str">
        <x:v>HW Exotics / 7/10</x:v>
      </x:c>
      <x:c r="G805" s="80" t="str"/>
      <x:c r="H805" s="80" t="str">
        <x:v>223/250</x:v>
      </x:c>
      <x:c r="I805" s="83" t="str">
        <x:v>HKL17</x:v>
      </x:c>
      <x:c r="J805" s="80" t="str">
        <x:v>Spectraflame navy blue</x:v>
      </x:c>
      <x:c r="K805" s="82" t="str">
        <x:v>Gold trim, red and yellow striping on sides, Porsche 75, Porsche and TH logos on door</x:v>
      </x:c>
      <x:c r="L805" s="82" t="str">
        <x:v>Chrome Gold Rim, Black RRA</x:v>
      </x:c>
      <x:c r="M805" s="82" t="str">
        <x:v>Black / / / Plastic</x:v>
      </x:c>
      <x:c r="N805" s="82" t="str">
        <x:v>Smoke tint</x:v>
      </x:c>
      <x:c r="O805" s="82" t="str">
        <x:v>Black</x:v>
      </x:c>
      <x:c r="P805" s="82" t="str">
        <x:v>Malaysia</x:v>
      </x:c>
      <x:c r="Q805" s="82" t="str">
        <x:v>Super Treasure Hunt</x:v>
      </x:c>
      <x:c r="R805" s="82" t="str">
        <x:v>Mainline especial</x:v>
      </x:c>
      <x:c r="S805" s="82" t="str">
        <x:v>Muito rara</x:v>
      </x:c>
      <x:c r="T805" s="82" t="str">
        <x:v>Lançado</x:v>
      </x:c>
      <x:c r="U805" s="82" t="str">
        <x:v>Porsche 75th Anniversary / Super Treasure Hunt / Base code(s): S20, S23</x:v>
      </x:c>
      <x:c r="V805" s="80" t="str">
        <x:v>Coleção principal (~1:64)</x:v>
      </x:c>
      <x:c r="W805" s="82" t="str">
        <x:v>https://hotwheels.fandom.com/wiki/Porsche_935_(2022)</x:v>
      </x:c>
      <x:c r="X805" s="82" t="str">
        <x:v>https://hotwheels.fandom.com/wiki/Porsche_935_(2022)</x:v>
      </x:c>
    </x:row>
    <x:row r="806">
      <x:c r="A806" s="80" t="str">
        <x:v>Não</x:v>
      </x:c>
      <x:c r="B806" s="80" t="str">
        <x:v>3 — Caça de longo prazo</x:v>
      </x:c>
      <x:c r="C806" s="81" t="n">
        <x:v>2023</x:v>
      </x:c>
      <x:c r="D806" s="80" t="str">
        <x:v>Porsche 959 (RLC)</x:v>
      </x:c>
      <x:c r="E806" s="80" t="str">
        <x:v>Porsche 959</x:v>
      </x:c>
      <x:c r="F806" s="82" t="str">
        <x:v>RLC Exclusive</x:v>
      </x:c>
      <x:c r="G806" s="80" t="str"/>
      <x:c r="H806" s="80" t="str"/>
      <x:c r="I806" s="83" t="str">
        <x:v>HGK85</x:v>
      </x:c>
      <x:c r="J806" s="80" t="str">
        <x:v>Spectraflame red</x:v>
      </x:c>
      <x:c r="K806" s="82" t="str">
        <x:v>Detailed headlights and taillights</x:v>
      </x:c>
      <x:c r="L806" s="82" t="str">
        <x:v>RRF52O</x:v>
      </x:c>
      <x:c r="M806" s="82" t="str">
        <x:v>Black / / / Metal</x:v>
      </x:c>
      <x:c r="N806" s="82" t="str">
        <x:v>Light smoke tint</x:v>
      </x:c>
      <x:c r="O806" s="82" t="str">
        <x:v>Ivory</x:v>
      </x:c>
      <x:c r="P806" s="82" t="str">
        <x:v>China</x:v>
      </x:c>
      <x:c r="Q806" s="82" t="str">
        <x:v>RLC / HWC</x:v>
      </x:c>
      <x:c r="R806" s="82" t="str">
        <x:v>RLC / HWC</x:v>
      </x:c>
      <x:c r="S806" s="82" t="str">
        <x:v>Muito rara</x:v>
      </x:c>
      <x:c r="T806" s="82" t="str">
        <x:v>Lançado</x:v>
      </x:c>
      <x:c r="U806" s="82" t="str">
        <x:v>Production code(s): 0343EAA</x:v>
      </x:c>
      <x:c r="V806" s="80" t="str">
        <x:v>Coleção principal (~1:64)</x:v>
      </x:c>
      <x:c r="W806" s="82" t="str">
        <x:v>https://hotwheels.fandom.com/wiki/Porsche_959_(RLC)</x:v>
      </x:c>
      <x:c r="X806" s="82" t="str">
        <x:v>https://hotwheels.fandom.com/wiki/Porsche_959_(RLC)</x:v>
      </x:c>
    </x:row>
    <x:row r="807">
      <x:c r="A807" s="80" t="str">
        <x:v>Não</x:v>
      </x:c>
      <x:c r="B807" s="80" t="str">
        <x:v>3 — Caça de longo prazo</x:v>
      </x:c>
      <x:c r="C807" s="81" t="n">
        <x:v>2023</x:v>
      </x:c>
      <x:c r="D807" s="80" t="str">
        <x:v>Porsche 959 (RLC)</x:v>
      </x:c>
      <x:c r="E807" s="80" t="str">
        <x:v>Porsche 959</x:v>
      </x:c>
      <x:c r="F807" s="82" t="str">
        <x:v>RLC Exclusive</x:v>
      </x:c>
      <x:c r="G807" s="80" t="str"/>
      <x:c r="H807" s="80" t="str"/>
      <x:c r="I807" s="83" t="str">
        <x:v>HNL18</x:v>
      </x:c>
      <x:c r="J807" s="80" t="str">
        <x:v>Spectraflame true black</x:v>
      </x:c>
      <x:c r="K807" s="82" t="str">
        <x:v>Detailed headlights and taillights</x:v>
      </x:c>
      <x:c r="L807" s="82" t="str">
        <x:v>Gray RRE</x:v>
      </x:c>
      <x:c r="M807" s="82" t="str">
        <x:v>Black / / / Metal</x:v>
      </x:c>
      <x:c r="N807" s="82" t="str">
        <x:v>Light smoke tint</x:v>
      </x:c>
      <x:c r="O807" s="82" t="str">
        <x:v>Red</x:v>
      </x:c>
      <x:c r="P807" s="82" t="str">
        <x:v>China</x:v>
      </x:c>
      <x:c r="Q807" s="82" t="str">
        <x:v>RLC / HWC</x:v>
      </x:c>
      <x:c r="R807" s="82" t="str">
        <x:v>RLC / HWC</x:v>
      </x:c>
      <x:c r="S807" s="82" t="str">
        <x:v>Muito rara</x:v>
      </x:c>
      <x:c r="T807" s="82" t="str">
        <x:v>Lançado</x:v>
      </x:c>
      <x:c r="U807" s="82" t="str">
        <x:v>Production code(s): 1383EAA</x:v>
      </x:c>
      <x:c r="V807" s="80" t="str">
        <x:v>Coleção principal (~1:64)</x:v>
      </x:c>
      <x:c r="W807" s="82" t="str">
        <x:v>https://hotwheels.fandom.com/wiki/Porsche_959_(RLC)</x:v>
      </x:c>
      <x:c r="X807" s="82" t="str">
        <x:v>https://hotwheels.fandom.com/wiki/Porsche_959_(RLC)</x:v>
      </x:c>
    </x:row>
    <x:row r="808">
      <x:c r="A808" s="80" t="str">
        <x:v>Não</x:v>
      </x:c>
      <x:c r="B808" s="80" t="str">
        <x:v>3 — Caça de longo prazo</x:v>
      </x:c>
      <x:c r="C808" s="81" t="n">
        <x:v>2023</x:v>
      </x:c>
      <x:c r="D808" s="80" t="str">
        <x:v>Porsche 964</x:v>
      </x:c>
      <x:c r="E808" s="80" t="str">
        <x:v>Porsche 964</x:v>
      </x:c>
      <x:c r="F808" s="82" t="str">
        <x:v>Mexico Hot Wheels Convention</x:v>
      </x:c>
      <x:c r="G808" s="80" t="str"/>
      <x:c r="H808" s="80" t="str"/>
      <x:c r="I808" s="83" t="str">
        <x:v>HNL12</x:v>
      </x:c>
      <x:c r="J808" s="80" t="str">
        <x:v>White Metallic</x:v>
      </x:c>
      <x:c r="K808" s="82" t="str">
        <x:v>Detailed headlights and taillights, Mexican flag diagonal, "23" on sides &amp; hood</x:v>
      </x:c>
      <x:c r="L808" s="82" t="str">
        <x:v>Copper rim RRF52O</x:v>
      </x:c>
      <x:c r="M808" s="82" t="str">
        <x:v>Black / / / Metal</x:v>
      </x:c>
      <x:c r="N808" s="82" t="str">
        <x:v>Clear</x:v>
      </x:c>
      <x:c r="O808" s="82" t="str">
        <x:v>Black</x:v>
      </x:c>
      <x:c r="P808" s="82" t="str">
        <x:v>Thailand</x:v>
      </x:c>
      <x:c r="Q808" s="82" t="str">
        <x:v>Convenção</x:v>
      </x:c>
      <x:c r="R808" s="82" t="str">
        <x:v>Convenção / evento</x:v>
      </x:c>
      <x:c r="S808" s="82" t="str">
        <x:v>Muito rara</x:v>
      </x:c>
      <x:c r="T808" s="82" t="str">
        <x:v>Lançado</x:v>
      </x:c>
      <x:c r="U808" s="82" t="str"/>
      <x:c r="V808" s="80" t="str">
        <x:v>Coleção principal (~1:64)</x:v>
      </x:c>
      <x:c r="W808" s="82" t="str">
        <x:v>https://hotwheels.fandom.com/wiki/Porsche_964</x:v>
      </x:c>
      <x:c r="X808" s="82" t="str">
        <x:v>https://hotwheels.fandom.com/wiki/Porsche_964</x:v>
      </x:c>
    </x:row>
    <x:row r="809">
      <x:c r="A809" s="80" t="str">
        <x:v>Não</x:v>
      </x:c>
      <x:c r="B809" s="80" t="str">
        <x:v>3 — Caça de longo prazo</x:v>
      </x:c>
      <x:c r="C809" s="81" t="n">
        <x:v>2023</x:v>
      </x:c>
      <x:c r="D809" s="80" t="str">
        <x:v>Porsche 964 (RLC)</x:v>
      </x:c>
      <x:c r="E809" s="80" t="str">
        <x:v>Porsche 964</x:v>
      </x:c>
      <x:c r="F809" s="82" t="str">
        <x:v>RLC Exclusive</x:v>
      </x:c>
      <x:c r="G809" s="80" t="str"/>
      <x:c r="H809" s="80" t="str"/>
      <x:c r="I809" s="83" t="str">
        <x:v>HNL26</x:v>
      </x:c>
      <x:c r="J809" s="80" t="str">
        <x:v>Spectraflame mint green</x:v>
      </x:c>
      <x:c r="K809" s="82" t="str">
        <x:v>Magnus Walker "Urban Outlaw" logo, "PORSCHE", &amp; metallic gold stripes on sides; Porsche logo &amp; metallic gold stripes on hood; Porsche Owners Club logo on opening rear hood; "PORSCHE" on rear; "OUTLAW" on black rear California license plate; silver trim; painted headlights, front turn signals, taillights, &amp; exhaust pipes</x:v>
      </x:c>
      <x:c r="L809" s="82" t="str">
        <x:v>CGRRF52O</x:v>
      </x:c>
      <x:c r="M809" s="82" t="str">
        <x:v>Matte black / / / Metal</x:v>
      </x:c>
      <x:c r="N809" s="82" t="str">
        <x:v>Light smoke tint</x:v>
      </x:c>
      <x:c r="O809" s="82" t="str">
        <x:v>Sage green with plaid seats</x:v>
      </x:c>
      <x:c r="P809" s="82" t="str">
        <x:v>China</x:v>
      </x:c>
      <x:c r="Q809" s="82" t="str">
        <x:v>RLC / HWC</x:v>
      </x:c>
      <x:c r="R809" s="82" t="str">
        <x:v>RLC / HWC</x:v>
      </x:c>
      <x:c r="S809" s="82" t="str">
        <x:v>Muito rara</x:v>
      </x:c>
      <x:c r="T809" s="82" t="str">
        <x:v>Lançado</x:v>
      </x:c>
      <x:c r="U809" s="82" t="str">
        <x:v>Production code(s): 2123EAA, 2143EAA, 2163EAA, 2193EAA, 2203EAA</x:v>
      </x:c>
      <x:c r="V809" s="80" t="str">
        <x:v>Coleção principal (~1:64)</x:v>
      </x:c>
      <x:c r="W809" s="82" t="str">
        <x:v>https://hotwheels.fandom.com/wiki/Porsche_964_(RLC)</x:v>
      </x:c>
      <x:c r="X809" s="82" t="str">
        <x:v>https://hotwheels.fandom.com/wiki/Porsche_964_(RLC)</x:v>
      </x:c>
    </x:row>
    <x:row r="810">
      <x:c r="A810" s="80" t="str">
        <x:v>Não</x:v>
      </x:c>
      <x:c r="B810" s="80" t="str">
        <x:v>3 — Caça de longo prazo</x:v>
      </x:c>
      <x:c r="C810" s="81" t="n">
        <x:v>2021</x:v>
      </x:c>
      <x:c r="D810" s="80" t="str">
        <x:v>Porsche 356 Outlaw</x:v>
      </x:c>
      <x:c r="E810" s="80" t="str">
        <x:v>Porsche 356 Outlaw</x:v>
      </x:c>
      <x:c r="F810" s="82" t="str">
        <x:v>HW Speed Graphics / 7/10</x:v>
      </x:c>
      <x:c r="G810" s="80" t="str"/>
      <x:c r="H810" s="80" t="str">
        <x:v>171/250</x:v>
      </x:c>
      <x:c r="I810" s="83" t="str">
        <x:v>GTD08</x:v>
      </x:c>
      <x:c r="J810" s="80" t="str">
        <x:v>Spectraflame Cyan</x:v>
      </x:c>
      <x:c r="K810" s="82" t="str">
        <x:v>Orange accents, Gulf logo</x:v>
      </x:c>
      <x:c r="L810" s="82" t="str">
        <x:v>RRSteelie</x:v>
      </x:c>
      <x:c r="M810" s="82" t="str">
        <x:v>Black / / / Plastic</x:v>
      </x:c>
      <x:c r="N810" s="82" t="str">
        <x:v>Smoke tint</x:v>
      </x:c>
      <x:c r="O810" s="82" t="str">
        <x:v>Black</x:v>
      </x:c>
      <x:c r="P810" s="82" t="str">
        <x:v>Malaysia</x:v>
      </x:c>
      <x:c r="Q810" s="82" t="str">
        <x:v>Super Treasure Hunt</x:v>
      </x:c>
      <x:c r="R810" s="82" t="str">
        <x:v>Mainline especial</x:v>
      </x:c>
      <x:c r="S810" s="82" t="str">
        <x:v>Muito rara</x:v>
      </x:c>
      <x:c r="T810" s="82" t="str">
        <x:v>Lançado</x:v>
      </x:c>
      <x:c r="U810" s="82" t="str">
        <x:v>Super Treasure Hunt / Base code(s): P02</x:v>
      </x:c>
      <x:c r="V810" s="80" t="str">
        <x:v>Coleção principal (~1:64)</x:v>
      </x:c>
      <x:c r="W810" s="82" t="str">
        <x:v>https://hotwheels.fandom.com/wiki/Porsche_356_Outlaw</x:v>
      </x:c>
      <x:c r="X810" s="82" t="str">
        <x:v>https://hotwheels.fandom.com/wiki/Porsche_356_Outlaw</x:v>
      </x:c>
    </x:row>
    <x:row r="811">
      <x:c r="A811" s="80" t="str">
        <x:v>Não</x:v>
      </x:c>
      <x:c r="B811" s="80" t="str">
        <x:v>3 — Caça de longo prazo</x:v>
      </x:c>
      <x:c r="C811" s="81" t="n">
        <x:v>2021</x:v>
      </x:c>
      <x:c r="D811" s="80" t="str">
        <x:v>Porsche Taycan Turbo S</x:v>
      </x:c>
      <x:c r="E811" s="80" t="str">
        <x:v>Porsche Taycan Turbo S</x:v>
      </x:c>
      <x:c r="F811" s="82" t="str">
        <x:v>Hot Wheels id: Chase / 6/8</x:v>
      </x:c>
      <x:c r="G811" s="80" t="str"/>
      <x:c r="H811" s="80" t="str"/>
      <x:c r="I811" s="83" t="str">
        <x:v>GTD65</x:v>
      </x:c>
      <x:c r="J811" s="80" t="str">
        <x:v>Spectraflame Carmine Red</x:v>
      </x:c>
      <x:c r="K811" s="82" t="str">
        <x:v>Detailed headlights &amp; taillights, "Turbo S" license plate, "PORSCHE Taycan Turbo S" on rear</x:v>
      </x:c>
      <x:c r="L811" s="82" t="str">
        <x:v>Chrome rim, Black OH5</x:v>
      </x:c>
      <x:c r="M811" s="82" t="str">
        <x:v>Clear Black / / / Plastic</x:v>
      </x:c>
      <x:c r="N811" s="82" t="str">
        <x:v>Smoke tint</x:v>
      </x:c>
      <x:c r="O811" s="82" t="str">
        <x:v>Black</x:v>
      </x:c>
      <x:c r="P811" s="82" t="str">
        <x:v>Malaysia</x:v>
      </x:c>
      <x:c r="Q811" s="82" t="str">
        <x:v>Chase</x:v>
      </x:c>
      <x:c r="R811" s="82" t="str">
        <x:v>Outra linha</x:v>
      </x:c>
      <x:c r="S811" s="82" t="str">
        <x:v>Muito rara</x:v>
      </x:c>
      <x:c r="T811" s="82" t="str">
        <x:v>Lançado</x:v>
      </x:c>
      <x:c r="U811" s="82" t="str">
        <x:v>Base code(s): P09</x:v>
      </x:c>
      <x:c r="V811" s="80" t="str">
        <x:v>Coleção principal (~1:64)</x:v>
      </x:c>
      <x:c r="W811" s="82" t="str">
        <x:v>https://hotwheels.fandom.com/wiki/Porsche_Taycan_Turbo_S</x:v>
      </x:c>
      <x:c r="X811" s="82" t="str">
        <x:v>https://hotwheels.fandom.com/wiki/Porsche_Taycan_Turbo_S</x:v>
      </x:c>
    </x:row>
    <x:row r="812">
      <x:c r="A812" s="80" t="str">
        <x:v>Não</x:v>
      </x:c>
      <x:c r="B812" s="80" t="str">
        <x:v>3 — Caça de longo prazo</x:v>
      </x:c>
      <x:c r="C812" s="81" t="n">
        <x:v>2020</x:v>
      </x:c>
      <x:c r="D812" s="80" t="str">
        <x:v>RWB Porsche 930 (RLC)</x:v>
      </x:c>
      <x:c r="E812" s="80" t="str">
        <x:v>RWB Porsche 930</x:v>
      </x:c>
      <x:c r="F812" s="82" t="str">
        <x:v>Red Line Club Exclusive</x:v>
      </x:c>
      <x:c r="G812" s="80" t="str"/>
      <x:c r="H812" s="80" t="str"/>
      <x:c r="I812" s="83" t="str">
        <x:v>GDF84</x:v>
      </x:c>
      <x:c r="J812" s="80" t="str">
        <x:v>Spectraflame black</x:v>
      </x:c>
      <x:c r="K812" s="82" t="str">
        <x:v>"RAUH-Welt" on sides &amp; windshield, "what the world needs now is rough" on rear, detailed headlights, taillights, &amp; trim</x:v>
      </x:c>
      <x:c r="L812" s="82" t="str">
        <x:v>GRR6SPM</x:v>
      </x:c>
      <x:c r="M812" s="82" t="str">
        <x:v>Matte black / / / Metal</x:v>
      </x:c>
      <x:c r="N812" s="82" t="str">
        <x:v>Clear</x:v>
      </x:c>
      <x:c r="O812" s="82" t="str">
        <x:v>Black</x:v>
      </x:c>
      <x:c r="P812" s="82" t="str">
        <x:v>China</x:v>
      </x:c>
      <x:c r="Q812" s="82" t="str">
        <x:v>RLC / HWC</x:v>
      </x:c>
      <x:c r="R812" s="82" t="str">
        <x:v>RLC / HWC</x:v>
      </x:c>
      <x:c r="S812" s="82" t="str">
        <x:v>Muito rara</x:v>
      </x:c>
      <x:c r="T812" s="82" t="str">
        <x:v>Lançado</x:v>
      </x:c>
      <x:c r="U812" s="82" t="str">
        <x:v>12,000 produced / Production code(s): 2119EAA</x:v>
      </x:c>
      <x:c r="V812" s="80" t="str">
        <x:v>Coleção principal (~1:64)</x:v>
      </x:c>
      <x:c r="W812" s="82" t="str">
        <x:v>https://hotwheels.fandom.com/wiki/RWB_Porsche_930_(RLC)</x:v>
      </x:c>
      <x:c r="X812" s="82" t="str">
        <x:v>https://hotwheels.fandom.com/wiki/RWB_Porsche_930_(RLC)</x:v>
      </x:c>
    </x:row>
    <x:row r="813">
      <x:c r="A813" s="80" t="str">
        <x:v>Não</x:v>
      </x:c>
      <x:c r="B813" s="80" t="str">
        <x:v>3 — Caça de longo prazo</x:v>
      </x:c>
      <x:c r="C813" s="81" t="n">
        <x:v>2019</x:v>
      </x:c>
      <x:c r="D813" s="80" t="str">
        <x:v>Porsche 911 GT3 RS (2016)</x:v>
      </x:c>
      <x:c r="E813" s="80" t="str">
        <x:v>Porsche 911 GT3 RS</x:v>
      </x:c>
      <x:c r="F813" s="82" t="str">
        <x:v>Factory Fresh / 10/10</x:v>
      </x:c>
      <x:c r="G813" s="80" t="str"/>
      <x:c r="H813" s="80" t="str">
        <x:v>246/250</x:v>
      </x:c>
      <x:c r="I813" s="83" t="str">
        <x:v>FYG05</x:v>
      </x:c>
      <x:c r="J813" s="80" t="str">
        <x:v>Spectraflame Purple</x:v>
      </x:c>
      <x:c r="K813" s="82" t="str">
        <x:v>HW Logo &amp; 'TH' on rear plate</x:v>
      </x:c>
      <x:c r="L813" s="82" t="str">
        <x:v>RR10SP</x:v>
      </x:c>
      <x:c r="M813" s="82" t="str">
        <x:v>Black / / / Plastic</x:v>
      </x:c>
      <x:c r="N813" s="82" t="str">
        <x:v>Smoke tint</x:v>
      </x:c>
      <x:c r="O813" s="82" t="str">
        <x:v>Black</x:v>
      </x:c>
      <x:c r="P813" s="82" t="str">
        <x:v>Malaysia</x:v>
      </x:c>
      <x:c r="Q813" s="82" t="str">
        <x:v>Super Treasure Hunt</x:v>
      </x:c>
      <x:c r="R813" s="82" t="str">
        <x:v>Mainline especial</x:v>
      </x:c>
      <x:c r="S813" s="82" t="str">
        <x:v>Muito rara</x:v>
      </x:c>
      <x:c r="T813" s="82" t="str">
        <x:v>Lançado</x:v>
      </x:c>
      <x:c r="U813" s="82" t="str">
        <x:v>Super Treasure Hunt / Base code(s): M24</x:v>
      </x:c>
      <x:c r="V813" s="80" t="str">
        <x:v>Coleção principal (~1:64)</x:v>
      </x:c>
      <x:c r="W813" s="82" t="str">
        <x:v>https://hotwheels.fandom.com/wiki/Porsche_911_GT3_RS_(2016)</x:v>
      </x:c>
      <x:c r="X813" s="82" t="str">
        <x:v>https://hotwheels.fandom.com/wiki/Porsche_911_GT3_RS_(2016)</x:v>
      </x:c>
    </x:row>
    <x:row r="814">
      <x:c r="A814" s="80" t="str">
        <x:v>Não</x:v>
      </x:c>
      <x:c r="B814" s="80" t="str">
        <x:v>3 — Caça de longo prazo</x:v>
      </x:c>
      <x:c r="C814" s="81" t="n">
        <x:v>2019</x:v>
      </x:c>
      <x:c r="D814" s="80" t="str">
        <x:v>Porsche 964 (RLC)</x:v>
      </x:c>
      <x:c r="E814" s="80" t="str">
        <x:v>Porsche 964</x:v>
      </x:c>
      <x:c r="F814" s="82" t="str">
        <x:v>RLC Exclusive</x:v>
      </x:c>
      <x:c r="G814" s="80" t="str"/>
      <x:c r="H814" s="80" t="str"/>
      <x:c r="I814" s="83" t="str">
        <x:v>GDF88</x:v>
      </x:c>
      <x:c r="J814" s="80" t="str">
        <x:v>Gray</x:v>
      </x:c>
      <x:c r="K814" s="82" t="str">
        <x:v>Magnus Walker "Urban Outlaw" and fifteen52 logos on sides; Porsche logo on hood; "PORSCHE" on rear; "OUTLAW" on black rear California license plate; silver trim; painted headlights, front turn signals, taillights, &amp; exhaust pipes</x:v>
      </x:c>
      <x:c r="L814" s="82" t="str">
        <x:v>RRF52O</x:v>
      </x:c>
      <x:c r="M814" s="82" t="str">
        <x:v>Black / / / Metal</x:v>
      </x:c>
      <x:c r="N814" s="82" t="str">
        <x:v>Clear</x:v>
      </x:c>
      <x:c r="O814" s="82" t="str">
        <x:v>Black &amp; red</x:v>
      </x:c>
      <x:c r="P814" s="82" t="str">
        <x:v>China</x:v>
      </x:c>
      <x:c r="Q814" s="82" t="str">
        <x:v>RLC / HWC</x:v>
      </x:c>
      <x:c r="R814" s="82" t="str">
        <x:v>RLC / HWC</x:v>
      </x:c>
      <x:c r="S814" s="82" t="str">
        <x:v>Muito rara</x:v>
      </x:c>
      <x:c r="T814" s="82" t="str">
        <x:v>Lançado</x:v>
      </x:c>
      <x:c r="U814" s="82" t="str">
        <x:v>10,000 produced / Production code(s): 1339EAA, 1359EAA</x:v>
      </x:c>
      <x:c r="V814" s="80" t="str">
        <x:v>Coleção principal (~1:64)</x:v>
      </x:c>
      <x:c r="W814" s="82" t="str">
        <x:v>https://hotwheels.fandom.com/wiki/Porsche_964_(RLC)</x:v>
      </x:c>
      <x:c r="X814" s="82" t="str">
        <x:v>https://hotwheels.fandom.com/wiki/Porsche_964_(RLC)</x:v>
      </x:c>
    </x:row>
    <x:row r="815">
      <x:c r="A815" s="80" t="str">
        <x:v>Não</x:v>
      </x:c>
      <x:c r="B815" s="80" t="str">
        <x:v>3 — Caça de longo prazo</x:v>
      </x:c>
      <x:c r="C815" s="81" t="n">
        <x:v>2019</x:v>
      </x:c>
      <x:c r="D815" s="80" t="str">
        <x:v>Porsche 964 (RLC)</x:v>
      </x:c>
      <x:c r="E815" s="80" t="str">
        <x:v>Porsche 964</x:v>
      </x:c>
      <x:c r="F815" s="82" t="str">
        <x:v>RLC Exclusive</x:v>
      </x:c>
      <x:c r="G815" s="80" t="str"/>
      <x:c r="H815" s="80" t="str"/>
      <x:c r="I815" s="83" t="str">
        <x:v>FPN10</x:v>
      </x:c>
      <x:c r="J815" s="80" t="str">
        <x:v>Spectraflame slate</x:v>
      </x:c>
      <x:c r="K815" s="82" t="str">
        <x:v>Magnus Walker "Urban Outlaw" and fifteen52 logos on sides; Porsche logo on hood; "PORSCHE" on rear; "OUTLAW" on black rear California license plate; silver trim; painted headlights, front turn signals, taillights, &amp; exhaust pipes</x:v>
      </x:c>
      <x:c r="L815" s="82" t="str">
        <x:v>RRF52O</x:v>
      </x:c>
      <x:c r="M815" s="82" t="str">
        <x:v>Black / / / Metal</x:v>
      </x:c>
      <x:c r="N815" s="82" t="str">
        <x:v>Clear</x:v>
      </x:c>
      <x:c r="O815" s="82" t="str">
        <x:v>Black &amp; red</x:v>
      </x:c>
      <x:c r="P815" s="82" t="str">
        <x:v>China</x:v>
      </x:c>
      <x:c r="Q815" s="82" t="str">
        <x:v>RLC / HWC</x:v>
      </x:c>
      <x:c r="R815" s="82" t="str">
        <x:v>RLC / HWC</x:v>
      </x:c>
      <x:c r="S815" s="82" t="str">
        <x:v>Muito rara</x:v>
      </x:c>
      <x:c r="T815" s="82" t="str">
        <x:v>Lançado</x:v>
      </x:c>
      <x:c r="U815" s="82" t="str">
        <x:v>10,000 produced / Included Magnus Walker figurine / Production code(s):</x:v>
      </x:c>
      <x:c r="V815" s="80" t="str">
        <x:v>Coleção principal (~1:64)</x:v>
      </x:c>
      <x:c r="W815" s="82" t="str">
        <x:v>https://hotwheels.fandom.com/wiki/Porsche_964_(RLC)</x:v>
      </x:c>
      <x:c r="X815" s="82" t="str">
        <x:v>https://hotwheels.fandom.com/wiki/Porsche_964_(RLC)</x:v>
      </x:c>
    </x:row>
    <x:row r="816">
      <x:c r="A816" s="80" t="str">
        <x:v>Não</x:v>
      </x:c>
      <x:c r="B816" s="80" t="str">
        <x:v>3 — Caça de longo prazo</x:v>
      </x:c>
      <x:c r="C816" s="81" t="n">
        <x:v>2018</x:v>
      </x:c>
      <x:c r="D816" s="80" t="str">
        <x:v>Porsche 934.5</x:v>
      </x:c>
      <x:c r="E816" s="80" t="str">
        <x:v>Porsche 934.5</x:v>
      </x:c>
      <x:c r="F816" s="82" t="str">
        <x:v>Nightburnerz / 2/10</x:v>
      </x:c>
      <x:c r="G816" s="80" t="str"/>
      <x:c r="H816" s="80" t="str"/>
      <x:c r="I816" s="83" t="str">
        <x:v>FKB47</x:v>
      </x:c>
      <x:c r="J816" s="80" t="str">
        <x:v>Spectraflame Aqua</x:v>
      </x:c>
      <x:c r="K816" s="82" t="str">
        <x:v>White 34, Porsche &amp; TH, Porsche logo, Headlights</x:v>
      </x:c>
      <x:c r="L816" s="82" t="str">
        <x:v>White RRA</x:v>
      </x:c>
      <x:c r="M816" s="82" t="str">
        <x:v>Black / / / Plastic</x:v>
      </x:c>
      <x:c r="N816" s="82" t="str">
        <x:v>Smoke tint</x:v>
      </x:c>
      <x:c r="O816" s="82" t="str">
        <x:v>Black</x:v>
      </x:c>
      <x:c r="P816" s="82" t="str">
        <x:v>Malaysia</x:v>
      </x:c>
      <x:c r="Q816" s="82" t="str">
        <x:v>Super Treasure Hunt</x:v>
      </x:c>
      <x:c r="R816" s="82" t="str">
        <x:v>Mainline especial</x:v>
      </x:c>
      <x:c r="S816" s="82" t="str">
        <x:v>Muito rara</x:v>
      </x:c>
      <x:c r="T816" s="82" t="str">
        <x:v>Lançado</x:v>
      </x:c>
      <x:c r="U816" s="82" t="str">
        <x:v>Super Treasure Hunt / Base code(s): K36</x:v>
      </x:c>
      <x:c r="V816" s="80" t="str">
        <x:v>Coleção principal (~1:64)</x:v>
      </x:c>
      <x:c r="W816" s="82" t="str">
        <x:v>https://hotwheels.fandom.com/wiki/Porsche_934.5</x:v>
      </x:c>
      <x:c r="X816" s="82" t="str">
        <x:v>https://hotwheels.fandom.com/wiki/Porsche_934.5</x:v>
      </x:c>
    </x:row>
    <x:row r="817">
      <x:c r="A817" s="80" t="str">
        <x:v>Não</x:v>
      </x:c>
      <x:c r="B817" s="80" t="str">
        <x:v>3 — Caça de longo prazo</x:v>
      </x:c>
      <x:c r="C817" s="81" t="n">
        <x:v>2016</x:v>
      </x:c>
      <x:c r="D817" s="80" t="str">
        <x:v>Porsche 993 GT2</x:v>
      </x:c>
      <x:c r="E817" s="80" t="str">
        <x:v>Porsche 993 GT2</x:v>
      </x:c>
      <x:c r="F817" s="82" t="str">
        <x:v>HW Showroom / 4/10</x:v>
      </x:c>
      <x:c r="G817" s="80" t="str"/>
      <x:c r="H817" s="80" t="str">
        <x:v>114/250</x:v>
      </x:c>
      <x:c r="I817" s="83" t="str">
        <x:v>DHT82</x:v>
      </x:c>
      <x:c r="J817" s="80" t="str">
        <x:v>Spectraflame Dark Blue</x:v>
      </x:c>
      <x:c r="K817" s="82" t="str">
        <x:v>Black hood, Orange stripe on top, 'Porsche' on spoiler, 'TH' on roof</x:v>
      </x:c>
      <x:c r="L817" s="82" t="str">
        <x:v>Orange RREx</x:v>
      </x:c>
      <x:c r="M817" s="82" t="str">
        <x:v>Grey / / / Plastic</x:v>
      </x:c>
      <x:c r="N817" s="82" t="str">
        <x:v>Clear</x:v>
      </x:c>
      <x:c r="O817" s="82" t="str">
        <x:v>White</x:v>
      </x:c>
      <x:c r="P817" s="82" t="str">
        <x:v>Malaysia</x:v>
      </x:c>
      <x:c r="Q817" s="82" t="str">
        <x:v>Super Treasure Hunt</x:v>
      </x:c>
      <x:c r="R817" s="82" t="str">
        <x:v>Mainline especial</x:v>
      </x:c>
      <x:c r="S817" s="82" t="str">
        <x:v>Muito rara</x:v>
      </x:c>
      <x:c r="T817" s="82" t="str">
        <x:v>Lançado</x:v>
      </x:c>
      <x:c r="U817" s="82" t="str">
        <x:v>Super Treasure Hunt / Half Roll Cage variation / Base code(s): H42, H43, H44</x:v>
      </x:c>
      <x:c r="V817" s="80" t="str">
        <x:v>Coleção principal (~1:64)</x:v>
      </x:c>
      <x:c r="W817" s="82" t="str">
        <x:v>https://hotwheels.fandom.com/wiki/Porsche_993_GT2</x:v>
      </x:c>
      <x:c r="X817" s="82" t="str">
        <x:v>https://hotwheels.fandom.com/wiki/Porsche_993_GT2</x:v>
      </x:c>
    </x:row>
    <x:row r="818">
      <x:c r="A818" s="80" t="str">
        <x:v>Não</x:v>
      </x:c>
      <x:c r="B818" s="80" t="str">
        <x:v>3 — Caça de longo prazo</x:v>
      </x:c>
      <x:c r="C818" s="81" t="n">
        <x:v>2016</x:v>
      </x:c>
      <x:c r="D818" s="80" t="str">
        <x:v>Porsche 993 GT2</x:v>
      </x:c>
      <x:c r="E818" s="80" t="str">
        <x:v>Porsche 993 GT2</x:v>
      </x:c>
      <x:c r="F818" s="82" t="str">
        <x:v>HWC.com Special</x:v>
      </x:c>
      <x:c r="G818" s="80" t="str"/>
      <x:c r="H818" s="80" t="str"/>
      <x:c r="I818" s="83" t="str">
        <x:v>DJX40</x:v>
      </x:c>
      <x:c r="J818" s="80" t="str">
        <x:v>Gulf Powder Blue</x:v>
      </x:c>
      <x:c r="K818" s="82" t="str">
        <x:v>Orange, Blue &amp; White Gulf Racing Graphics; #93, "PORSCHE"</x:v>
      </x:c>
      <x:c r="L818" s="82" t="str">
        <x:v>Firestone RR8SP</x:v>
      </x:c>
      <x:c r="M818" s="82" t="str">
        <x:v>Matte Black / / / Metal</x:v>
      </x:c>
      <x:c r="N818" s="82" t="str">
        <x:v>Clear</x:v>
      </x:c>
      <x:c r="O818" s="82" t="str">
        <x:v>Black</x:v>
      </x:c>
      <x:c r="P818" s="82" t="str">
        <x:v>Malaysia</x:v>
      </x:c>
      <x:c r="Q818" s="82" t="str">
        <x:v>RLC / HWC</x:v>
      </x:c>
      <x:c r="R818" s="82" t="str">
        <x:v>RLC / HWC</x:v>
      </x:c>
      <x:c r="S818" s="82" t="str">
        <x:v>Muito rara</x:v>
      </x:c>
      <x:c r="T818" s="82" t="str">
        <x:v>Lançado</x:v>
      </x:c>
      <x:c r="U818" s="82" t="str">
        <x:v>6,000 produced / Base code(s):</x:v>
      </x:c>
      <x:c r="V818" s="80" t="str">
        <x:v>Coleção principal (~1:64)</x:v>
      </x:c>
      <x:c r="W818" s="82" t="str">
        <x:v>https://hotwheels.fandom.com/wiki/Porsche_993_GT2</x:v>
      </x:c>
      <x:c r="X818" s="82" t="str">
        <x:v>https://hotwheels.fandom.com/wiki/Porsche_993_GT2</x:v>
      </x:c>
    </x:row>
    <x:row r="819">
      <x:c r="A819" s="80" t="str">
        <x:v>Não</x:v>
      </x:c>
      <x:c r="B819" s="80" t="str">
        <x:v>3 — Caça de longo prazo</x:v>
      </x:c>
      <x:c r="C819" s="81" t="n">
        <x:v>2013</x:v>
      </x:c>
      <x:c r="D819" s="80" t="str">
        <x:v>Porsche 917KH</x:v>
      </x:c>
      <x:c r="E819" s="80" t="str">
        <x:v>Porsche 917KH</x:v>
      </x:c>
      <x:c r="F819" s="82" t="str">
        <x:v>HWC Gulf Racing 1/4</x:v>
      </x:c>
      <x:c r="G819" s="80" t="str"/>
      <x:c r="H819" s="80" t="str"/>
      <x:c r="I819" s="83" t="str">
        <x:v>Y0462</x:v>
      </x:c>
      <x:c r="J819" s="80" t="str">
        <x:v>Spectraflame Gulf Powder Blue</x:v>
      </x:c>
      <x:c r="K819" s="82" t="str">
        <x:v>Orange front end, orange stripes on sides &amp; along top, Gulf logo &amp; "20" on sides, hood, &amp; rear deck, painted taillights</x:v>
      </x:c>
      <x:c r="L819" s="82" t="str">
        <x:v>Black FSRREx</x:v>
      </x:c>
      <x:c r="M819" s="82" t="str">
        <x:v>Matte Black / Metal</x:v>
      </x:c>
      <x:c r="N819" s="82" t="str">
        <x:v>Clear</x:v>
      </x:c>
      <x:c r="O819" s="82" t="str">
        <x:v>Matte Black</x:v>
      </x:c>
      <x:c r="P819" s="82" t="str">
        <x:v>Malaysia</x:v>
      </x:c>
      <x:c r="Q819" s="82" t="str">
        <x:v>RLC / HWC</x:v>
      </x:c>
      <x:c r="R819" s="82" t="str">
        <x:v>RLC / HWC</x:v>
      </x:c>
      <x:c r="S819" s="82" t="str">
        <x:v>Muito rara</x:v>
      </x:c>
      <x:c r="T819" s="82" t="str">
        <x:v>Lançado</x:v>
      </x:c>
      <x:c r="U819" s="82" t="str">
        <x:v>4,000 producedBase code(s): F36, F37</x:v>
      </x:c>
      <x:c r="V819" s="80" t="str">
        <x:v>Coleção principal (~1:64)</x:v>
      </x:c>
      <x:c r="W819" s="82" t="str">
        <x:v>https://hotwheels.fandom.com/wiki/Porsche_917KH</x:v>
      </x:c>
      <x:c r="X819" s="82" t="str">
        <x:v>https://hotwheels.fandom.com/wiki/Porsche_917KH</x:v>
      </x:c>
    </x:row>
    <x:row r="820">
      <x:c r="A820" s="80" t="str">
        <x:v>Não</x:v>
      </x:c>
      <x:c r="B820" s="80" t="str">
        <x:v>3 — Caça de longo prazo</x:v>
      </x:c>
      <x:c r="C820" s="81" t="n">
        <x:v>2011</x:v>
      </x:c>
      <x:c r="D820" s="80" t="str">
        <x:v>Porsche 917</x:v>
      </x:c>
      <x:c r="E820" s="80" t="str">
        <x:v>Porsche 917</x:v>
      </x:c>
      <x:c r="F820" s="82" t="str">
        <x:v>The Hot Ones</x:v>
      </x:c>
      <x:c r="G820" s="80" t="str"/>
      <x:c r="H820" s="80" t="str"/>
      <x:c r="I820" s="83" t="str">
        <x:v>W1561</x:v>
      </x:c>
      <x:c r="J820" s="80" t="str">
        <x:v>Metallic Red</x:v>
      </x:c>
      <x:c r="K820" s="82" t="str">
        <x:v>Red PORSCHE over black stripes on top sides. Yellow #9 on front end with stripes</x:v>
      </x:c>
      <x:c r="L820" s="82" t="str">
        <x:v>RLBW</x:v>
      </x:c>
      <x:c r="M820" s="82" t="str">
        <x:v>Unpainted / Metal</x:v>
      </x:c>
      <x:c r="N820" s="82" t="str">
        <x:v>Blue Tint</x:v>
      </x:c>
      <x:c r="O820" s="82" t="str">
        <x:v>Grey</x:v>
      </x:c>
      <x:c r="P820" s="82" t="str">
        <x:v>Thailand</x:v>
      </x:c>
      <x:c r="Q820" s="82" t="str">
        <x:v>Chase</x:v>
      </x:c>
      <x:c r="R820" s="82" t="str">
        <x:v>Outra linha</x:v>
      </x:c>
      <x:c r="S820" s="82" t="str">
        <x:v>Muito rara</x:v>
      </x:c>
      <x:c r="T820" s="82" t="str">
        <x:v>Lançado</x:v>
      </x:c>
      <x:c r="U820" s="82" t="str">
        <x:v>Chase Base Code(s):</x:v>
      </x:c>
      <x:c r="V820" s="80" t="str">
        <x:v>Coleção principal (~1:64)</x:v>
      </x:c>
      <x:c r="W820" s="82" t="str">
        <x:v>https://hotwheels.fandom.com/wiki/Porsche_917</x:v>
      </x:c>
      <x:c r="X820" s="82" t="str">
        <x:v>https://hotwheels.fandom.com/wiki/Porsche_917</x:v>
      </x:c>
    </x:row>
    <x:row r="821">
      <x:c r="A821" s="80" t="str">
        <x:v>Não</x:v>
      </x:c>
      <x:c r="B821" s="80" t="str">
        <x:v>3 — Caça de longo prazo</x:v>
      </x:c>
      <x:c r="C821" s="81" t="n">
        <x:v>1998</x:v>
      </x:c>
      <x:c r="D821" s="80" t="str">
        <x:v>Porsche 911 Carrera</x:v>
      </x:c>
      <x:c r="E821" s="80" t="str">
        <x:v>Porsche 911 Carrera</x:v>
      </x:c>
      <x:c r="F821" s="82" t="str">
        <x:v>Mainline</x:v>
      </x:c>
      <x:c r="G821" s="80" t="str"/>
      <x:c r="H821" s="80" t="str">
        <x:v>829</x:v>
      </x:c>
      <x:c r="I821" s="83" t="str">
        <x:v>15788</x:v>
      </x:c>
      <x:c r="J821" s="80" t="str">
        <x:v>ZAMAC</x:v>
      </x:c>
      <x:c r="K821" s="82" t="str">
        <x:v>Black Hot Wheels Logo on Front Fender</x:v>
      </x:c>
      <x:c r="L821" s="82" t="str">
        <x:v>SB</x:v>
      </x:c>
      <x:c r="M821" s="82" t="str">
        <x:v>Unpainted / Metal</x:v>
      </x:c>
      <x:c r="N821" s="82" t="str">
        <x:v>Grey tint</x:v>
      </x:c>
      <x:c r="O821" s="82" t="str">
        <x:v>Black</x:v>
      </x:c>
      <x:c r="P821" s="82" t="str">
        <x:v>Malaysia</x:v>
      </x:c>
      <x:c r="Q821" s="82" t="str">
        <x:v>ZAMAC, Convenção</x:v>
      </x:c>
      <x:c r="R821" s="82" t="str">
        <x:v>Convenção / evento</x:v>
      </x:c>
      <x:c r="S821" s="82" t="str">
        <x:v>Muito rara</x:v>
      </x:c>
      <x:c r="T821" s="82" t="str">
        <x:v>Lançado</x:v>
      </x:c>
      <x:c r="U821" s="82" t="str">
        <x:v>Only 500 producedZAMAC Convention model</x:v>
      </x:c>
      <x:c r="V821" s="80" t="str">
        <x:v>Coleção principal (~1:64)</x:v>
      </x:c>
      <x:c r="W821" s="82" t="str">
        <x:v>https://hotwheels.fandom.com/wiki/Porsche_911_Carrera</x:v>
      </x:c>
      <x:c r="X821" s="82" t="str">
        <x:v>https://hotwheels.fandom.com/wiki/Porsche_911_Carrera</x:v>
      </x:c>
    </x:row>
    <x:row r="822">
      <x:c r="A822" s="80" t="str">
        <x:v>Não</x:v>
      </x:c>
      <x:c r="B822" s="80" t="str">
        <x:v>3 — Caça de longo prazo</x:v>
      </x:c>
      <x:c r="C822" s="81" t="n">
        <x:v>1998</x:v>
      </x:c>
      <x:c r="D822" s="80" t="str">
        <x:v>Porsche 911 Carrera</x:v>
      </x:c>
      <x:c r="E822" s="80" t="str">
        <x:v>Porsche 911 Carrera</x:v>
      </x:c>
      <x:c r="F822" s="82" t="str">
        <x:v>Mainline ZAMAC Convention model</x:v>
      </x:c>
      <x:c r="G822" s="80" t="str"/>
      <x:c r="H822" s="80" t="str">
        <x:v>829</x:v>
      </x:c>
      <x:c r="I822" s="83" t="str">
        <x:v>15788</x:v>
      </x:c>
      <x:c r="J822" s="80" t="str">
        <x:v>ZAMAC Clear Coated</x:v>
      </x:c>
      <x:c r="K822" s="82" t="str">
        <x:v>Black Hot Wheels Logo on Front Fender</x:v>
      </x:c>
      <x:c r="L822" s="82" t="str">
        <x:v>SB</x:v>
      </x:c>
      <x:c r="M822" s="82" t="str">
        <x:v>Unpainted / / / Metal</x:v>
      </x:c>
      <x:c r="N822" s="82" t="str">
        <x:v>Grey tint</x:v>
      </x:c>
      <x:c r="O822" s="82" t="str">
        <x:v>Black</x:v>
      </x:c>
      <x:c r="P822" s="82" t="str">
        <x:v>Malaysia</x:v>
      </x:c>
      <x:c r="Q822" s="82" t="str">
        <x:v>ZAMAC, Convenção</x:v>
      </x:c>
      <x:c r="R822" s="82" t="str">
        <x:v>Convenção / evento</x:v>
      </x:c>
      <x:c r="S822" s="82" t="str">
        <x:v>Muito rara</x:v>
      </x:c>
      <x:c r="T822" s="82" t="str">
        <x:v>Lançado</x:v>
      </x:c>
      <x:c r="U822" s="82" t="str">
        <x:v>Ltd Prod 500</x:v>
      </x:c>
      <x:c r="V822" s="80" t="str">
        <x:v>Coleção principal (~1:64)</x:v>
      </x:c>
      <x:c r="W822" s="82" t="str">
        <x:v>https://hotwheels.fandom.com/wiki/Porsche_911_Carrera</x:v>
      </x:c>
      <x:c r="X822" s="82" t="str">
        <x:v>https://hotwheels.fandom.com/wiki/Porsche_911_Carrera</x:v>
      </x:c>
    </x:row>
    <x:row r="823">
      <x:c r="A823" s="80" t="str">
        <x:v>Não</x:v>
      </x:c>
      <x:c r="B823" s="80" t="str">
        <x:v>3 — Caça de longo prazo</x:v>
      </x:c>
      <x:c r="C823" s="81" t="n">
        <x:v>1990</x:v>
      </x:c>
      <x:c r="D823" s="80" t="str">
        <x:v>P-911</x:v>
      </x:c>
      <x:c r="E823" s="80" t="str">
        <x:v>P-911</x:v>
      </x:c>
      <x:c r="F823" s="82" t="str">
        <x:v>4th Collectors Convention</x:v>
      </x:c>
      <x:c r="G823" s="80" t="str"/>
      <x:c r="H823" s="80" t="str"/>
      <x:c r="I823" s="83" t="str"/>
      <x:c r="J823" s="80" t="str">
        <x:v>Black</x:v>
      </x:c>
      <x:c r="K823" s="82" t="str">
        <x:v>Red Convention Hot Wheels logo on roof , Stripes &amp; '91 on Trunk [front</x:v>
      </x:c>
      <x:c r="L823" s="82" t="str">
        <x:v>Gold Chrome BW</x:v>
      </x:c>
      <x:c r="M823" s="82" t="str">
        <x:v>Unpainted / Metal</x:v>
      </x:c>
      <x:c r="N823" s="82" t="str">
        <x:v>Black tint</x:v>
      </x:c>
      <x:c r="O823" s="82" t="str">
        <x:v>Black</x:v>
      </x:c>
      <x:c r="P823" s="82" t="str">
        <x:v>Hong Kong</x:v>
      </x:c>
      <x:c r="Q823" s="82" t="str">
        <x:v>Convenção</x:v>
      </x:c>
      <x:c r="R823" s="82" t="str">
        <x:v>Convenção / evento</x:v>
      </x:c>
      <x:c r="S823" s="82" t="str">
        <x:v>Muito rara</x:v>
      </x:c>
      <x:c r="T823" s="82" t="str">
        <x:v>Lançado</x:v>
      </x:c>
      <x:c r="U823" s="82" t="str"/>
      <x:c r="V823" s="80" t="str">
        <x:v>Coleção principal (~1:64)</x:v>
      </x:c>
      <x:c r="W823" s="82" t="str">
        <x:v>https://hotwheels.fandom.com/wiki/P-911</x:v>
      </x:c>
      <x:c r="X823" s="82" t="str">
        <x:v>https://hotwheels.fandom.com/wiki/P-911</x:v>
      </x:c>
    </x:row>
  </x:sheetData>
  <x:mergeCells>
    <x:mergeCell ref="A1:X1"/>
    <x:mergeCell ref="A2:X2"/>
  </x:mergeCells>
  <x:conditionalFormatting sqref="A5:A823">
    <x:cfRule type="expression" dxfId="4" priority="1">
      <x:formula>$A5="Tenho"</x:formula>
    </x:cfRule>
    <x:cfRule type="expression" dxfId="5" priority="2">
      <x:formula>$A5="A caminho"</x:formula>
    </x:cfRule>
  </x:conditionalFormatting>
  <x:conditionalFormatting sqref="B5:B823">
    <x:cfRule type="expression" dxfId="6" priority="3">
      <x:formula>LEFT($B5,1)="1"</x:formula>
    </x:cfRule>
  </x:conditionalFormatting>
  <x:conditionalFormatting sqref="T5:T823">
    <x:cfRule type="expression" dxfId="7" priority="4">
      <x:formula>ISNUMBER(SEARCH("confirmar",$T5))</x:formula>
    </x:cfRule>
  </x:conditionalFormatting>
  <x:dataValidations count="1">
    <x:dataValidation type="list" sqref="A5:A823">
      <x:formula1>"Não,Tenho,A caminho"</x:formula1>
    </x:dataValidation>
  </x:dataValidations>
  <x:pageMargins left="0.7" right="0.7" top="0.75" bottom="0.75" header="0.3" footer="0.3"/>
  <x:tableParts count="1">
    <x:tablePart xmlns:r="http://schemas.openxmlformats.org/officeDocument/2006/relationships" r:id="R4323a2517b4348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8" hidden="0" customWidth="1"/>
    <x:col min="4" max="4" width="28" hidden="0" customWidth="1"/>
    <x:col min="5" max="5" width="25" hidden="0" customWidth="1"/>
    <x:col min="6" max="6" width="32" hidden="0" customWidth="1"/>
    <x:col min="7" max="7" width="11" hidden="0" customWidth="1"/>
    <x:col min="8" max="8" width="12" hidden="0" customWidth="1"/>
    <x:col min="9" max="9" width="16" hidden="0" customWidth="1"/>
    <x:col min="10" max="10" width="24" hidden="0" customWidth="1"/>
    <x:col min="11" max="11" width="38" hidden="0" customWidth="1"/>
    <x:col min="12" max="12" width="24" hidden="0" customWidth="1"/>
    <x:col min="13" max="13" width="24" hidden="0" customWidth="1"/>
    <x:col min="14" max="14" width="18" hidden="0" customWidth="1"/>
    <x:col min="15" max="15" width="18" hidden="0" customWidth="1"/>
    <x:col min="16" max="16" width="13" hidden="0" customWidth="1"/>
    <x:col min="17" max="17" width="27" hidden="0" customWidth="1"/>
    <x:col min="18" max="18" width="22" hidden="0" customWidth="1"/>
    <x:col min="19" max="19" width="20" hidden="0" customWidth="1"/>
    <x:col min="20" max="20" width="27" hidden="0" customWidth="1"/>
    <x:col min="21" max="21" width="38" hidden="0" customWidth="1"/>
    <x:col min="22" max="22" width="24" hidden="0" customWidth="1"/>
    <x:col min="23" max="23" width="45" hidden="0" customWidth="1"/>
    <x:col min="24" max="24" width="45" hidden="0" customWidth="1"/>
  </x:cols>
  <x:sheetData>
    <x:row r="1" ht="34" customHeight="1">
      <x:c r="A1" s="77" t="str">
        <x:v>Hot Wheels Ferrari — checklist completo</x:v>
      </x:c>
      <x:c r="B1" s="77"/>
      <x:c r="C1" s="77"/>
      <x:c r="D1" s="77"/>
      <x:c r="E1" s="77"/>
      <x:c r="F1" s="77"/>
      <x:c r="G1" s="77"/>
      <x:c r="H1" s="77"/>
      <x:c r="I1" s="77"/>
      <x:c r="J1" s="77"/>
      <x:c r="K1" s="77"/>
      <x:c r="L1" s="77"/>
      <x:c r="M1" s="77"/>
      <x:c r="N1" s="77"/>
      <x:c r="O1" s="77"/>
      <x:c r="P1" s="77"/>
      <x:c r="Q1" s="77"/>
      <x:c r="R1" s="77"/>
      <x:c r="S1" s="77"/>
      <x:c r="T1" s="77"/>
      <x:c r="U1" s="77"/>
      <x:c r="V1" s="77"/>
      <x:c r="W1" s="77"/>
      <x:c r="X1" s="77"/>
    </x:row>
    <x:row r="2" ht="30" customHeight="1">
      <x:c r="A2" s="85" t="str">
        <x:v>Coleção principal (~1:64), com o histórico anterior e o retorno da licença em 2025–2026. Corte da pesquisa: 15/08/2026.</x:v>
      </x:c>
      <x:c r="B2" s="85"/>
      <x:c r="C2" s="85"/>
      <x:c r="D2" s="85"/>
      <x:c r="E2" s="85"/>
      <x:c r="F2" s="85"/>
      <x:c r="G2" s="85"/>
      <x:c r="H2" s="85"/>
      <x:c r="I2" s="85"/>
      <x:c r="J2" s="85"/>
      <x:c r="K2" s="85"/>
      <x:c r="L2" s="85"/>
      <x:c r="M2" s="85"/>
      <x:c r="N2" s="85"/>
      <x:c r="O2" s="85"/>
      <x:c r="P2" s="85"/>
      <x:c r="Q2" s="85"/>
      <x:c r="R2" s="85"/>
      <x:c r="S2" s="85"/>
      <x:c r="T2" s="85"/>
      <x:c r="U2" s="85"/>
      <x:c r="V2" s="85"/>
      <x:c r="W2" s="85"/>
      <x:c r="X2" s="85"/>
    </x:row>
    <x:row r="3">
      <x:c r="A3" s="58"/>
      <x:c r="B3" s="58"/>
      <x:c r="C3" s="58"/>
      <x:c r="D3" s="58"/>
      <x:c r="E3" s="58"/>
      <x:c r="F3" s="58"/>
      <x:c r="G3" s="58"/>
      <x:c r="H3" s="58"/>
      <x:c r="I3" s="58"/>
      <x:c r="J3" s="58"/>
      <x:c r="K3" s="58"/>
      <x:c r="L3" s="58"/>
      <x:c r="M3" s="58"/>
      <x:c r="N3" s="58"/>
      <x:c r="O3" s="58"/>
      <x:c r="P3" s="58"/>
      <x:c r="Q3" s="58"/>
      <x:c r="R3" s="58"/>
      <x:c r="S3" s="58"/>
      <x:c r="T3" s="58"/>
      <x:c r="U3" s="58"/>
      <x:c r="V3" s="58"/>
      <x:c r="W3" s="58"/>
      <x:c r="X3" s="58"/>
    </x:row>
    <x:row r="4" ht="38" customHeight="1">
      <x:c r="A4" s="79" t="str">
        <x:v>Tenho?</x:v>
      </x:c>
      <x:c r="B4" s="79" t="str">
        <x:v>Prioridade</x:v>
      </x:c>
      <x:c r="C4" s="79" t="str">
        <x:v>Ano</x:v>
      </x:c>
      <x:c r="D4" s="79" t="str">
        <x:v>Casting</x:v>
      </x:c>
      <x:c r="E4" s="79" t="str">
        <x:v>Modelo na embalagem</x:v>
      </x:c>
      <x:c r="F4" s="79" t="str">
        <x:v>Linha / série</x:v>
      </x:c>
      <x:c r="G4" s="79" t="str">
        <x:v>Nº série</x:v>
      </x:c>
      <x:c r="H4" s="79" t="str">
        <x:v>Nº coleção</x:v>
      </x:c>
      <x:c r="I4" s="79" t="str">
        <x:v>Toy # / SKU</x:v>
      </x:c>
      <x:c r="J4" s="79" t="str">
        <x:v>Cor</x:v>
      </x:c>
      <x:c r="K4" s="79" t="str">
        <x:v>Tampo / decoração</x:v>
      </x:c>
      <x:c r="L4" s="79" t="str">
        <x:v>Rodas</x:v>
      </x:c>
      <x:c r="M4" s="79" t="str">
        <x:v>Base</x:v>
      </x:c>
      <x:c r="N4" s="79" t="str">
        <x:v>Vidros</x:v>
      </x:c>
      <x:c r="O4" s="79" t="str">
        <x:v>Interior</x:v>
      </x:c>
      <x:c r="P4" s="79" t="str">
        <x:v>País</x:v>
      </x:c>
      <x:c r="Q4" s="79" t="str">
        <x:v>Exclusividade / variação</x:v>
      </x:c>
      <x:c r="R4" s="79" t="str">
        <x:v>Tipo</x:v>
      </x:c>
      <x:c r="S4" s="79" t="str">
        <x:v>Raridade estimada</x:v>
      </x:c>
      <x:c r="T4" s="79" t="str">
        <x:v>Situação do lançamento</x:v>
      </x:c>
      <x:c r="U4" s="79" t="str">
        <x:v>Notas</x:v>
      </x:c>
      <x:c r="V4" s="79" t="str">
        <x:v>Escopo / escala</x:v>
      </x:c>
      <x:c r="W4" s="79" t="str">
        <x:v>Fonte da versão</x:v>
      </x:c>
      <x:c r="X4" s="79" t="str">
        <x:v>Página do casting</x:v>
      </x:c>
    </x:row>
    <x:row r="5">
      <x:c r="A5" s="80" t="str">
        <x:v>Não</x:v>
      </x:c>
      <x:c r="B5" s="80" t="str">
        <x:v>1 — Comprar agora</x:v>
      </x:c>
      <x:c r="C5" s="81" t="n">
        <x:v>2026</x:v>
      </x:c>
      <x:c r="D5" s="80" t="str">
        <x:v>Dino 206 GT</x:v>
      </x:c>
      <x:c r="E5" s="80" t="str">
        <x:v>Dino 206 GT</x:v>
      </x:c>
      <x:c r="F5" s="82" t="str">
        <x:v>Ferrari — New for 2026!</x:v>
      </x:c>
      <x:c r="G5" s="80" t="str">
        <x:v>5/5</x:v>
      </x:c>
      <x:c r="H5" s="80" t="str">
        <x:v>150</x:v>
      </x:c>
      <x:c r="I5" s="83" t="str">
        <x:v>JJL74</x:v>
      </x:c>
      <x:c r="J5" s="80" t="str">
        <x:v>2nd Color</x:v>
      </x:c>
      <x:c r="K5" s="82" t="str"/>
      <x:c r="L5" s="82" t="str"/>
      <x:c r="M5" s="82" t="str"/>
      <x:c r="N5" s="82" t="str"/>
      <x:c r="O5" s="82" t="str"/>
      <x:c r="P5" s="82" t="str"/>
      <x:c r="Q5" s="82" t="str"/>
      <x:c r="R5" s="82" t="str">
        <x:v>Mainline</x:v>
      </x:c>
      <x:c r="S5" s="82" t="str">
        <x:v>Comum / atual</x:v>
      </x:c>
      <x:c r="T5" s="82" t="str">
        <x:v>2026 — listado; confirmar disponibilidade</x:v>
      </x:c>
      <x:c r="U5" s="82" t="str">
        <x:v>Imagem não disponível na fonte</x:v>
      </x:c>
      <x:c r="V5" s="80" t="str">
        <x:v>Coleção principal (~1:64)</x:v>
      </x:c>
      <x:c r="W5" s="82" t="str">
        <x:v>https://hotwheels.fandom.com/wiki/List_of_2026_Hot_Wheels</x:v>
      </x:c>
      <x:c r="X5" s="82" t="str">
        <x:v>https://hotwheels.fandom.com/wiki/Dino_206_GT</x:v>
      </x:c>
    </x:row>
    <x:row r="6">
      <x:c r="A6" s="80" t="str">
        <x:v>Não</x:v>
      </x:c>
      <x:c r="B6" s="80" t="str">
        <x:v>1 — Comprar agora</x:v>
      </x:c>
      <x:c r="C6" s="81" t="n">
        <x:v>2026</x:v>
      </x:c>
      <x:c r="D6" s="80" t="str">
        <x:v>Dino 206 GT</x:v>
      </x:c>
      <x:c r="E6" s="80" t="str">
        <x:v>Dino 206 GT</x:v>
      </x:c>
      <x:c r="F6" s="82" t="str">
        <x:v>Ferrari / 5/5</x:v>
      </x:c>
      <x:c r="G6" s="80" t="str"/>
      <x:c r="H6" s="80" t="str">
        <x:v>150/250</x:v>
      </x:c>
      <x:c r="I6" s="83" t="str">
        <x:v>JJH56</x:v>
      </x:c>
      <x:c r="J6" s="80" t="str">
        <x:v>Rosso Chiaro</x:v>
      </x:c>
      <x:c r="K6" s="82" t="str">
        <x:v>Detailed taillights, indicators and badging, "DISEGNO DI pininfarina " on right side</x:v>
      </x:c>
      <x:c r="L6" s="82" t="str">
        <x:v>RSW</x:v>
      </x:c>
      <x:c r="M6" s="82" t="str">
        <x:v>Red / Plastic</x:v>
      </x:c>
      <x:c r="N6" s="82" t="str">
        <x:v>Smoke tint</x:v>
      </x:c>
      <x:c r="O6" s="82" t="str">
        <x:v>Chrome</x:v>
      </x:c>
      <x:c r="P6" s="82" t="str">
        <x:v>Malaysia</x:v>
      </x:c>
      <x:c r="Q6" s="82" t="str"/>
      <x:c r="R6" s="82" t="str">
        <x:v>Mainline</x:v>
      </x:c>
      <x:c r="S6" s="82" t="str">
        <x:v>Comum / atual</x:v>
      </x:c>
      <x:c r="T6" s="82" t="str">
        <x:v>2026 — listado; confirmar disponibilidade</x:v>
      </x:c>
      <x:c r="U6" s="82" t="str"/>
      <x:c r="V6" s="80" t="str">
        <x:v>Coleção principal (~1:64)</x:v>
      </x:c>
      <x:c r="W6" s="82" t="str">
        <x:v>https://hotwheels.fandom.com/wiki/Dino_206_GT</x:v>
      </x:c>
      <x:c r="X6" s="82" t="str">
        <x:v>https://hotwheels.fandom.com/wiki/Dino_206_GT</x:v>
      </x:c>
    </x:row>
    <x:row r="7">
      <x:c r="A7" s="80" t="str">
        <x:v>Não</x:v>
      </x:c>
      <x:c r="B7" s="80" t="str">
        <x:v>1 — Comprar agora</x:v>
      </x:c>
      <x:c r="C7" s="81" t="n">
        <x:v>2026</x:v>
      </x:c>
      <x:c r="D7" s="80" t="str">
        <x:v>Dino 206 GT</x:v>
      </x:c>
      <x:c r="E7" s="80" t="str">
        <x:v>Dino 206 GT</x:v>
      </x:c>
      <x:c r="F7" s="82" t="str">
        <x:v>Ferrari 5-Pack</x:v>
      </x:c>
      <x:c r="G7" s="80" t="str"/>
      <x:c r="H7" s="80" t="str"/>
      <x:c r="I7" s="83" t="str">
        <x:v>JKG16 / JLN12</x:v>
      </x:c>
      <x:c r="J7" s="80" t="str">
        <x:v>Rosso Chiaro</x:v>
      </x:c>
      <x:c r="K7" s="82" t="str">
        <x:v>Detailed taillights, indicators and badging, "DISEGNO DI pininfarina " on right side</x:v>
      </x:c>
      <x:c r="L7" s="82" t="str">
        <x:v>LW</x:v>
      </x:c>
      <x:c r="M7" s="82" t="str">
        <x:v>Red / Plastic</x:v>
      </x:c>
      <x:c r="N7" s="82" t="str">
        <x:v>Smoke tint</x:v>
      </x:c>
      <x:c r="O7" s="82" t="str">
        <x:v>Chrome</x:v>
      </x:c>
      <x:c r="P7" s="82" t="str">
        <x:v>Indonesia</x:v>
      </x:c>
      <x:c r="Q7" s="82" t="str"/>
      <x:c r="R7" s="82" t="str">
        <x:v>Temática / multipack</x:v>
      </x:c>
      <x:c r="S7" s="82" t="str">
        <x:v>Comum / atual</x:v>
      </x:c>
      <x:c r="T7" s="82" t="str">
        <x:v>2026 — listado; confirmar disponibilidade</x:v>
      </x:c>
      <x:c r="U7" s="82" t="str"/>
      <x:c r="V7" s="80" t="str">
        <x:v>Coleção principal (~1:64)</x:v>
      </x:c>
      <x:c r="W7" s="82" t="str">
        <x:v>https://hotwheels.fandom.com/wiki/Dino_206_GT</x:v>
      </x:c>
      <x:c r="X7" s="82" t="str">
        <x:v>https://hotwheels.fandom.com/wiki/Dino_206_GT</x:v>
      </x:c>
    </x:row>
    <x:row r="8">
      <x:c r="A8" s="80" t="str">
        <x:v>Não</x:v>
      </x:c>
      <x:c r="B8" s="80" t="str">
        <x:v>1 — Comprar agora</x:v>
      </x:c>
      <x:c r="C8" s="81" t="n">
        <x:v>2026</x:v>
      </x:c>
      <x:c r="D8" s="80" t="str">
        <x:v>Enzo Ferrari (2026)</x:v>
      </x:c>
      <x:c r="E8" s="80" t="str">
        <x:v>Enzo Ferrari</x:v>
      </x:c>
      <x:c r="F8" s="82" t="str">
        <x:v>Hot Wheels Boulevard</x:v>
      </x:c>
      <x:c r="G8" s="80" t="str"/>
      <x:c r="H8" s="80" t="str"/>
      <x:c r="I8" s="83" t="str">
        <x:v>JHW22</x:v>
      </x:c>
      <x:c r="J8" s="80" t="str"/>
      <x:c r="K8" s="82" t="str"/>
      <x:c r="L8" s="82" t="str"/>
      <x:c r="M8" s="82" t="str"/>
      <x:c r="N8" s="82" t="str"/>
      <x:c r="O8" s="82" t="str"/>
      <x:c r="P8" s="82" t="str"/>
      <x:c r="Q8" s="82" t="str"/>
      <x:c r="R8" s="82" t="str">
        <x:v>Premium</x:v>
      </x:c>
      <x:c r="S8" s="82" t="str">
        <x:v>Incomum</x:v>
      </x:c>
      <x:c r="T8" s="82" t="str">
        <x:v>2026 — listado; confirmar disponibilidade</x:v>
      </x:c>
      <x:c r="U8" s="82" t="str"/>
      <x:c r="V8" s="80" t="str">
        <x:v>Coleção principal (~1:64)</x:v>
      </x:c>
      <x:c r="W8" s="82" t="str">
        <x:v>https://hotwheels.fandom.com/wiki/Ferrari</x:v>
      </x:c>
      <x:c r="X8" s="82" t="str">
        <x:v>https://hotwheels.fandom.com/wiki/Enzo_Ferrari_(2026)</x:v>
      </x:c>
    </x:row>
    <x:row r="9">
      <x:c r="A9" s="80" t="str">
        <x:v>Não</x:v>
      </x:c>
      <x:c r="B9" s="80" t="str">
        <x:v>1 — Comprar agora</x:v>
      </x:c>
      <x:c r="C9" s="81" t="n">
        <x:v>2026</x:v>
      </x:c>
      <x:c r="D9" s="80" t="str">
        <x:v>Ferrari 12Cilindri</x:v>
      </x:c>
      <x:c r="E9" s="80" t="str">
        <x:v>Ferrari 12Cilindri</x:v>
      </x:c>
      <x:c r="F9" s="82" t="str">
        <x:v>Ferrari — New for 2026!</x:v>
      </x:c>
      <x:c r="G9" s="80" t="str">
        <x:v>4/5</x:v>
      </x:c>
      <x:c r="H9" s="80" t="str">
        <x:v>094</x:v>
      </x:c>
      <x:c r="I9" s="83" t="str">
        <x:v>JJL37</x:v>
      </x:c>
      <x:c r="J9" s="80" t="str">
        <x:v>2nd Color</x:v>
      </x:c>
      <x:c r="K9" s="82" t="str"/>
      <x:c r="L9" s="82" t="str"/>
      <x:c r="M9" s="82" t="str"/>
      <x:c r="N9" s="82" t="str"/>
      <x:c r="O9" s="82" t="str"/>
      <x:c r="P9" s="82" t="str"/>
      <x:c r="Q9" s="82" t="str"/>
      <x:c r="R9" s="82" t="str">
        <x:v>Mainline</x:v>
      </x:c>
      <x:c r="S9" s="82" t="str">
        <x:v>Comum / atual</x:v>
      </x:c>
      <x:c r="T9" s="82" t="str">
        <x:v>2026 — listado; confirmar disponibilidade</x:v>
      </x:c>
      <x:c r="U9" s="82" t="str"/>
      <x:c r="V9" s="80" t="str">
        <x:v>Coleção principal (~1:64)</x:v>
      </x:c>
      <x:c r="W9" s="82" t="str">
        <x:v>https://hotwheels.fandom.com/wiki/List_of_2026_Hot_Wheels</x:v>
      </x:c>
      <x:c r="X9" s="82" t="str">
        <x:v>https://hotwheels.fandom.com/wiki/Ferrari_12Cilindri</x:v>
      </x:c>
    </x:row>
    <x:row r="10">
      <x:c r="A10" s="80" t="str">
        <x:v>Não</x:v>
      </x:c>
      <x:c r="B10" s="80" t="str">
        <x:v>1 — Comprar agora</x:v>
      </x:c>
      <x:c r="C10" s="81" t="n">
        <x:v>2026</x:v>
      </x:c>
      <x:c r="D10" s="80" t="str">
        <x:v>Ferrari 12Cilindri</x:v>
      </x:c>
      <x:c r="E10" s="80" t="str">
        <x:v>Ferrari 12Cilindri</x:v>
      </x:c>
      <x:c r="F10" s="82" t="str">
        <x:v>Ferrari / 4/5</x:v>
      </x:c>
      <x:c r="G10" s="80" t="str"/>
      <x:c r="H10" s="80" t="str">
        <x:v>094/250</x:v>
      </x:c>
      <x:c r="I10" s="83" t="str">
        <x:v>JJH41</x:v>
      </x:c>
      <x:c r="J10" s="80" t="str">
        <x:v>Rosso Imola</x:v>
      </x:c>
      <x:c r="K10" s="82" t="str">
        <x:v>Detailed headlights and trim, black ornamental stripe</x:v>
      </x:c>
      <x:c r="L10" s="82" t="str">
        <x:v>RA6</x:v>
      </x:c>
      <x:c r="M10" s="82" t="str">
        <x:v>Black / / / Plastic</x:v>
      </x:c>
      <x:c r="N10" s="82" t="str">
        <x:v>Heavy smoke tint</x:v>
      </x:c>
      <x:c r="O10" s="82" t="str">
        <x:v>Red</x:v>
      </x:c>
      <x:c r="P10" s="82" t="str">
        <x:v>Malaysia</x:v>
      </x:c>
      <x:c r="Q10" s="82" t="str"/>
      <x:c r="R10" s="82" t="str">
        <x:v>Mainline</x:v>
      </x:c>
      <x:c r="S10" s="82" t="str">
        <x:v>Comum / atual</x:v>
      </x:c>
      <x:c r="T10" s="82" t="str">
        <x:v>2026 — listado; confirmar disponibilidade</x:v>
      </x:c>
      <x:c r="U10" s="82" t="str">
        <x:v>New Model / Base code(s): U44N, U46N</x:v>
      </x:c>
      <x:c r="V10" s="80" t="str">
        <x:v>Coleção principal (~1:64)</x:v>
      </x:c>
      <x:c r="W10" s="82" t="str">
        <x:v>https://hotwheels.fandom.com/wiki/Ferrari_12Cilindri</x:v>
      </x:c>
      <x:c r="X10" s="82" t="str">
        <x:v>https://hotwheels.fandom.com/wiki/Ferrari_12Cilindri</x:v>
      </x:c>
    </x:row>
    <x:row r="11">
      <x:c r="A11" s="80" t="str">
        <x:v>Não</x:v>
      </x:c>
      <x:c r="B11" s="80" t="str">
        <x:v>1 — Comprar agora</x:v>
      </x:c>
      <x:c r="C11" s="81" t="n">
        <x:v>2026</x:v>
      </x:c>
      <x:c r="D11" s="80" t="str">
        <x:v>Ferrari 12Cilindri</x:v>
      </x:c>
      <x:c r="E11" s="80" t="str">
        <x:v>Ferrari 12Cilindri</x:v>
      </x:c>
      <x:c r="F11" s="82" t="str">
        <x:v>Ferrari 5-Pack</x:v>
      </x:c>
      <x:c r="G11" s="80" t="str"/>
      <x:c r="H11" s="80" t="str"/>
      <x:c r="I11" s="83" t="str">
        <x:v>JKG16 / JLN12</x:v>
      </x:c>
      <x:c r="J11" s="80" t="str">
        <x:v>Rosso Fiorano</x:v>
      </x:c>
      <x:c r="K11" s="82" t="str">
        <x:v>Detailed headlights and trim, black ornamental stripe</x:v>
      </x:c>
      <x:c r="L11" s="82" t="str">
        <x:v>Black RA6</x:v>
      </x:c>
      <x:c r="M11" s="82" t="str">
        <x:v>Black / / / Plastic</x:v>
      </x:c>
      <x:c r="N11" s="82" t="str">
        <x:v>Heavy smoke tint</x:v>
      </x:c>
      <x:c r="O11" s="82" t="str">
        <x:v>Red</x:v>
      </x:c>
      <x:c r="P11" s="82" t="str">
        <x:v>Indonesia</x:v>
      </x:c>
      <x:c r="Q11" s="82" t="str"/>
      <x:c r="R11" s="82" t="str">
        <x:v>Temática / multipack</x:v>
      </x:c>
      <x:c r="S11" s="82" t="str">
        <x:v>Comum / atual</x:v>
      </x:c>
      <x:c r="T11" s="82" t="str">
        <x:v>2026 — listado; confirmar disponibilidade</x:v>
      </x:c>
      <x:c r="U11" s="82" t="str">
        <x:v>Base code(s):</x:v>
      </x:c>
      <x:c r="V11" s="80" t="str">
        <x:v>Coleção principal (~1:64)</x:v>
      </x:c>
      <x:c r="W11" s="82" t="str">
        <x:v>https://hotwheels.fandom.com/wiki/Ferrari_12Cilindri</x:v>
      </x:c>
      <x:c r="X11" s="82" t="str">
        <x:v>https://hotwheels.fandom.com/wiki/Ferrari_12Cilindri</x:v>
      </x:c>
    </x:row>
    <x:row r="12">
      <x:c r="A12" s="80" t="str">
        <x:v>Não</x:v>
      </x:c>
      <x:c r="B12" s="80" t="str">
        <x:v>1 — Comprar agora</x:v>
      </x:c>
      <x:c r="C12" s="81" t="n">
        <x:v>2026</x:v>
      </x:c>
      <x:c r="D12" s="80" t="str">
        <x:v>Ferrari 250 GTO (2025)</x:v>
      </x:c>
      <x:c r="E12" s="80" t="str">
        <x:v>Ferrari 250 GTO</x:v>
      </x:c>
      <x:c r="F12" s="82" t="str">
        <x:v>Car Culture: Vintage Racing / 4/5</x:v>
      </x:c>
      <x:c r="G12" s="80" t="str"/>
      <x:c r="H12" s="80" t="str"/>
      <x:c r="I12" s="83" t="str">
        <x:v>JKF25</x:v>
      </x:c>
      <x:c r="J12" s="80" t="str">
        <x:v>Bianco</x:v>
      </x:c>
      <x:c r="K12" s="82" t="str">
        <x:v>Detailed headlights, taillights and trim, "10" on hood and sides, "BIANCO" license plate</x:v>
      </x:c>
      <x:c r="L12" s="82" t="str">
        <x:v>D7RR</x:v>
      </x:c>
      <x:c r="M12" s="82" t="str">
        <x:v>Black</x:v>
      </x:c>
      <x:c r="N12" s="82" t="str">
        <x:v>Clear</x:v>
      </x:c>
      <x:c r="O12" s="82" t="str">
        <x:v>Black</x:v>
      </x:c>
      <x:c r="P12" s="82" t="str">
        <x:v>Thailand</x:v>
      </x:c>
      <x:c r="Q12" s="82" t="str"/>
      <x:c r="R12" s="82" t="str">
        <x:v>Premium</x:v>
      </x:c>
      <x:c r="S12" s="82" t="str">
        <x:v>Incomum</x:v>
      </x:c>
      <x:c r="T12" s="82" t="str">
        <x:v>2026 — listado; confirmar disponibilidade</x:v>
      </x:c>
      <x:c r="U12" s="82" t="str">
        <x:v>Base code(s):</x:v>
      </x:c>
      <x:c r="V12" s="80" t="str">
        <x:v>Coleção principal (~1:64)</x:v>
      </x:c>
      <x:c r="W12" s="82" t="str">
        <x:v>https://hotwheels.fandom.com/wiki/Ferrari_250_GTO_(2025)</x:v>
      </x:c>
      <x:c r="X12" s="82" t="str">
        <x:v>https://hotwheels.fandom.com/wiki/Ferrari_250_GTO_(2025)</x:v>
      </x:c>
    </x:row>
    <x:row r="13">
      <x:c r="A13" s="80" t="str">
        <x:v>Não</x:v>
      </x:c>
      <x:c r="B13" s="80" t="str">
        <x:v>1 — Comprar agora</x:v>
      </x:c>
      <x:c r="C13" s="81" t="n">
        <x:v>2026</x:v>
      </x:c>
      <x:c r="D13" s="80" t="str">
        <x:v>Ferrari 365 GTB4 Competizione</x:v>
      </x:c>
      <x:c r="E13" s="80" t="str">
        <x:v>Ferrari 365 GTB4 Competizione</x:v>
      </x:c>
      <x:c r="F13" s="82" t="str">
        <x:v>Ferrari</x:v>
      </x:c>
      <x:c r="G13" s="80" t="str">
        <x:v>2/5</x:v>
      </x:c>
      <x:c r="H13" s="80" t="str">
        <x:v>062</x:v>
      </x:c>
      <x:c r="I13" s="83" t="str">
        <x:v>JJL06</x:v>
      </x:c>
      <x:c r="J13" s="80" t="str">
        <x:v>2nd Color</x:v>
      </x:c>
      <x:c r="K13" s="82" t="str"/>
      <x:c r="L13" s="82" t="str"/>
      <x:c r="M13" s="82" t="str"/>
      <x:c r="N13" s="82" t="str"/>
      <x:c r="O13" s="82" t="str"/>
      <x:c r="P13" s="82" t="str"/>
      <x:c r="Q13" s="82" t="str"/>
      <x:c r="R13" s="82" t="str">
        <x:v>Mainline</x:v>
      </x:c>
      <x:c r="S13" s="82" t="str">
        <x:v>Comum / atual</x:v>
      </x:c>
      <x:c r="T13" s="82" t="str">
        <x:v>2026 — listado; confirmar disponibilidade</x:v>
      </x:c>
      <x:c r="U13" s="82" t="str"/>
      <x:c r="V13" s="80" t="str">
        <x:v>Coleção principal (~1:64)</x:v>
      </x:c>
      <x:c r="W13" s="82" t="str">
        <x:v>https://hotwheels.fandom.com/wiki/List_of_2026_Hot_Wheels</x:v>
      </x:c>
      <x:c r="X13" s="82" t="str">
        <x:v>https://hotwheels.fandom.com/wiki/Ferrari_365_GTB4_Competizione</x:v>
      </x:c>
    </x:row>
    <x:row r="14">
      <x:c r="A14" s="80" t="str">
        <x:v>Não</x:v>
      </x:c>
      <x:c r="B14" s="80" t="str">
        <x:v>1 — Comprar agora</x:v>
      </x:c>
      <x:c r="C14" s="81" t="n">
        <x:v>2026</x:v>
      </x:c>
      <x:c r="D14" s="80" t="str">
        <x:v>Ferrari 365 GTB4 Competizione</x:v>
      </x:c>
      <x:c r="E14" s="80" t="str">
        <x:v>Ferrari 365 GTB4 Competizione</x:v>
      </x:c>
      <x:c r="F14" s="82" t="str">
        <x:v>Ferrari / 2/5</x:v>
      </x:c>
      <x:c r="G14" s="80" t="str"/>
      <x:c r="H14" s="80" t="str">
        <x:v>062/250</x:v>
      </x:c>
      <x:c r="I14" s="83" t="str"/>
      <x:c r="J14" s="80" t="str">
        <x:v>Bianco Polo</x:v>
      </x:c>
      <x:c r="K14" s="82" t="str">
        <x:v>Ferrari logo on front bumper and fenders, red and green graphics on hood, roof and sides, "78" on sides and hood</x:v>
      </x:c>
      <x:c r="L14" s="82" t="str">
        <x:v>RSW</x:v>
      </x:c>
      <x:c r="M14" s="82" t="str">
        <x:v>White / / / Plastic</x:v>
      </x:c>
      <x:c r="N14" s="82" t="str">
        <x:v>Smoke tint</x:v>
      </x:c>
      <x:c r="O14" s="82" t="str">
        <x:v>Black</x:v>
      </x:c>
      <x:c r="P14" s="82" t="str">
        <x:v>Malaysia</x:v>
      </x:c>
      <x:c r="Q14" s="82" t="str"/>
      <x:c r="R14" s="82" t="str">
        <x:v>Mainline</x:v>
      </x:c>
      <x:c r="S14" s="82" t="str">
        <x:v>Comum / atual</x:v>
      </x:c>
      <x:c r="T14" s="82" t="str">
        <x:v>2026 — listado; confirmar disponibilidade</x:v>
      </x:c>
      <x:c r="U14" s="82" t="str">
        <x:v>Base code(s):</x:v>
      </x:c>
      <x:c r="V14" s="80" t="str">
        <x:v>Coleção principal (~1:64)</x:v>
      </x:c>
      <x:c r="W14" s="82" t="str">
        <x:v>https://hotwheels.fandom.com/wiki/Ferrari_365_GTB4_Competizione</x:v>
      </x:c>
      <x:c r="X14" s="82" t="str">
        <x:v>https://hotwheels.fandom.com/wiki/Ferrari_365_GTB4_Competizione</x:v>
      </x:c>
    </x:row>
    <x:row r="15">
      <x:c r="A15" s="80" t="str">
        <x:v>Não</x:v>
      </x:c>
      <x:c r="B15" s="80" t="str">
        <x:v>1 — Comprar agora</x:v>
      </x:c>
      <x:c r="C15" s="81" t="n">
        <x:v>2026</x:v>
      </x:c>
      <x:c r="D15" s="80" t="str">
        <x:v>Ferrari 365 GTB4 Competizione</x:v>
      </x:c>
      <x:c r="E15" s="80" t="str">
        <x:v>Ferrari 365 GTB4 Competizione</x:v>
      </x:c>
      <x:c r="F15" s="82" t="str">
        <x:v>Ferrari / 2/5</x:v>
      </x:c>
      <x:c r="G15" s="80" t="str"/>
      <x:c r="H15" s="80" t="str">
        <x:v>062/250</x:v>
      </x:c>
      <x:c r="I15" s="83" t="str">
        <x:v>JJJ30</x:v>
      </x:c>
      <x:c r="J15" s="80" t="str">
        <x:v>Bianco Polo</x:v>
      </x:c>
      <x:c r="K15" s="82" t="str">
        <x:v>Ferrari logo on front bumper and fenders, red and blue graphics on hood, roof and sides, "66" on sides and hood</x:v>
      </x:c>
      <x:c r="L15" s="82" t="str">
        <x:v>Bronze 5SP</x:v>
      </x:c>
      <x:c r="M15" s="82" t="str">
        <x:v>White / / / Plastic</x:v>
      </x:c>
      <x:c r="N15" s="82" t="str">
        <x:v>Smoke tint</x:v>
      </x:c>
      <x:c r="O15" s="82" t="str">
        <x:v>Black</x:v>
      </x:c>
      <x:c r="P15" s="82" t="str">
        <x:v>Malaysia</x:v>
      </x:c>
      <x:c r="Q15" s="82" t="str"/>
      <x:c r="R15" s="82" t="str">
        <x:v>Mainline</x:v>
      </x:c>
      <x:c r="S15" s="82" t="str">
        <x:v>Comum / atual</x:v>
      </x:c>
      <x:c r="T15" s="82" t="str">
        <x:v>2026 — listado; confirmar disponibilidade</x:v>
      </x:c>
      <x:c r="U15" s="82" t="str">
        <x:v>Base code(s): U41N, U42N, U46N</x:v>
      </x:c>
      <x:c r="V15" s="80" t="str">
        <x:v>Coleção principal (~1:64)</x:v>
      </x:c>
      <x:c r="W15" s="82" t="str">
        <x:v>https://hotwheels.fandom.com/wiki/Ferrari_365_GTB4_Competizione</x:v>
      </x:c>
      <x:c r="X15" s="82" t="str">
        <x:v>https://hotwheels.fandom.com/wiki/Ferrari_365_GTB4_Competizione</x:v>
      </x:c>
    </x:row>
    <x:row r="16">
      <x:c r="A16" s="80" t="str">
        <x:v>Não</x:v>
      </x:c>
      <x:c r="B16" s="80" t="str">
        <x:v>1 — Comprar agora</x:v>
      </x:c>
      <x:c r="C16" s="81" t="n">
        <x:v>2026</x:v>
      </x:c>
      <x:c r="D16" s="80" t="str">
        <x:v>Ferrari 365 GTB4 Competizione</x:v>
      </x:c>
      <x:c r="E16" s="80" t="str">
        <x:v>Ferrari 365 GTB4 Competizione</x:v>
      </x:c>
      <x:c r="F16" s="82" t="str">
        <x:v>Ferrari 5-Pack</x:v>
      </x:c>
      <x:c r="G16" s="80" t="str"/>
      <x:c r="H16" s="80" t="str"/>
      <x:c r="I16" s="83" t="str">
        <x:v>JKG16 / JLN12</x:v>
      </x:c>
      <x:c r="J16" s="80" t="str">
        <x:v>Rosso Corsa</x:v>
      </x:c>
      <x:c r="K16" s="82" t="str">
        <x:v>Ferrari logo on front bumper and fenders, "58" on doors</x:v>
      </x:c>
      <x:c r="L16" s="82" t="str">
        <x:v>Gray 5SP</x:v>
      </x:c>
      <x:c r="M16" s="82" t="str">
        <x:v>Red / / / Plastic</x:v>
      </x:c>
      <x:c r="N16" s="82" t="str">
        <x:v>Clear</x:v>
      </x:c>
      <x:c r="O16" s="82" t="str">
        <x:v>Black</x:v>
      </x:c>
      <x:c r="P16" s="82" t="str">
        <x:v>Indonesia</x:v>
      </x:c>
      <x:c r="Q16" s="82" t="str"/>
      <x:c r="R16" s="82" t="str">
        <x:v>Temática / multipack</x:v>
      </x:c>
      <x:c r="S16" s="82" t="str">
        <x:v>Comum / atual</x:v>
      </x:c>
      <x:c r="T16" s="82" t="str">
        <x:v>2026 — listado; confirmar disponibilidade</x:v>
      </x:c>
      <x:c r="U16" s="82" t="str">
        <x:v>Base code(s):</x:v>
      </x:c>
      <x:c r="V16" s="80" t="str">
        <x:v>Coleção principal (~1:64)</x:v>
      </x:c>
      <x:c r="W16" s="82" t="str">
        <x:v>https://hotwheels.fandom.com/wiki/Ferrari_365_GTB4_Competizione</x:v>
      </x:c>
      <x:c r="X16" s="82" t="str">
        <x:v>https://hotwheels.fandom.com/wiki/Ferrari_365_GTB4_Competizione</x:v>
      </x:c>
    </x:row>
    <x:row r="17">
      <x:c r="A17" s="80" t="str">
        <x:v>Não</x:v>
      </x:c>
      <x:c r="B17" s="80" t="str">
        <x:v>1 — Comprar agora</x:v>
      </x:c>
      <x:c r="C17" s="81" t="n">
        <x:v>2026</x:v>
      </x:c>
      <x:c r="D17" s="80" t="str">
        <x:v>Ferrari F2004</x:v>
      </x:c>
      <x:c r="E17" s="80" t="str">
        <x:v>Ferrari F2004</x:v>
      </x:c>
      <x:c r="F17" s="82" t="str">
        <x:v>HW Starting Grid — New for 2026!</x:v>
      </x:c>
      <x:c r="G17" s="80" t="str">
        <x:v>10/10</x:v>
      </x:c>
      <x:c r="H17" s="80" t="str">
        <x:v>173</x:v>
      </x:c>
      <x:c r="I17" s="83" t="str">
        <x:v>JJH51</x:v>
      </x:c>
      <x:c r="J17" s="80" t="str"/>
      <x:c r="K17" s="82" t="str"/>
      <x:c r="L17" s="82" t="str"/>
      <x:c r="M17" s="82" t="str"/>
      <x:c r="N17" s="82" t="str"/>
      <x:c r="O17" s="82" t="str"/>
      <x:c r="P17" s="82" t="str"/>
      <x:c r="Q17" s="82" t="str"/>
      <x:c r="R17" s="82" t="str">
        <x:v>Mainline</x:v>
      </x:c>
      <x:c r="S17" s="82" t="str">
        <x:v>Comum / atual</x:v>
      </x:c>
      <x:c r="T17" s="82" t="str">
        <x:v>2026 — listado; confirmar disponibilidade</x:v>
      </x:c>
      <x:c r="U17" s="82" t="str"/>
      <x:c r="V17" s="80" t="str">
        <x:v>Coleção principal (~1:64)</x:v>
      </x:c>
      <x:c r="W17" s="82" t="str">
        <x:v>https://hotwheels.fandom.com/wiki/List_of_2026_Hot_Wheels</x:v>
      </x:c>
      <x:c r="X17" s="82" t="str">
        <x:v>https://hotwheels.fandom.com/wiki/Ferrari_F2004</x:v>
      </x:c>
    </x:row>
    <x:row r="18">
      <x:c r="A18" s="80" t="str">
        <x:v>Não</x:v>
      </x:c>
      <x:c r="B18" s="80" t="str">
        <x:v>1 — Comprar agora</x:v>
      </x:c>
      <x:c r="C18" s="81" t="n">
        <x:v>2026</x:v>
      </x:c>
      <x:c r="D18" s="80" t="str">
        <x:v>Ferrari F40 Competizione</x:v>
      </x:c>
      <x:c r="E18" s="80" t="str">
        <x:v>Ferrari F40 Competizione</x:v>
      </x:c>
      <x:c r="F18" s="82" t="str">
        <x:v>Ferrari / 3/5</x:v>
      </x:c>
      <x:c r="G18" s="80" t="str"/>
      <x:c r="H18" s="80" t="str">
        <x:v>063/250</x:v>
      </x:c>
      <x:c r="I18" s="83" t="str">
        <x:v>JJJ31</x:v>
      </x:c>
      <x:c r="J18" s="80" t="str">
        <x:v>Nero DS (non-metallic gloss black)</x:v>
      </x:c>
      <x:c r="K18" s="82" t="str">
        <x:v>Detailed badging</x:v>
      </x:c>
      <x:c r="L18" s="82" t="str">
        <x:v>PR5</x:v>
      </x:c>
      <x:c r="M18" s="82" t="str">
        <x:v>Black / / / Plastic</x:v>
      </x:c>
      <x:c r="N18" s="82" t="str">
        <x:v>Clear</x:v>
      </x:c>
      <x:c r="O18" s="82" t="str">
        <x:v>Gray</x:v>
      </x:c>
      <x:c r="P18" s="82" t="str">
        <x:v>Malaysia</x:v>
      </x:c>
      <x:c r="Q18" s="82" t="str"/>
      <x:c r="R18" s="82" t="str">
        <x:v>Mainline</x:v>
      </x:c>
      <x:c r="S18" s="82" t="str">
        <x:v>Comum / atual</x:v>
      </x:c>
      <x:c r="T18" s="82" t="str">
        <x:v>2026 — listado; confirmar disponibilidade</x:v>
      </x:c>
      <x:c r="U18" s="82" t="str">
        <x:v>Base code(s): U41N, U42N, U44N, U46N</x:v>
      </x:c>
      <x:c r="V18" s="80" t="str">
        <x:v>Coleção principal (~1:64)</x:v>
      </x:c>
      <x:c r="W18" s="82" t="str">
        <x:v>https://hotwheels.fandom.com/wiki/Ferrari_F40_Competizione</x:v>
      </x:c>
      <x:c r="X18" s="82" t="str">
        <x:v>https://hotwheels.fandom.com/wiki/Ferrari_F40_Competizione</x:v>
      </x:c>
    </x:row>
    <x:row r="19">
      <x:c r="A19" s="80" t="str">
        <x:v>Não</x:v>
      </x:c>
      <x:c r="B19" s="80" t="str">
        <x:v>1 — Comprar agora</x:v>
      </x:c>
      <x:c r="C19" s="81" t="n">
        <x:v>2026</x:v>
      </x:c>
      <x:c r="D19" s="80" t="str">
        <x:v>Ferrari F40 Competizione</x:v>
      </x:c>
      <x:c r="E19" s="80" t="str">
        <x:v>Ferrari F40 Competizione</x:v>
      </x:c>
      <x:c r="F19" s="82" t="str">
        <x:v>Ferrari 5-Pack</x:v>
      </x:c>
      <x:c r="G19" s="80" t="str"/>
      <x:c r="H19" s="80" t="str"/>
      <x:c r="I19" s="83" t="str">
        <x:v>JKG16 / JLN12</x:v>
      </x:c>
      <x:c r="J19" s="80" t="str">
        <x:v>Rosso Corsa</x:v>
      </x:c>
      <x:c r="K19" s="82" t="str">
        <x:v>Front Ferrari badge, Scuderia Ferrari emblems on sides</x:v>
      </x:c>
      <x:c r="L19" s="82" t="str">
        <x:v>White PR5</x:v>
      </x:c>
      <x:c r="M19" s="82" t="str">
        <x:v>Black / / / Plastic</x:v>
      </x:c>
      <x:c r="N19" s="82" t="str">
        <x:v>Clear</x:v>
      </x:c>
      <x:c r="O19" s="82" t="str">
        <x:v>Black</x:v>
      </x:c>
      <x:c r="P19" s="82" t="str">
        <x:v>Indonesia</x:v>
      </x:c>
      <x:c r="Q19" s="82" t="str"/>
      <x:c r="R19" s="82" t="str">
        <x:v>Temática / multipack</x:v>
      </x:c>
      <x:c r="S19" s="82" t="str">
        <x:v>Comum / atual</x:v>
      </x:c>
      <x:c r="T19" s="82" t="str">
        <x:v>2026 — listado; confirmar disponibilidade</x:v>
      </x:c>
      <x:c r="U19" s="82" t="str">
        <x:v>Base code(s):</x:v>
      </x:c>
      <x:c r="V19" s="80" t="str">
        <x:v>Coleção principal (~1:64)</x:v>
      </x:c>
      <x:c r="W19" s="82" t="str">
        <x:v>https://hotwheels.fandom.com/wiki/Ferrari_F40_Competizione</x:v>
      </x:c>
      <x:c r="X19" s="82" t="str">
        <x:v>https://hotwheels.fandom.com/wiki/Ferrari_F40_Competizione</x:v>
      </x:c>
    </x:row>
    <x:row r="20">
      <x:c r="A20" s="80" t="str">
        <x:v>Não</x:v>
      </x:c>
      <x:c r="B20" s="80" t="str">
        <x:v>1 — Comprar agora</x:v>
      </x:c>
      <x:c r="C20" s="81" t="n">
        <x:v>2026</x:v>
      </x:c>
      <x:c r="D20" s="80" t="str">
        <x:v>Ferrari LaFerrari</x:v>
      </x:c>
      <x:c r="E20" s="80" t="str">
        <x:v>Ferrari LaFerrari</x:v>
      </x:c>
      <x:c r="F20" s="82" t="str">
        <x:v>Automotive / Exotics (V)</x:v>
      </x:c>
      <x:c r="G20" s="80" t="str"/>
      <x:c r="H20" s="80" t="str">
        <x:v>5/5</x:v>
      </x:c>
      <x:c r="I20" s="83" t="str"/>
      <x:c r="J20" s="80" t="str"/>
      <x:c r="K20" s="82" t="str"/>
      <x:c r="L20" s="82" t="str"/>
      <x:c r="M20" s="82" t="str"/>
      <x:c r="N20" s="82" t="str"/>
      <x:c r="O20" s="82" t="str"/>
      <x:c r="P20" s="82" t="str"/>
      <x:c r="Q20" s="82" t="str"/>
      <x:c r="R20" s="82" t="str">
        <x:v>Mainline</x:v>
      </x:c>
      <x:c r="S20" s="82" t="str">
        <x:v>Comum / atual</x:v>
      </x:c>
      <x:c r="T20" s="82" t="str">
        <x:v>2026 — listado; confirmar disponibilidade</x:v>
      </x:c>
      <x:c r="U20" s="82" t="str"/>
      <x:c r="V20" s="80" t="str">
        <x:v>Coleção principal (~1:64)</x:v>
      </x:c>
      <x:c r="W20" s="82" t="str">
        <x:v>https://orangetrackdiecast.com/2026-hot-wheels-master-list-of-all-lines/</x:v>
      </x:c>
      <x:c r="X20" s="82" t="str"/>
    </x:row>
    <x:row r="21">
      <x:c r="A21" s="80" t="str">
        <x:v>Não</x:v>
      </x:c>
      <x:c r="B21" s="80" t="str">
        <x:v>1 — Comprar agora</x:v>
      </x:c>
      <x:c r="C21" s="81" t="n">
        <x:v>2026</x:v>
      </x:c>
      <x:c r="D21" s="80" t="str">
        <x:v>Ferrari SF-25</x:v>
      </x:c>
      <x:c r="E21" s="80" t="str">
        <x:v>Ferrari SF-25</x:v>
      </x:c>
      <x:c r="F21" s="82" t="str">
        <x:v>Formula One Collection</x:v>
      </x:c>
      <x:c r="G21" s="80" t="str"/>
      <x:c r="H21" s="80" t="str"/>
      <x:c r="I21" s="83" t="str">
        <x:v>JKD86</x:v>
      </x:c>
      <x:c r="J21" s="80" t="str">
        <x:v>Rosso Corsa</x:v>
      </x:c>
      <x:c r="K21" s="82" t="str">
        <x:v>Scuderia Ferrari livery</x:v>
      </x:c>
      <x:c r="L21" s="82" t="str">
        <x:v>RRPPZ</x:v>
      </x:c>
      <x:c r="M21" s="82" t="str">
        <x:v>Black / / / Metal</x:v>
      </x:c>
      <x:c r="N21" s="82" t="str"/>
      <x:c r="O21" s="82" t="str"/>
      <x:c r="P21" s="82" t="str">
        <x:v>Thailand</x:v>
      </x:c>
      <x:c r="Q21" s="82" t="str"/>
      <x:c r="R21" s="82" t="str">
        <x:v>Outra linha</x:v>
      </x:c>
      <x:c r="S21" s="82" t="str">
        <x:v>Comum / atual</x:v>
      </x:c>
      <x:c r="T21" s="82" t="str">
        <x:v>2026 — listado; confirmar disponibilidade</x:v>
      </x:c>
      <x:c r="U21" s="82" t="str">
        <x:v>Base code(s):</x:v>
      </x:c>
      <x:c r="V21" s="80" t="str">
        <x:v>Coleção principal (~1:64)</x:v>
      </x:c>
      <x:c r="W21" s="82" t="str">
        <x:v>https://hotwheels.fandom.com/wiki/Ferrari_SF-25</x:v>
      </x:c>
      <x:c r="X21" s="82" t="str">
        <x:v>https://hotwheels.fandom.com/wiki/Ferrari_SF-25</x:v>
      </x:c>
    </x:row>
    <x:row r="22">
      <x:c r="A22" s="80" t="str">
        <x:v>Não</x:v>
      </x:c>
      <x:c r="B22" s="80" t="str">
        <x:v>1 — Comprar agora</x:v>
      </x:c>
      <x:c r="C22" s="81" t="n">
        <x:v>2026</x:v>
      </x:c>
      <x:c r="D22" s="80" t="str">
        <x:v>Ferrari SF-25</x:v>
      </x:c>
      <x:c r="E22" s="80" t="str">
        <x:v>Ferrari SF-25</x:v>
      </x:c>
      <x:c r="F22" s="82" t="str">
        <x:v>Formula One Collection</x:v>
      </x:c>
      <x:c r="G22" s="80" t="str"/>
      <x:c r="H22" s="80" t="str"/>
      <x:c r="I22" s="83" t="str">
        <x:v>JKD93</x:v>
      </x:c>
      <x:c r="J22" s="80" t="str">
        <x:v>Rosso Corsa</x:v>
      </x:c>
      <x:c r="K22" s="82" t="str">
        <x:v>Scuderia Ferrari livery</x:v>
      </x:c>
      <x:c r="L22" s="82" t="str">
        <x:v>RRPPZ</x:v>
      </x:c>
      <x:c r="M22" s="82" t="str">
        <x:v>Black / / / Metal</x:v>
      </x:c>
      <x:c r="N22" s="82" t="str"/>
      <x:c r="O22" s="82" t="str"/>
      <x:c r="P22" s="82" t="str">
        <x:v>Thailand</x:v>
      </x:c>
      <x:c r="Q22" s="82" t="str"/>
      <x:c r="R22" s="82" t="str">
        <x:v>Outra linha</x:v>
      </x:c>
      <x:c r="S22" s="82" t="str">
        <x:v>Comum / atual</x:v>
      </x:c>
      <x:c r="T22" s="82" t="str">
        <x:v>2026 — listado; confirmar disponibilidade</x:v>
      </x:c>
      <x:c r="U22" s="82" t="str">
        <x:v>Base code(s):</x:v>
      </x:c>
      <x:c r="V22" s="80" t="str">
        <x:v>Coleção principal (~1:64)</x:v>
      </x:c>
      <x:c r="W22" s="82" t="str">
        <x:v>https://hotwheels.fandom.com/wiki/Ferrari_SF-25</x:v>
      </x:c>
      <x:c r="X22" s="82" t="str">
        <x:v>https://hotwheels.fandom.com/wiki/Ferrari_SF-25</x:v>
      </x:c>
    </x:row>
    <x:row r="23">
      <x:c r="A23" s="80" t="str">
        <x:v>Não</x:v>
      </x:c>
      <x:c r="B23" s="80" t="str">
        <x:v>1 — Comprar agora</x:v>
      </x:c>
      <x:c r="C23" s="81" t="n">
        <x:v>2026</x:v>
      </x:c>
      <x:c r="D23" s="80" t="str">
        <x:v>Ferrari SF90 Stradale</x:v>
      </x:c>
      <x:c r="E23" s="80" t="str">
        <x:v>Ferrari SF90 Stradale</x:v>
      </x:c>
      <x:c r="F23" s="82" t="str">
        <x:v>Ferrari / 1/5</x:v>
      </x:c>
      <x:c r="G23" s="80" t="str"/>
      <x:c r="H23" s="80" t="str">
        <x:v>041/250</x:v>
      </x:c>
      <x:c r="I23" s="83" t="str">
        <x:v>JJJ12</x:v>
      </x:c>
      <x:c r="J23" s="80" t="str">
        <x:v>Blu Tour de France</x:v>
      </x:c>
      <x:c r="K23" s="82" t="str">
        <x:v>Detailed headlights and badging, Scuderia Ferrari emblem on sides</x:v>
      </x:c>
      <x:c r="L23" s="82" t="str">
        <x:v>Gloss Black 10SP</x:v>
      </x:c>
      <x:c r="M23" s="82" t="str">
        <x:v>Black / / / Plastic</x:v>
      </x:c>
      <x:c r="N23" s="82" t="str">
        <x:v>Smoke tint</x:v>
      </x:c>
      <x:c r="O23" s="82" t="str">
        <x:v>Black</x:v>
      </x:c>
      <x:c r="P23" s="82" t="str">
        <x:v>Malaysia</x:v>
      </x:c>
      <x:c r="Q23" s="82" t="str"/>
      <x:c r="R23" s="82" t="str">
        <x:v>Mainline</x:v>
      </x:c>
      <x:c r="S23" s="82" t="str">
        <x:v>Comum / atual</x:v>
      </x:c>
      <x:c r="T23" s="82" t="str">
        <x:v>2026 — listado; confirmar disponibilidade</x:v>
      </x:c>
      <x:c r="U23" s="82" t="str">
        <x:v>Base code(s): U37N, U40N, U41N, U42N, U43N</x:v>
      </x:c>
      <x:c r="V23" s="80" t="str">
        <x:v>Coleção principal (~1:64)</x:v>
      </x:c>
      <x:c r="W23" s="82" t="str">
        <x:v>https://hotwheels.fandom.com/wiki/Ferrari_SF90_Stradale</x:v>
      </x:c>
      <x:c r="X23" s="82" t="str">
        <x:v>https://hotwheels.fandom.com/wiki/Ferrari_SF90_Stradale</x:v>
      </x:c>
    </x:row>
    <x:row r="24">
      <x:c r="A24" s="80" t="str">
        <x:v>Não</x:v>
      </x:c>
      <x:c r="B24" s="80" t="str">
        <x:v>1 — Comprar agora</x:v>
      </x:c>
      <x:c r="C24" s="81" t="n">
        <x:v>2026</x:v>
      </x:c>
      <x:c r="D24" s="80" t="str">
        <x:v>Ferrari SF90 Stradale</x:v>
      </x:c>
      <x:c r="E24" s="80" t="str">
        <x:v>Ferrari SF90 Stradale</x:v>
      </x:c>
      <x:c r="F24" s="82" t="str">
        <x:v>Ferrari / 1/5</x:v>
      </x:c>
      <x:c r="G24" s="80" t="str"/>
      <x:c r="H24" s="80" t="str">
        <x:v>041/250</x:v>
      </x:c>
      <x:c r="I24" s="83" t="str">
        <x:v>JJJ12</x:v>
      </x:c>
      <x:c r="J24" s="80" t="str">
        <x:v>Blu Tour de France</x:v>
      </x:c>
      <x:c r="K24" s="82" t="str">
        <x:v>Detailed headlights and badging, Scuderia Ferrari emblem on sides</x:v>
      </x:c>
      <x:c r="L24" s="82" t="str">
        <x:v>Gloss Black RA6</x:v>
      </x:c>
      <x:c r="M24" s="82" t="str">
        <x:v>Black / / / Plastic</x:v>
      </x:c>
      <x:c r="N24" s="82" t="str">
        <x:v>Smoke tint</x:v>
      </x:c>
      <x:c r="O24" s="82" t="str">
        <x:v>Black</x:v>
      </x:c>
      <x:c r="P24" s="82" t="str">
        <x:v>Malaysia</x:v>
      </x:c>
      <x:c r="Q24" s="82" t="str"/>
      <x:c r="R24" s="82" t="str">
        <x:v>Mainline</x:v>
      </x:c>
      <x:c r="S24" s="82" t="str">
        <x:v>Comum / atual</x:v>
      </x:c>
      <x:c r="T24" s="82" t="str">
        <x:v>2026 — listado; confirmar disponibilidade</x:v>
      </x:c>
      <x:c r="U24" s="82" t="str">
        <x:v>Uncommon variation / Base code(s): U37N, U40N, U41N, U42N</x:v>
      </x:c>
      <x:c r="V24" s="80" t="str">
        <x:v>Coleção principal (~1:64)</x:v>
      </x:c>
      <x:c r="W24" s="82" t="str">
        <x:v>https://hotwheels.fandom.com/wiki/Ferrari_SF90_Stradale</x:v>
      </x:c>
      <x:c r="X24" s="82" t="str">
        <x:v>https://hotwheels.fandom.com/wiki/Ferrari_SF90_Stradale</x:v>
      </x:c>
    </x:row>
    <x:row r="25">
      <x:c r="A25" s="80" t="str">
        <x:v>Não</x:v>
      </x:c>
      <x:c r="B25" s="80" t="str">
        <x:v>1 — Comprar agora</x:v>
      </x:c>
      <x:c r="C25" s="81" t="n">
        <x:v>2026</x:v>
      </x:c>
      <x:c r="D25" s="80" t="str">
        <x:v>Ferrari SF90 Stradale</x:v>
      </x:c>
      <x:c r="E25" s="80" t="str">
        <x:v>Ferrari SF90 Stradale</x:v>
      </x:c>
      <x:c r="F25" s="82" t="str">
        <x:v>Ferrari / 1/5</x:v>
      </x:c>
      <x:c r="G25" s="80" t="str"/>
      <x:c r="H25" s="80" t="str">
        <x:v>041/250</x:v>
      </x:c>
      <x:c r="I25" s="83" t="str">
        <x:v>JJK89</x:v>
      </x:c>
      <x:c r="J25" s="80" t="str">
        <x:v>Nero Daytona</x:v>
      </x:c>
      <x:c r="K25" s="82" t="str">
        <x:v>Detailed headlights and badging, Scuderia Ferrari emblem on sides</x:v>
      </x:c>
      <x:c r="L25" s="82" t="str">
        <x:v>Chrome Red lip, Black MC5</x:v>
      </x:c>
      <x:c r="M25" s="82" t="str">
        <x:v>Black / / / Plastic</x:v>
      </x:c>
      <x:c r="N25" s="82" t="str">
        <x:v>Clear</x:v>
      </x:c>
      <x:c r="O25" s="82" t="str">
        <x:v>Red</x:v>
      </x:c>
      <x:c r="P25" s="82" t="str">
        <x:v>Malaysia</x:v>
      </x:c>
      <x:c r="Q25" s="82" t="str"/>
      <x:c r="R25" s="82" t="str">
        <x:v>Mainline</x:v>
      </x:c>
      <x:c r="S25" s="82" t="str">
        <x:v>Comum / atual</x:v>
      </x:c>
      <x:c r="T25" s="82" t="str">
        <x:v>2026 — listado; confirmar disponibilidade</x:v>
      </x:c>
      <x:c r="U25" s="82" t="str">
        <x:v>Base code(s):</x:v>
      </x:c>
      <x:c r="V25" s="80" t="str">
        <x:v>Coleção principal (~1:64)</x:v>
      </x:c>
      <x:c r="W25" s="82" t="str">
        <x:v>https://hotwheels.fandom.com/wiki/Ferrari_SF90_Stradale</x:v>
      </x:c>
      <x:c r="X25" s="82" t="str">
        <x:v>https://hotwheels.fandom.com/wiki/Ferrari_SF90_Stradale</x:v>
      </x:c>
    </x:row>
    <x:row r="26">
      <x:c r="A26" s="80" t="str">
        <x:v>Não</x:v>
      </x:c>
      <x:c r="B26" s="80" t="str">
        <x:v>1 — Comprar agora</x:v>
      </x:c>
      <x:c r="C26" s="81" t="n">
        <x:v>2026</x:v>
      </x:c>
      <x:c r="D26" s="80" t="str">
        <x:v>Ferrari SF90 Stradale</x:v>
      </x:c>
      <x:c r="E26" s="80" t="str">
        <x:v>Ferrari SF90 Stradale</x:v>
      </x:c>
      <x:c r="F26" s="82" t="str">
        <x:v>Ferrari 5-Pack</x:v>
      </x:c>
      <x:c r="G26" s="80" t="str"/>
      <x:c r="H26" s="80" t="str"/>
      <x:c r="I26" s="83" t="str">
        <x:v>JKG16 / JLN12</x:v>
      </x:c>
      <x:c r="J26" s="80" t="str">
        <x:v>Rosso Fiorano</x:v>
      </x:c>
      <x:c r="K26" s="82" t="str">
        <x:v>Detailed headlights and badging, Scuderia Ferrari emblem on sides</x:v>
      </x:c>
      <x:c r="L26" s="82" t="str">
        <x:v>MC5</x:v>
      </x:c>
      <x:c r="M26" s="82" t="str">
        <x:v>Black / / / Plastic</x:v>
      </x:c>
      <x:c r="N26" s="82" t="str">
        <x:v>Smoke tint</x:v>
      </x:c>
      <x:c r="O26" s="82" t="str">
        <x:v>Black</x:v>
      </x:c>
      <x:c r="P26" s="82" t="str">
        <x:v>Indonesia</x:v>
      </x:c>
      <x:c r="Q26" s="82" t="str"/>
      <x:c r="R26" s="82" t="str">
        <x:v>Temática / multipack</x:v>
      </x:c>
      <x:c r="S26" s="82" t="str">
        <x:v>Comum / atual</x:v>
      </x:c>
      <x:c r="T26" s="82" t="str">
        <x:v>2026 — listado; confirmar disponibilidade</x:v>
      </x:c>
      <x:c r="U26" s="82" t="str">
        <x:v>Base code(s):</x:v>
      </x:c>
      <x:c r="V26" s="80" t="str">
        <x:v>Coleção principal (~1:64)</x:v>
      </x:c>
      <x:c r="W26" s="82" t="str">
        <x:v>https://hotwheels.fandom.com/wiki/Ferrari_SF90_Stradale</x:v>
      </x:c>
      <x:c r="X26" s="82" t="str">
        <x:v>https://hotwheels.fandom.com/wiki/Ferrari_SF90_Stradale</x:v>
      </x:c>
    </x:row>
    <x:row r="27">
      <x:c r="A27" s="80" t="str">
        <x:v>Não</x:v>
      </x:c>
      <x:c r="B27" s="80" t="str">
        <x:v>1 — Comprar agora</x:v>
      </x:c>
      <x:c r="C27" s="81" t="n">
        <x:v>2026</x:v>
      </x:c>
      <x:c r="D27" s="80" t="str">
        <x:v>Ferrari Testarossa (2026)</x:v>
      </x:c>
      <x:c r="E27" s="80" t="str">
        <x:v>Ferrari Testarossa</x:v>
      </x:c>
      <x:c r="F27" s="82" t="str">
        <x:v>Car Culture: Modern Classics / 2/5</x:v>
      </x:c>
      <x:c r="G27" s="80" t="str"/>
      <x:c r="H27" s="80" t="str"/>
      <x:c r="I27" s="83" t="str">
        <x:v>JKF00</x:v>
      </x:c>
      <x:c r="J27" s="80" t="str">
        <x:v>Rosso Corsa</x:v>
      </x:c>
      <x:c r="K27" s="82" t="str">
        <x:v>Detailed headlights, taillights, badging and trim</x:v>
      </x:c>
      <x:c r="L27" s="82" t="str">
        <x:v>Gray RRE</x:v>
      </x:c>
      <x:c r="M27" s="82" t="str">
        <x:v>Black / / / Metal</x:v>
      </x:c>
      <x:c r="N27" s="82" t="str">
        <x:v>Smoke tint</x:v>
      </x:c>
      <x:c r="O27" s="82" t="str">
        <x:v>Tan</x:v>
      </x:c>
      <x:c r="P27" s="82" t="str">
        <x:v>Thailand</x:v>
      </x:c>
      <x:c r="Q27" s="82" t="str"/>
      <x:c r="R27" s="82" t="str">
        <x:v>Premium</x:v>
      </x:c>
      <x:c r="S27" s="82" t="str">
        <x:v>Incomum</x:v>
      </x:c>
      <x:c r="T27" s="82" t="str">
        <x:v>2026 — listado; confirmar disponibilidade</x:v>
      </x:c>
      <x:c r="U27" s="82" t="str">
        <x:v>Base code(s): V03A, V04A</x:v>
      </x:c>
      <x:c r="V27" s="80" t="str">
        <x:v>Coleção principal (~1:64)</x:v>
      </x:c>
      <x:c r="W27" s="82" t="str">
        <x:v>https://hotwheels.fandom.com/wiki/Ferrari_Testarossa_(2026)</x:v>
      </x:c>
      <x:c r="X27" s="82" t="str">
        <x:v>https://hotwheels.fandom.com/wiki/Ferrari_Testarossa_(2026)</x:v>
      </x:c>
    </x:row>
    <x:row r="28">
      <x:c r="A28" s="80" t="str">
        <x:v>Não</x:v>
      </x:c>
      <x:c r="B28" s="80" t="str">
        <x:v>1 — Comprar agora</x:v>
      </x:c>
      <x:c r="C28" s="81" t="n">
        <x:v>2026</x:v>
      </x:c>
      <x:c r="D28" s="80" t="str">
        <x:v>Scuderia Ferrari HP</x:v>
      </x:c>
      <x:c r="E28" s="80" t="str">
        <x:v>Scuderia Ferrari HP</x:v>
      </x:c>
      <x:c r="F28" s="82" t="str">
        <x:v>Formula 1</x:v>
      </x:c>
      <x:c r="G28" s="80" t="str">
        <x:v>3/5</x:v>
      </x:c>
      <x:c r="H28" s="80" t="str">
        <x:v>120</x:v>
      </x:c>
      <x:c r="I28" s="83" t="str">
        <x:v>JJJ78</x:v>
      </x:c>
      <x:c r="J28" s="80" t="str"/>
      <x:c r="K28" s="82" t="str"/>
      <x:c r="L28" s="82" t="str"/>
      <x:c r="M28" s="82" t="str"/>
      <x:c r="N28" s="82" t="str"/>
      <x:c r="O28" s="82" t="str"/>
      <x:c r="P28" s="82" t="str"/>
      <x:c r="Q28" s="82" t="str"/>
      <x:c r="R28" s="82" t="str">
        <x:v>Mainline</x:v>
      </x:c>
      <x:c r="S28" s="82" t="str">
        <x:v>Comum / atual</x:v>
      </x:c>
      <x:c r="T28" s="82" t="str">
        <x:v>2026 — listado; confirmar disponibilidade</x:v>
      </x:c>
      <x:c r="U28" s="82" t="str"/>
      <x:c r="V28" s="80" t="str">
        <x:v>Coleção principal (~1:64)</x:v>
      </x:c>
      <x:c r="W28" s="82" t="str">
        <x:v>https://hotwheels.fandom.com/wiki/List_of_2026_Hot_Wheels</x:v>
      </x:c>
      <x:c r="X28" s="82" t="str">
        <x:v>https://hotwheels.fandom.com/wiki/Formula_1</x:v>
      </x:c>
    </x:row>
    <x:row r="29">
      <x:c r="A29" s="80" t="str">
        <x:v>Não</x:v>
      </x:c>
      <x:c r="B29" s="80" t="str">
        <x:v>1 — Comprar agora</x:v>
      </x:c>
      <x:c r="C29" s="81" t="n">
        <x:v>2025</x:v>
      </x:c>
      <x:c r="D29" s="80" t="str">
        <x:v>1967 Ferrari 330 P4</x:v>
      </x:c>
      <x:c r="E29" s="80" t="str">
        <x:v>1967 Ferrari 330 P4</x:v>
      </x:c>
      <x:c r="F29" s="82" t="str">
        <x:v>Elite 64 / #20</x:v>
      </x:c>
      <x:c r="G29" s="80" t="str"/>
      <x:c r="H29" s="80" t="str"/>
      <x:c r="I29" s="83" t="str">
        <x:v>JCP47</x:v>
      </x:c>
      <x:c r="J29" s="80" t="str">
        <x:v>Rosso Corsa</x:v>
      </x:c>
      <x:c r="K29" s="82" t="str">
        <x:v>Detailed trim, "3", "P" on sides</x:v>
      </x:c>
      <x:c r="L29" s="82" t="str">
        <x:v>RR</x:v>
      </x:c>
      <x:c r="M29" s="82" t="str">
        <x:v>Rosso Corsa / / / Metal</x:v>
      </x:c>
      <x:c r="N29" s="82" t="str">
        <x:v>Light smoke tint</x:v>
      </x:c>
      <x:c r="O29" s="82" t="str">
        <x:v>Black</x:v>
      </x:c>
      <x:c r="P29" s="82" t="str">
        <x:v>China</x:v>
      </x:c>
      <x:c r="Q29" s="82" t="str"/>
      <x:c r="R29" s="82" t="str">
        <x:v>Elite 64</x:v>
      </x:c>
      <x:c r="S29" s="82" t="str">
        <x:v>Incomum</x:v>
      </x:c>
      <x:c r="T29" s="82" t="str">
        <x:v>Lançado</x:v>
      </x:c>
      <x:c r="U29" s="82" t="str">
        <x:v>Production code(s): 2945YY, 2975YY</x:v>
      </x:c>
      <x:c r="V29" s="80" t="str">
        <x:v>Coleção principal (~1:64)</x:v>
      </x:c>
      <x:c r="W29" s="82" t="str">
        <x:v>https://hotwheels.fandom.com/wiki/1967_Ferrari_330_P4</x:v>
      </x:c>
      <x:c r="X29" s="82" t="str">
        <x:v>https://hotwheels.fandom.com/wiki/1967_Ferrari_330_P4</x:v>
      </x:c>
    </x:row>
    <x:row r="30">
      <x:c r="A30" s="80" t="str">
        <x:v>Não</x:v>
      </x:c>
      <x:c r="B30" s="80" t="str">
        <x:v>1 — Comprar agora</x:v>
      </x:c>
      <x:c r="C30" s="81" t="n">
        <x:v>2025</x:v>
      </x:c>
      <x:c r="D30" s="80" t="str">
        <x:v>1969 Ferrari 312 P</x:v>
      </x:c>
      <x:c r="E30" s="80" t="str">
        <x:v>1969 Ferrari 312 P</x:v>
      </x:c>
      <x:c r="F30" s="82" t="str">
        <x:v>Hot Wheels × Ferrari Heritage Set</x:v>
      </x:c>
      <x:c r="G30" s="80" t="str"/>
      <x:c r="H30" s="80" t="str"/>
      <x:c r="I30" s="83" t="str">
        <x:v>JDK37</x:v>
      </x:c>
      <x:c r="J30" s="80" t="str">
        <x:v>Silver Plate Spectraflame Rosso Corsa</x:v>
      </x:c>
      <x:c r="K30" s="82" t="str">
        <x:v>Detailed headlights and taillights, "25" roundels on front and sides</x:v>
      </x:c>
      <x:c r="L30" s="82" t="str">
        <x:v>DDNCRL</x:v>
      </x:c>
      <x:c r="M30" s="82" t="str">
        <x:v>Chrome / / / Metal</x:v>
      </x:c>
      <x:c r="N30" s="82" t="str">
        <x:v>Clear</x:v>
      </x:c>
      <x:c r="O30" s="82" t="str">
        <x:v>Deep red</x:v>
      </x:c>
      <x:c r="P30" s="82" t="str">
        <x:v>China</x:v>
      </x:c>
      <x:c r="Q30" s="82" t="str"/>
      <x:c r="R30" s="82" t="str">
        <x:v>Outra linha</x:v>
      </x:c>
      <x:c r="S30" s="82" t="str">
        <x:v>Comum / atual</x:v>
      </x:c>
      <x:c r="T30" s="82" t="str">
        <x:v>Lançado</x:v>
      </x:c>
      <x:c r="U30" s="82" t="str"/>
      <x:c r="V30" s="80" t="str">
        <x:v>Coleção principal (~1:64)</x:v>
      </x:c>
      <x:c r="W30" s="82" t="str">
        <x:v>https://hotwheels.fandom.com/wiki/1969_Ferrari_312_P</x:v>
      </x:c>
      <x:c r="X30" s="82" t="str">
        <x:v>https://hotwheels.fandom.com/wiki/1969_Ferrari_312_P</x:v>
      </x:c>
    </x:row>
    <x:row r="31">
      <x:c r="A31" s="80" t="str">
        <x:v>Não</x:v>
      </x:c>
      <x:c r="B31" s="80" t="str">
        <x:v>1 — Comprar agora</x:v>
      </x:c>
      <x:c r="C31" s="81" t="n">
        <x:v>2025</x:v>
      </x:c>
      <x:c r="D31" s="80" t="str">
        <x:v>Ferrari 250 GTO (2025)</x:v>
      </x:c>
      <x:c r="E31" s="80" t="str">
        <x:v>Ferrari 250 GTO</x:v>
      </x:c>
      <x:c r="F31" s="82" t="str">
        <x:v>Car Culture: Team Transport / #83</x:v>
      </x:c>
      <x:c r="G31" s="80" t="str"/>
      <x:c r="H31" s="80" t="str"/>
      <x:c r="I31" s="83" t="str">
        <x:v>JBM37</x:v>
      </x:c>
      <x:c r="J31" s="80" t="str">
        <x:v>Rosso Cina</x:v>
      </x:c>
      <x:c r="K31" s="82" t="str">
        <x:v>Detailed headlights, taillights and trim, yellow accents, "22" on hood and sides</x:v>
      </x:c>
      <x:c r="L31" s="82" t="str">
        <x:v>RR10SP</x:v>
      </x:c>
      <x:c r="M31" s="82" t="str">
        <x:v>Black / / / Metal</x:v>
      </x:c>
      <x:c r="N31" s="82" t="str">
        <x:v>Clear</x:v>
      </x:c>
      <x:c r="O31" s="82" t="str">
        <x:v>Black</x:v>
      </x:c>
      <x:c r="P31" s="82" t="str">
        <x:v>Thailand</x:v>
      </x:c>
      <x:c r="Q31" s="82" t="str"/>
      <x:c r="R31" s="82" t="str">
        <x:v>Premium</x:v>
      </x:c>
      <x:c r="S31" s="82" t="str">
        <x:v>Incomum</x:v>
      </x:c>
      <x:c r="T31" s="82" t="str">
        <x:v>Lançado</x:v>
      </x:c>
      <x:c r="U31" s="82" t="str">
        <x:v>Base code(s): U32A, U33A, U34A, U35A, U37A</x:v>
      </x:c>
      <x:c r="V31" s="80" t="str">
        <x:v>Coleção principal (~1:64)</x:v>
      </x:c>
      <x:c r="W31" s="82" t="str">
        <x:v>https://hotwheels.fandom.com/wiki/Ferrari_250_GTO_(2025)</x:v>
      </x:c>
      <x:c r="X31" s="82" t="str">
        <x:v>https://hotwheels.fandom.com/wiki/Ferrari_250_GTO_(2025)</x:v>
      </x:c>
    </x:row>
    <x:row r="32">
      <x:c r="A32" s="80" t="str">
        <x:v>Não</x:v>
      </x:c>
      <x:c r="B32" s="80" t="str">
        <x:v>1 — Comprar agora</x:v>
      </x:c>
      <x:c r="C32" s="81" t="n">
        <x:v>2025</x:v>
      </x:c>
      <x:c r="D32" s="80" t="str">
        <x:v>Ferrari 365 GTB4 Competizione</x:v>
      </x:c>
      <x:c r="E32" s="80" t="str">
        <x:v>Ferrari 365 GTB4 Competizione</x:v>
      </x:c>
      <x:c r="F32" s="82" t="str">
        <x:v>HW Race Day / 10/10</x:v>
      </x:c>
      <x:c r="G32" s="80" t="str"/>
      <x:c r="H32" s="80" t="str">
        <x:v>222/250</x:v>
      </x:c>
      <x:c r="I32" s="83" t="str">
        <x:v>JBC19</x:v>
      </x:c>
      <x:c r="J32" s="80" t="str">
        <x:v>Giallo Modena</x:v>
      </x:c>
      <x:c r="K32" s="82" t="str">
        <x:v>Ferrari logo on front bumper and fenders, white and black striping on hood, "64" on hood and sides</x:v>
      </x:c>
      <x:c r="L32" s="82" t="str">
        <x:v>5SP</x:v>
      </x:c>
      <x:c r="M32" s="82" t="str">
        <x:v>Yellow / / / Plastic</x:v>
      </x:c>
      <x:c r="N32" s="82" t="str">
        <x:v>Clear</x:v>
      </x:c>
      <x:c r="O32" s="82" t="str">
        <x:v>Black</x:v>
      </x:c>
      <x:c r="P32" s="82" t="str">
        <x:v>Malaysia</x:v>
      </x:c>
      <x:c r="Q32" s="82" t="str"/>
      <x:c r="R32" s="82" t="str">
        <x:v>Mainline</x:v>
      </x:c>
      <x:c r="S32" s="82" t="str">
        <x:v>Comum / atual</x:v>
      </x:c>
      <x:c r="T32" s="82" t="str">
        <x:v>Lançado</x:v>
      </x:c>
      <x:c r="U32" s="82" t="str">
        <x:v>New Model / Base code(s): U29N, U30N, U31N, U32N. U34N, U35N</x:v>
      </x:c>
      <x:c r="V32" s="80" t="str">
        <x:v>Coleção principal (~1:64)</x:v>
      </x:c>
      <x:c r="W32" s="82" t="str">
        <x:v>https://hotwheels.fandom.com/wiki/Ferrari_365_GTB4_Competizione</x:v>
      </x:c>
      <x:c r="X32" s="82" t="str">
        <x:v>https://hotwheels.fandom.com/wiki/Ferrari_365_GTB4_Competizione</x:v>
      </x:c>
    </x:row>
    <x:row r="33">
      <x:c r="A33" s="80" t="str">
        <x:v>Não</x:v>
      </x:c>
      <x:c r="B33" s="80" t="str">
        <x:v>1 — Comprar agora</x:v>
      </x:c>
      <x:c r="C33" s="81" t="n">
        <x:v>2025</x:v>
      </x:c>
      <x:c r="D33" s="80" t="str">
        <x:v>Ferrari 365 GTB4 Competizione</x:v>
      </x:c>
      <x:c r="E33" s="80" t="str">
        <x:v>Ferrari 365 GTB4 Competizione</x:v>
      </x:c>
      <x:c r="F33" s="82" t="str">
        <x:v>HW Race Day / 10/10</x:v>
      </x:c>
      <x:c r="G33" s="80" t="str"/>
      <x:c r="H33" s="80" t="str">
        <x:v>222/250</x:v>
      </x:c>
      <x:c r="I33" s="83" t="str">
        <x:v>HYW48</x:v>
      </x:c>
      <x:c r="J33" s="80" t="str">
        <x:v>Rosso Corsa</x:v>
      </x:c>
      <x:c r="K33" s="82" t="str">
        <x:v>Ferrari logo on front bumper and fenders, white and blue striping on hood, "64" on hood and doors</x:v>
      </x:c>
      <x:c r="L33" s="82" t="str">
        <x:v>Bronze 5SP</x:v>
      </x:c>
      <x:c r="M33" s="82" t="str">
        <x:v>Red / / / Plastic</x:v>
      </x:c>
      <x:c r="N33" s="82" t="str">
        <x:v>Clear</x:v>
      </x:c>
      <x:c r="O33" s="82" t="str">
        <x:v>Dark Gray</x:v>
      </x:c>
      <x:c r="P33" s="82" t="str">
        <x:v>Malaysia</x:v>
      </x:c>
      <x:c r="Q33" s="82" t="str"/>
      <x:c r="R33" s="82" t="str">
        <x:v>Mainline</x:v>
      </x:c>
      <x:c r="S33" s="82" t="str">
        <x:v>Comum / atual</x:v>
      </x:c>
      <x:c r="T33" s="82" t="str">
        <x:v>Lançado</x:v>
      </x:c>
      <x:c r="U33" s="82" t="str">
        <x:v>New Model / Base code(s): U12N, U15N, U16N, U18N, U19N, U20N, U21N</x:v>
      </x:c>
      <x:c r="V33" s="80" t="str">
        <x:v>Coleção principal (~1:64)</x:v>
      </x:c>
      <x:c r="W33" s="82" t="str">
        <x:v>https://hotwheels.fandom.com/wiki/Ferrari_365_GTB4_Competizione</x:v>
      </x:c>
      <x:c r="X33" s="82" t="str">
        <x:v>https://hotwheels.fandom.com/wiki/Ferrari_365_GTB4_Competizione</x:v>
      </x:c>
    </x:row>
    <x:row r="34">
      <x:c r="A34" s="80" t="str">
        <x:v>Não</x:v>
      </x:c>
      <x:c r="B34" s="80" t="str">
        <x:v>1 — Comprar agora</x:v>
      </x:c>
      <x:c r="C34" s="81" t="n">
        <x:v>2025</x:v>
      </x:c>
      <x:c r="D34" s="80" t="str">
        <x:v>Ferrari 499P</x:v>
      </x:c>
      <x:c r="E34" s="80" t="str">
        <x:v>Ferrari 499P</x:v>
      </x:c>
      <x:c r="F34" s="82" t="str">
        <x:v>Car Culture: Circuit Legends / 2/5</x:v>
      </x:c>
      <x:c r="G34" s="80" t="str"/>
      <x:c r="H34" s="80" t="str"/>
      <x:c r="I34" s="83" t="str">
        <x:v>JBK49</x:v>
      </x:c>
      <x:c r="J34" s="80" t="str">
        <x:v>Rosso Corsa</x:v>
      </x:c>
      <x:c r="K34" s="82" t="str">
        <x:v>Detailed headlights and taillights, #51 AF Corse livery</x:v>
      </x:c>
      <x:c r="L34" s="82" t="str">
        <x:v>Black RR10SPM</x:v>
      </x:c>
      <x:c r="M34" s="82" t="str">
        <x:v>Matte black / / / Metal</x:v>
      </x:c>
      <x:c r="N34" s="82" t="str">
        <x:v>Smoke tint</x:v>
      </x:c>
      <x:c r="O34" s="82" t="str">
        <x:v>Black</x:v>
      </x:c>
      <x:c r="P34" s="82" t="str">
        <x:v>Thailand</x:v>
      </x:c>
      <x:c r="Q34" s="82" t="str"/>
      <x:c r="R34" s="82" t="str">
        <x:v>Premium</x:v>
      </x:c>
      <x:c r="S34" s="82" t="str">
        <x:v>Incomum</x:v>
      </x:c>
      <x:c r="T34" s="82" t="str">
        <x:v>Lançado</x:v>
      </x:c>
      <x:c r="U34" s="82" t="str">
        <x:v>Base code(s): U15A, U17A, U18A, U20A, U25A, U26A, U27A</x:v>
      </x:c>
      <x:c r="V34" s="80" t="str">
        <x:v>Coleção principal (~1:64)</x:v>
      </x:c>
      <x:c r="W34" s="82" t="str">
        <x:v>https://hotwheels.fandom.com/wiki/Ferrari_499P</x:v>
      </x:c>
      <x:c r="X34" s="82" t="str">
        <x:v>https://hotwheels.fandom.com/wiki/Ferrari_499P</x:v>
      </x:c>
    </x:row>
    <x:row r="35">
      <x:c r="A35" s="80" t="str">
        <x:v>Não</x:v>
      </x:c>
      <x:c r="B35" s="80" t="str">
        <x:v>1 — Comprar agora</x:v>
      </x:c>
      <x:c r="C35" s="81" t="n">
        <x:v>2025</x:v>
      </x:c>
      <x:c r="D35" s="80" t="str">
        <x:v>Ferrari 499P Modificata</x:v>
      </x:c>
      <x:c r="E35" s="80" t="str">
        <x:v>Ferrari 499P Modificata</x:v>
      </x:c>
      <x:c r="F35" s="82" t="str">
        <x:v>Ferrari Heritage Set</x:v>
      </x:c>
      <x:c r="G35" s="80" t="str"/>
      <x:c r="H35" s="80" t="str"/>
      <x:c r="I35" s="83" t="str">
        <x:v>JCP65</x:v>
      </x:c>
      <x:c r="J35" s="80" t="str"/>
      <x:c r="K35" s="82" t="str"/>
      <x:c r="L35" s="82" t="str"/>
      <x:c r="M35" s="82" t="str"/>
      <x:c r="N35" s="82" t="str"/>
      <x:c r="O35" s="82" t="str"/>
      <x:c r="P35" s="82" t="str"/>
      <x:c r="Q35" s="82" t="str"/>
      <x:c r="R35" s="82" t="str">
        <x:v>Outra linha</x:v>
      </x:c>
      <x:c r="S35" s="82" t="str">
        <x:v>Comum / atual</x:v>
      </x:c>
      <x:c r="T35" s="82" t="str">
        <x:v>Lançado</x:v>
      </x:c>
      <x:c r="U35" s="82" t="str"/>
      <x:c r="V35" s="80" t="str">
        <x:v>Coleção principal (~1:64)</x:v>
      </x:c>
      <x:c r="W35" s="82" t="str">
        <x:v>https://hotwheels.fandom.com/wiki/Ferrari</x:v>
      </x:c>
      <x:c r="X35" s="82" t="str">
        <x:v>https://hotwheels.fandom.com/wiki/Ferrari_499P_Modificata</x:v>
      </x:c>
    </x:row>
    <x:row r="36">
      <x:c r="A36" s="80" t="str">
        <x:v>Não</x:v>
      </x:c>
      <x:c r="B36" s="80" t="str">
        <x:v>1 — Comprar agora</x:v>
      </x:c>
      <x:c r="C36" s="81" t="n">
        <x:v>2025</x:v>
      </x:c>
      <x:c r="D36" s="80" t="str">
        <x:v>Ferrari 499P Modificata</x:v>
      </x:c>
      <x:c r="E36" s="80" t="str">
        <x:v>Ferrari 499P Modificata</x:v>
      </x:c>
      <x:c r="F36" s="82" t="str">
        <x:v>Hot Wheels × Ferrari Heritage Set</x:v>
      </x:c>
      <x:c r="G36" s="80" t="str"/>
      <x:c r="H36" s="80" t="str"/>
      <x:c r="I36" s="83" t="str">
        <x:v>JDK37</x:v>
      </x:c>
      <x:c r="J36" s="80" t="str">
        <x:v>Silver Plate Spectraflame Rosso Corsa</x:v>
      </x:c>
      <x:c r="K36" s="82" t="str">
        <x:v>Detailed headlight and taillight strips, white diagonal with Italian flag, "24" roundel on front, "24" on sides</x:v>
      </x:c>
      <x:c r="L36" s="82" t="str">
        <x:v>RR10SPM</x:v>
      </x:c>
      <x:c r="M36" s="82" t="str">
        <x:v>Matte Black / / / Metal</x:v>
      </x:c>
      <x:c r="N36" s="82" t="str">
        <x:v>Super light smoke tint</x:v>
      </x:c>
      <x:c r="O36" s="82" t="str">
        <x:v>Black</x:v>
      </x:c>
      <x:c r="P36" s="82" t="str">
        <x:v>China</x:v>
      </x:c>
      <x:c r="Q36" s="82" t="str"/>
      <x:c r="R36" s="82" t="str">
        <x:v>Outra linha</x:v>
      </x:c>
      <x:c r="S36" s="82" t="str">
        <x:v>Comum / atual</x:v>
      </x:c>
      <x:c r="T36" s="82" t="str">
        <x:v>Lançado</x:v>
      </x:c>
      <x:c r="U36" s="82" t="str"/>
      <x:c r="V36" s="80" t="str">
        <x:v>Coleção principal (~1:64)</x:v>
      </x:c>
      <x:c r="W36" s="82" t="str">
        <x:v>https://hotwheels.fandom.com/wiki/Ferrari_499P_Modificata</x:v>
      </x:c>
      <x:c r="X36" s="82" t="str">
        <x:v>https://hotwheels.fandom.com/wiki/Ferrari_499P_Modificata</x:v>
      </x:c>
    </x:row>
    <x:row r="37">
      <x:c r="A37" s="80" t="str">
        <x:v>Não</x:v>
      </x:c>
      <x:c r="B37" s="80" t="str">
        <x:v>1 — Comprar agora</x:v>
      </x:c>
      <x:c r="C37" s="81" t="n">
        <x:v>2025</x:v>
      </x:c>
      <x:c r="D37" s="80" t="str">
        <x:v>Ferrari F40 Competizione</x:v>
      </x:c>
      <x:c r="E37" s="80" t="str">
        <x:v>Ferrari F40 Competizione</x:v>
      </x:c>
      <x:c r="F37" s="82" t="str">
        <x:v>HW Exotics / 4/5</x:v>
      </x:c>
      <x:c r="G37" s="80" t="str"/>
      <x:c r="H37" s="80" t="str">
        <x:v>198/250</x:v>
      </x:c>
      <x:c r="I37" s="83" t="str">
        <x:v>JBB92</x:v>
      </x:c>
      <x:c r="J37" s="80" t="str">
        <x:v>Giallo Modena</x:v>
      </x:c>
      <x:c r="K37" s="82" t="str">
        <x:v>Front Ferrari badge, Scuderia Ferrari emblems on sides</x:v>
      </x:c>
      <x:c r="L37" s="82" t="str">
        <x:v>Grey 5SP</x:v>
      </x:c>
      <x:c r="M37" s="82" t="str">
        <x:v>Black / / / Plastic</x:v>
      </x:c>
      <x:c r="N37" s="82" t="str">
        <x:v>Clear</x:v>
      </x:c>
      <x:c r="O37" s="82" t="str">
        <x:v>Black</x:v>
      </x:c>
      <x:c r="P37" s="82" t="str">
        <x:v>Malaysia</x:v>
      </x:c>
      <x:c r="Q37" s="82" t="str"/>
      <x:c r="R37" s="82" t="str">
        <x:v>Mainline</x:v>
      </x:c>
      <x:c r="S37" s="82" t="str">
        <x:v>Comum / atual</x:v>
      </x:c>
      <x:c r="T37" s="82" t="str">
        <x:v>Lançado</x:v>
      </x:c>
      <x:c r="U37" s="82" t="str">
        <x:v>New Model / Base code(s): U30N, U31N, U32N, U33N, U34N, U35N</x:v>
      </x:c>
      <x:c r="V37" s="80" t="str">
        <x:v>Coleção principal (~1:64)</x:v>
      </x:c>
      <x:c r="W37" s="82" t="str">
        <x:v>https://hotwheels.fandom.com/wiki/Ferrari_F40_Competizione</x:v>
      </x:c>
      <x:c r="X37" s="82" t="str">
        <x:v>https://hotwheels.fandom.com/wiki/Ferrari_F40_Competizione</x:v>
      </x:c>
    </x:row>
    <x:row r="38">
      <x:c r="A38" s="80" t="str">
        <x:v>Não</x:v>
      </x:c>
      <x:c r="B38" s="80" t="str">
        <x:v>1 — Comprar agora</x:v>
      </x:c>
      <x:c r="C38" s="81" t="n">
        <x:v>2025</x:v>
      </x:c>
      <x:c r="D38" s="80" t="str">
        <x:v>Ferrari F40 Competizione</x:v>
      </x:c>
      <x:c r="E38" s="80" t="str">
        <x:v>Ferrari F40 Competizione</x:v>
      </x:c>
      <x:c r="F38" s="82" t="str">
        <x:v>HW Exotics / 4/5</x:v>
      </x:c>
      <x:c r="G38" s="80" t="str"/>
      <x:c r="H38" s="80" t="str">
        <x:v>198/250</x:v>
      </x:c>
      <x:c r="I38" s="83" t="str">
        <x:v>HYW59</x:v>
      </x:c>
      <x:c r="J38" s="80" t="str">
        <x:v>Rosso Corsa</x:v>
      </x:c>
      <x:c r="K38" s="82" t="str">
        <x:v>Front Ferrari badge, Scuderia Ferrari emblems on sides</x:v>
      </x:c>
      <x:c r="L38" s="82" t="str">
        <x:v>5SP</x:v>
      </x:c>
      <x:c r="M38" s="82" t="str">
        <x:v>Black / / / Plastic</x:v>
      </x:c>
      <x:c r="N38" s="82" t="str">
        <x:v>Clear</x:v>
      </x:c>
      <x:c r="O38" s="82" t="str">
        <x:v>Black</x:v>
      </x:c>
      <x:c r="P38" s="82" t="str">
        <x:v>Malaysia</x:v>
      </x:c>
      <x:c r="Q38" s="82" t="str"/>
      <x:c r="R38" s="82" t="str">
        <x:v>Mainline</x:v>
      </x:c>
      <x:c r="S38" s="82" t="str">
        <x:v>Comum / atual</x:v>
      </x:c>
      <x:c r="T38" s="82" t="str">
        <x:v>Lançado</x:v>
      </x:c>
      <x:c r="U38" s="82" t="str">
        <x:v>New Model / Base codes: U12N, U13N, U14N, U15N, U16N, U17N, U18N, U19N</x:v>
      </x:c>
      <x:c r="V38" s="80" t="str">
        <x:v>Coleção principal (~1:64)</x:v>
      </x:c>
      <x:c r="W38" s="82" t="str">
        <x:v>https://hotwheels.fandom.com/wiki/Ferrari_F40_Competizione</x:v>
      </x:c>
      <x:c r="X38" s="82" t="str">
        <x:v>https://hotwheels.fandom.com/wiki/Ferrari_F40_Competizione</x:v>
      </x:c>
    </x:row>
    <x:row r="39">
      <x:c r="A39" s="80" t="str">
        <x:v>Não</x:v>
      </x:c>
      <x:c r="B39" s="80" t="str">
        <x:v>1 — Comprar agora</x:v>
      </x:c>
      <x:c r="C39" s="81" t="n">
        <x:v>2025</x:v>
      </x:c>
      <x:c r="D39" s="80" t="str">
        <x:v>Ferrari F50</x:v>
      </x:c>
      <x:c r="E39" s="80" t="str">
        <x:v>Ferrari F50</x:v>
      </x:c>
      <x:c r="F39" s="82" t="str">
        <x:v>Car Culture: Timeless Icons / 1/5</x:v>
      </x:c>
      <x:c r="G39" s="80" t="str"/>
      <x:c r="H39" s="80" t="str"/>
      <x:c r="I39" s="83" t="str">
        <x:v>JBK56</x:v>
      </x:c>
      <x:c r="J39" s="80" t="str">
        <x:v>Rosso Barchetta</x:v>
      </x:c>
      <x:c r="K39" s="82" t="str">
        <x:v>Detailed headlights, taillights and trim, Pininfarina logo on sides</x:v>
      </x:c>
      <x:c r="L39" s="82" t="str">
        <x:v>Gray RRE</x:v>
      </x:c>
      <x:c r="M39" s="82" t="str">
        <x:v>Black / / / Metal</x:v>
      </x:c>
      <x:c r="N39" s="82" t="str">
        <x:v>Smoke tint</x:v>
      </x:c>
      <x:c r="O39" s="82" t="str">
        <x:v>Black</x:v>
      </x:c>
      <x:c r="P39" s="82" t="str">
        <x:v>Thailand</x:v>
      </x:c>
      <x:c r="Q39" s="82" t="str"/>
      <x:c r="R39" s="82" t="str">
        <x:v>Premium</x:v>
      </x:c>
      <x:c r="S39" s="82" t="str">
        <x:v>Incomum</x:v>
      </x:c>
      <x:c r="T39" s="82" t="str">
        <x:v>Lançado</x:v>
      </x:c>
      <x:c r="U39" s="82" t="str">
        <x:v>Base code(s): U35A, U36Z</x:v>
      </x:c>
      <x:c r="V39" s="80" t="str">
        <x:v>Coleção principal (~1:64)</x:v>
      </x:c>
      <x:c r="W39" s="82" t="str">
        <x:v>https://hotwheels.fandom.com/wiki/Ferrari_F50</x:v>
      </x:c>
      <x:c r="X39" s="82" t="str">
        <x:v>https://hotwheels.fandom.com/wiki/Ferrari_F50</x:v>
      </x:c>
    </x:row>
    <x:row r="40">
      <x:c r="A40" s="80" t="str">
        <x:v>Não</x:v>
      </x:c>
      <x:c r="B40" s="80" t="str">
        <x:v>1 — Comprar agora</x:v>
      </x:c>
      <x:c r="C40" s="81" t="n">
        <x:v>2025</x:v>
      </x:c>
      <x:c r="D40" s="80" t="str">
        <x:v>Ferrari SF90 Stradale</x:v>
      </x:c>
      <x:c r="E40" s="80" t="str">
        <x:v>Ferrari SF90 Stradale</x:v>
      </x:c>
      <x:c r="F40" s="82" t="str">
        <x:v>Factory Fresh / 5/5</x:v>
      </x:c>
      <x:c r="G40" s="80" t="str"/>
      <x:c r="H40" s="80" t="str">
        <x:v>191/250</x:v>
      </x:c>
      <x:c r="I40" s="83" t="str">
        <x:v>HYY08</x:v>
      </x:c>
      <x:c r="J40" s="80" t="str">
        <x:v>Metalflake Grigio Silverstone</x:v>
      </x:c>
      <x:c r="K40" s="82" t="str">
        <x:v>Detailed headlights and badging, Scuderia Ferrari emblem on sides</x:v>
      </x:c>
      <x:c r="L40" s="82" t="str">
        <x:v>Black PR5</x:v>
      </x:c>
      <x:c r="M40" s="82" t="str">
        <x:v>Black / / / Plastic</x:v>
      </x:c>
      <x:c r="N40" s="82" t="str">
        <x:v>Smoke tint</x:v>
      </x:c>
      <x:c r="O40" s="82" t="str">
        <x:v>Black</x:v>
      </x:c>
      <x:c r="P40" s="82" t="str">
        <x:v>Malaysia</x:v>
      </x:c>
      <x:c r="Q40" s="82" t="str"/>
      <x:c r="R40" s="82" t="str">
        <x:v>Mainline</x:v>
      </x:c>
      <x:c r="S40" s="82" t="str">
        <x:v>Comum / atual</x:v>
      </x:c>
      <x:c r="T40" s="82" t="str">
        <x:v>Lançado</x:v>
      </x:c>
      <x:c r="U40" s="82" t="str">
        <x:v>New Model / Base code(s): U28N, U29N, U30N, U31N</x:v>
      </x:c>
      <x:c r="V40" s="80" t="str">
        <x:v>Coleção principal (~1:64)</x:v>
      </x:c>
      <x:c r="W40" s="82" t="str">
        <x:v>https://hotwheels.fandom.com/wiki/Ferrari_SF90_Stradale</x:v>
      </x:c>
      <x:c r="X40" s="82" t="str">
        <x:v>https://hotwheels.fandom.com/wiki/Ferrari_SF90_Stradale</x:v>
      </x:c>
    </x:row>
    <x:row r="41">
      <x:c r="A41" s="80" t="str">
        <x:v>Não</x:v>
      </x:c>
      <x:c r="B41" s="80" t="str">
        <x:v>1 — Comprar agora</x:v>
      </x:c>
      <x:c r="C41" s="81" t="n">
        <x:v>2025</x:v>
      </x:c>
      <x:c r="D41" s="80" t="str">
        <x:v>Ferrari SF90 Stradale</x:v>
      </x:c>
      <x:c r="E41" s="80" t="str">
        <x:v>Ferrari SF90 Stradale</x:v>
      </x:c>
      <x:c r="F41" s="82" t="str">
        <x:v>Factory Fresh / 5/5</x:v>
      </x:c>
      <x:c r="G41" s="80" t="str"/>
      <x:c r="H41" s="80" t="str">
        <x:v>191/250</x:v>
      </x:c>
      <x:c r="I41" s="83" t="str">
        <x:v>HYW34</x:v>
      </x:c>
      <x:c r="J41" s="80" t="str">
        <x:v>Rosso Corsa</x:v>
      </x:c>
      <x:c r="K41" s="82" t="str">
        <x:v>Detailed headlights and badging, Scuderia Ferrari emblem on sides</x:v>
      </x:c>
      <x:c r="L41" s="82" t="str">
        <x:v>Black PR5</x:v>
      </x:c>
      <x:c r="M41" s="82" t="str">
        <x:v>Black / / / Plastic</x:v>
      </x:c>
      <x:c r="N41" s="82" t="str">
        <x:v>Smoke tint</x:v>
      </x:c>
      <x:c r="O41" s="82" t="str">
        <x:v>Black</x:v>
      </x:c>
      <x:c r="P41" s="82" t="str">
        <x:v>Malaysia</x:v>
      </x:c>
      <x:c r="Q41" s="82" t="str"/>
      <x:c r="R41" s="82" t="str">
        <x:v>Mainline</x:v>
      </x:c>
      <x:c r="S41" s="82" t="str">
        <x:v>Comum / atual</x:v>
      </x:c>
      <x:c r="T41" s="82" t="str">
        <x:v>Lançado</x:v>
      </x:c>
      <x:c r="U41" s="82" t="str">
        <x:v>New Model / Base code(s): U04N, U09N, U10N, U12N, U13N, U15N</x:v>
      </x:c>
      <x:c r="V41" s="80" t="str">
        <x:v>Coleção principal (~1:64)</x:v>
      </x:c>
      <x:c r="W41" s="82" t="str">
        <x:v>https://hotwheels.fandom.com/wiki/Ferrari_SF90_Stradale</x:v>
      </x:c>
      <x:c r="X41" s="82" t="str">
        <x:v>https://hotwheels.fandom.com/wiki/Ferrari_SF90_Stradale</x:v>
      </x:c>
    </x:row>
    <x:row r="42">
      <x:c r="A42" s="80" t="str">
        <x:v>Não</x:v>
      </x:c>
      <x:c r="B42" s="80" t="str">
        <x:v>1 — Comprar agora</x:v>
      </x:c>
      <x:c r="C42" s="81" t="n">
        <x:v>2025</x:v>
      </x:c>
      <x:c r="D42" s="80" t="str">
        <x:v>Ferrari SF90 Stradale</x:v>
      </x:c>
      <x:c r="E42" s="80" t="str">
        <x:v>Ferrari SF90 Stradale</x:v>
      </x:c>
      <x:c r="F42" s="82" t="str">
        <x:v>HW Motor Show 5-Pack</x:v>
      </x:c>
      <x:c r="G42" s="80" t="str"/>
      <x:c r="H42" s="80" t="str"/>
      <x:c r="I42" s="83" t="str">
        <x:v>JBJ89</x:v>
      </x:c>
      <x:c r="J42" s="80" t="str">
        <x:v>Rosso Mugello</x:v>
      </x:c>
      <x:c r="K42" s="82" t="str">
        <x:v>Detailed headlights and badging, Scuderia Ferrari emblem on sides</x:v>
      </x:c>
      <x:c r="L42" s="82" t="str">
        <x:v>PR5</x:v>
      </x:c>
      <x:c r="M42" s="82" t="str">
        <x:v>Black / / / Plastic</x:v>
      </x:c>
      <x:c r="N42" s="82" t="str">
        <x:v>Smoke tint</x:v>
      </x:c>
      <x:c r="O42" s="82" t="str">
        <x:v>Black</x:v>
      </x:c>
      <x:c r="P42" s="82" t="str">
        <x:v>Indonesia</x:v>
      </x:c>
      <x:c r="Q42" s="82" t="str"/>
      <x:c r="R42" s="82" t="str">
        <x:v>Temática / multipack</x:v>
      </x:c>
      <x:c r="S42" s="82" t="str">
        <x:v>Comum / atual</x:v>
      </x:c>
      <x:c r="T42" s="82" t="str">
        <x:v>Lançado</x:v>
      </x:c>
      <x:c r="U42" s="82" t="str">
        <x:v>Base code(s): U19I, U20I, U24I, U25I, U30I</x:v>
      </x:c>
      <x:c r="V42" s="80" t="str">
        <x:v>Coleção principal (~1:64)</x:v>
      </x:c>
      <x:c r="W42" s="82" t="str">
        <x:v>https://hotwheels.fandom.com/wiki/Ferrari_SF90_Stradale</x:v>
      </x:c>
      <x:c r="X42" s="82" t="str">
        <x:v>https://hotwheels.fandom.com/wiki/Ferrari_SF90_Stradale</x:v>
      </x:c>
    </x:row>
    <x:row r="43">
      <x:c r="A43" s="80" t="str">
        <x:v>Não</x:v>
      </x:c>
      <x:c r="B43" s="80" t="str">
        <x:v>1 — Comprar agora</x:v>
      </x:c>
      <x:c r="C43" s="81" t="n">
        <x:v>2025</x:v>
      </x:c>
      <x:c r="D43" s="80" t="str">
        <x:v>LaFerrari (2025)</x:v>
      </x:c>
      <x:c r="E43" s="80" t="str">
        <x:v>LaFerrari</x:v>
      </x:c>
      <x:c r="F43" s="82" t="str">
        <x:v>Car Culture: Eurospeed / 3/5</x:v>
      </x:c>
      <x:c r="G43" s="80" t="str"/>
      <x:c r="H43" s="80" t="str"/>
      <x:c r="I43" s="83" t="str">
        <x:v>JBK55</x:v>
      </x:c>
      <x:c r="J43" s="80" t="str">
        <x:v>Rosso Corsa</x:v>
      </x:c>
      <x:c r="K43" s="82" t="str">
        <x:v>Detailed headlights, taillights and trim</x:v>
      </x:c>
      <x:c r="L43" s="82" t="str">
        <x:v>Gray RR5SPM</x:v>
      </x:c>
      <x:c r="M43" s="82" t="str">
        <x:v>Black / / / Metal</x:v>
      </x:c>
      <x:c r="N43" s="82" t="str">
        <x:v>Smoke tint</x:v>
      </x:c>
      <x:c r="O43" s="82" t="str">
        <x:v>Black</x:v>
      </x:c>
      <x:c r="P43" s="82" t="str">
        <x:v>Thailand</x:v>
      </x:c>
      <x:c r="Q43" s="82" t="str"/>
      <x:c r="R43" s="82" t="str">
        <x:v>Premium</x:v>
      </x:c>
      <x:c r="S43" s="82" t="str">
        <x:v>Incomum</x:v>
      </x:c>
      <x:c r="T43" s="82" t="str">
        <x:v>Lançado</x:v>
      </x:c>
      <x:c r="U43" s="82" t="str">
        <x:v>Base code(s): U24A, U26A, U28A</x:v>
      </x:c>
      <x:c r="V43" s="80" t="str">
        <x:v>Coleção principal (~1:64)</x:v>
      </x:c>
      <x:c r="W43" s="82" t="str">
        <x:v>https://hotwheels.fandom.com/wiki/LaFerrari_(2025)</x:v>
      </x:c>
      <x:c r="X43" s="82" t="str">
        <x:v>https://hotwheels.fandom.com/wiki/LaFerrari_(2025)</x:v>
      </x:c>
    </x:row>
    <x:row r="44">
      <x:c r="A44" s="80" t="str">
        <x:v>Não</x:v>
      </x:c>
      <x:c r="B44" s="80" t="str">
        <x:v>2 — Completar aos poucos</x:v>
      </x:c>
      <x:c r="C44" s="81" t="n">
        <x:v>2015</x:v>
      </x:c>
      <x:c r="D44" s="80" t="str">
        <x:v>Ferrari 599 GTB Fiorano</x:v>
      </x:c>
      <x:c r="E44" s="80" t="str">
        <x:v>Ferrari 599 GTB Fiorano</x:v>
      </x:c>
      <x:c r="F44" s="82" t="str">
        <x:v>HW City: Street Power</x:v>
      </x:c>
      <x:c r="G44" s="80" t="str"/>
      <x:c r="H44" s="80" t="str">
        <x:v>021/250</x:v>
      </x:c>
      <x:c r="I44" s="83" t="str">
        <x:v>CFH81</x:v>
      </x:c>
      <x:c r="J44" s="80" t="str">
        <x:v>Yellow</x:v>
      </x:c>
      <x:c r="K44" s="82" t="str">
        <x:v>Black White stripe on sides and hood, Ferrari emblems on sides and hood</x:v>
      </x:c>
      <x:c r="L44" s="82" t="str">
        <x:v>Black PR5 Yellow Rim</x:v>
      </x:c>
      <x:c r="M44" s="82" t="str">
        <x:v>Black / / / Plastic</x:v>
      </x:c>
      <x:c r="N44" s="82" t="str">
        <x:v>Tinted</x:v>
      </x:c>
      <x:c r="O44" s="82" t="str">
        <x:v>Black</x:v>
      </x:c>
      <x:c r="P44" s="82" t="str">
        <x:v>Malaysia</x:v>
      </x:c>
      <x:c r="Q44" s="82" t="str"/>
      <x:c r="R44" s="82" t="str">
        <x:v>Mainline</x:v>
      </x:c>
      <x:c r="S44" s="82" t="str">
        <x:v>Incomum</x:v>
      </x:c>
      <x:c r="T44" s="82" t="str">
        <x:v>Lançado</x:v>
      </x:c>
      <x:c r="U44" s="82" t="str">
        <x:v>Base code(s): G30, G33, G37</x:v>
      </x:c>
      <x:c r="V44" s="80" t="str">
        <x:v>Coleção principal (~1:64)</x:v>
      </x:c>
      <x:c r="W44" s="82" t="str">
        <x:v>https://hotwheels.fandom.com/wiki/Ferrari_599_GTB_Fiorano</x:v>
      </x:c>
      <x:c r="X44" s="82" t="str">
        <x:v>https://hotwheels.fandom.com/wiki/Ferrari_599_GTB_Fiorano</x:v>
      </x:c>
    </x:row>
    <x:row r="45">
      <x:c r="A45" s="80" t="str">
        <x:v>Não</x:v>
      </x:c>
      <x:c r="B45" s="80" t="str">
        <x:v>2 — Completar aos poucos</x:v>
      </x:c>
      <x:c r="C45" s="81" t="n">
        <x:v>2015</x:v>
      </x:c>
      <x:c r="D45" s="80" t="str">
        <x:v>Ferrari 599XX</x:v>
      </x:c>
      <x:c r="E45" s="80" t="str">
        <x:v>Ferrari 599XX</x:v>
      </x:c>
      <x:c r="F45" s="82" t="str">
        <x:v>HW Workshop: Thrill Racers</x:v>
      </x:c>
      <x:c r="G45" s="80" t="str"/>
      <x:c r="H45" s="80" t="str">
        <x:v>188/250</x:v>
      </x:c>
      <x:c r="I45" s="83" t="str">
        <x:v>CFH83</x:v>
      </x:c>
      <x:c r="J45" s="80" t="str">
        <x:v>Metalflake Pearl Black</x:v>
      </x:c>
      <x:c r="K45" s="82" t="str">
        <x:v>Red stripes on sides &amp; hood, Ferrari logo on sides &amp; front, detailed headlights</x:v>
      </x:c>
      <x:c r="L45" s="82" t="str">
        <x:v>Chrome Red &amp; Black PR5</x:v>
      </x:c>
      <x:c r="M45" s="82" t="str">
        <x:v>Black / / / Plastic</x:v>
      </x:c>
      <x:c r="N45" s="82" t="str">
        <x:v>Smoke tint</x:v>
      </x:c>
      <x:c r="O45" s="82" t="str">
        <x:v>Black</x:v>
      </x:c>
      <x:c r="P45" s="82" t="str">
        <x:v>Malaysia</x:v>
      </x:c>
      <x:c r="Q45" s="82" t="str"/>
      <x:c r="R45" s="82" t="str">
        <x:v>Mainline</x:v>
      </x:c>
      <x:c r="S45" s="82" t="str">
        <x:v>Incomum</x:v>
      </x:c>
      <x:c r="T45" s="82" t="str">
        <x:v>Lançado</x:v>
      </x:c>
      <x:c r="U45" s="82" t="str">
        <x:v>Base code(s): G34, G42, G47</x:v>
      </x:c>
      <x:c r="V45" s="80" t="str">
        <x:v>Coleção principal (~1:64)</x:v>
      </x:c>
      <x:c r="W45" s="82" t="str">
        <x:v>https://hotwheels.fandom.com/wiki/Ferrari_599XX</x:v>
      </x:c>
      <x:c r="X45" s="82" t="str">
        <x:v>https://hotwheels.fandom.com/wiki/Ferrari_599XX</x:v>
      </x:c>
    </x:row>
    <x:row r="46">
      <x:c r="A46" s="80" t="str">
        <x:v>Não</x:v>
      </x:c>
      <x:c r="B46" s="80" t="str">
        <x:v>2 — Completar aos poucos</x:v>
      </x:c>
      <x:c r="C46" s="81" t="n">
        <x:v>2014</x:v>
      </x:c>
      <x:c r="D46" s="80" t="str">
        <x:v>Ferrari 430 Scuderia</x:v>
      </x:c>
      <x:c r="E46" s="80" t="str">
        <x:v>Ferrari 430 Scuderia</x:v>
      </x:c>
      <x:c r="F46" s="82" t="str">
        <x:v>Ferrari 5-Pack</x:v>
      </x:c>
      <x:c r="G46" s="80" t="str"/>
      <x:c r="H46" s="80" t="str"/>
      <x:c r="I46" s="83" t="str">
        <x:v>BFB28</x:v>
      </x:c>
      <x:c r="J46" s="80" t="str">
        <x:v>Metallic Dark Blue</x:v>
      </x:c>
      <x:c r="K46" s="82" t="str">
        <x:v>Silver &amp; Red stripes</x:v>
      </x:c>
      <x:c r="L46" s="82" t="str">
        <x:v>PR5</x:v>
      </x:c>
      <x:c r="M46" s="82" t="str">
        <x:v>Dark Grey / / / Plastic</x:v>
      </x:c>
      <x:c r="N46" s="82" t="str">
        <x:v>Clear</x:v>
      </x:c>
      <x:c r="O46" s="82" t="str">
        <x:v>Dark Grey</x:v>
      </x:c>
      <x:c r="P46" s="82" t="str">
        <x:v>Thailand</x:v>
      </x:c>
      <x:c r="Q46" s="82" t="str"/>
      <x:c r="R46" s="82" t="str">
        <x:v>Temática / multipack</x:v>
      </x:c>
      <x:c r="S46" s="82" t="str">
        <x:v>Incomum</x:v>
      </x:c>
      <x:c r="T46" s="82" t="str">
        <x:v>Lançado</x:v>
      </x:c>
      <x:c r="U46" s="82" t="str">
        <x:v>Base code(s): F50, G22</x:v>
      </x:c>
      <x:c r="V46" s="80" t="str">
        <x:v>Coleção principal (~1:64)</x:v>
      </x:c>
      <x:c r="W46" s="82" t="str">
        <x:v>https://hotwheels.fandom.com/wiki/Ferrari_430_Scuderia</x:v>
      </x:c>
      <x:c r="X46" s="82" t="str">
        <x:v>https://hotwheels.fandom.com/wiki/Ferrari_430_Scuderia</x:v>
      </x:c>
    </x:row>
    <x:row r="47">
      <x:c r="A47" s="80" t="str">
        <x:v>Não</x:v>
      </x:c>
      <x:c r="B47" s="80" t="str">
        <x:v>2 — Completar aos poucos</x:v>
      </x:c>
      <x:c r="C47" s="81" t="n">
        <x:v>2014</x:v>
      </x:c>
      <x:c r="D47" s="80" t="str">
        <x:v>Ferrari 458 Italia</x:v>
      </x:c>
      <x:c r="E47" s="80" t="str">
        <x:v>Ferrari 458 Italia</x:v>
      </x:c>
      <x:c r="F47" s="82" t="str">
        <x:v>HW City: Speed Team</x:v>
      </x:c>
      <x:c r="G47" s="80" t="str"/>
      <x:c r="H47" s="80" t="str">
        <x:v>035/250</x:v>
      </x:c>
      <x:c r="I47" s="83" t="str">
        <x:v>BFC55</x:v>
      </x:c>
      <x:c r="J47" s="80" t="str">
        <x:v>Black Enamel</x:v>
      </x:c>
      <x:c r="K47" s="82" t="str">
        <x:v>Red &amp; White Stripes, Ferrari Logos, Headlights</x:v>
      </x:c>
      <x:c r="L47" s="82" t="str">
        <x:v>White Rim, Black PR5</x:v>
      </x:c>
      <x:c r="M47" s="82" t="str">
        <x:v>Black / / / Plastic</x:v>
      </x:c>
      <x:c r="N47" s="82" t="str">
        <x:v>Clear</x:v>
      </x:c>
      <x:c r="O47" s="82" t="str">
        <x:v>Dark Grey</x:v>
      </x:c>
      <x:c r="P47" s="82" t="str">
        <x:v>Malaysia</x:v>
      </x:c>
      <x:c r="Q47" s="82" t="str"/>
      <x:c r="R47" s="82" t="str">
        <x:v>Mainline</x:v>
      </x:c>
      <x:c r="S47" s="82" t="str">
        <x:v>Incomum</x:v>
      </x:c>
      <x:c r="T47" s="82" t="str">
        <x:v>Lançado</x:v>
      </x:c>
      <x:c r="U47" s="82" t="str">
        <x:v>Base code(s): F35, F37, F38, F40</x:v>
      </x:c>
      <x:c r="V47" s="80" t="str">
        <x:v>Coleção principal (~1:64)</x:v>
      </x:c>
      <x:c r="W47" s="82" t="str">
        <x:v>https://hotwheels.fandom.com/wiki/Ferrari_458_Italia</x:v>
      </x:c>
      <x:c r="X47" s="82" t="str">
        <x:v>https://hotwheels.fandom.com/wiki/Ferrari_458_Italia</x:v>
      </x:c>
    </x:row>
    <x:row r="48">
      <x:c r="A48" s="80" t="str">
        <x:v>Não</x:v>
      </x:c>
      <x:c r="B48" s="80" t="str">
        <x:v>2 — Completar aos poucos</x:v>
      </x:c>
      <x:c r="C48" s="81" t="n">
        <x:v>2014</x:v>
      </x:c>
      <x:c r="D48" s="80" t="str">
        <x:v>Ferrari 458 Italia</x:v>
      </x:c>
      <x:c r="E48" s="80" t="str">
        <x:v>Ferrari 458 Italia</x:v>
      </x:c>
      <x:c r="F48" s="82" t="str">
        <x:v>HW City: Speed Team</x:v>
      </x:c>
      <x:c r="G48" s="80" t="str"/>
      <x:c r="H48" s="80" t="str">
        <x:v>035/250</x:v>
      </x:c>
      <x:c r="I48" s="83" t="str">
        <x:v>BFF72</x:v>
      </x:c>
      <x:c r="J48" s="80" t="str">
        <x:v>Metalflake Dark Blue</x:v>
      </x:c>
      <x:c r="K48" s="82" t="str">
        <x:v>Yellow &amp; White Stripes, Ferrari Logos, Headlights</x:v>
      </x:c>
      <x:c r="L48" s="82" t="str">
        <x:v>Yellow Rim, black PR5</x:v>
      </x:c>
      <x:c r="M48" s="82" t="str">
        <x:v>Black / / / Plastic</x:v>
      </x:c>
      <x:c r="N48" s="82" t="str">
        <x:v>Clear</x:v>
      </x:c>
      <x:c r="O48" s="82" t="str">
        <x:v>Black</x:v>
      </x:c>
      <x:c r="P48" s="82" t="str">
        <x:v>Malaysia</x:v>
      </x:c>
      <x:c r="Q48" s="82" t="str"/>
      <x:c r="R48" s="82" t="str">
        <x:v>Mainline</x:v>
      </x:c>
      <x:c r="S48" s="82" t="str">
        <x:v>Incomum</x:v>
      </x:c>
      <x:c r="T48" s="82" t="str">
        <x:v>Lançado</x:v>
      </x:c>
      <x:c r="U48" s="82" t="str">
        <x:v>Base code(s): G14, G16, G17, G18, G19</x:v>
      </x:c>
      <x:c r="V48" s="80" t="str">
        <x:v>Coleção principal (~1:64)</x:v>
      </x:c>
      <x:c r="W48" s="82" t="str">
        <x:v>https://hotwheels.fandom.com/wiki/Ferrari_458_Italia</x:v>
      </x:c>
      <x:c r="X48" s="82" t="str">
        <x:v>https://hotwheels.fandom.com/wiki/Ferrari_458_Italia</x:v>
      </x:c>
    </x:row>
    <x:row r="49">
      <x:c r="A49" s="80" t="str">
        <x:v>Não</x:v>
      </x:c>
      <x:c r="B49" s="80" t="str">
        <x:v>2 — Completar aos poucos</x:v>
      </x:c>
      <x:c r="C49" s="81" t="n">
        <x:v>2014</x:v>
      </x:c>
      <x:c r="D49" s="80" t="str">
        <x:v>Ferrari 458 Spider</x:v>
      </x:c>
      <x:c r="E49" s="80" t="str">
        <x:v>Ferrari 458 Spider</x:v>
      </x:c>
      <x:c r="F49" s="82" t="str">
        <x:v>Ferrari 5-Pack</x:v>
      </x:c>
      <x:c r="G49" s="80" t="str"/>
      <x:c r="H49" s="80" t="str"/>
      <x:c r="I49" s="83" t="str">
        <x:v>BFB28</x:v>
      </x:c>
      <x:c r="J49" s="80" t="str">
        <x:v>Red</x:v>
      </x:c>
      <x:c r="K49" s="82" t="str">
        <x:v>Detailed headlights, White stripes on sides &amp; hood, Ferrari emblem on sides &amp; hood</x:v>
      </x:c>
      <x:c r="L49" s="82" t="str">
        <x:v>Y5</x:v>
      </x:c>
      <x:c r="M49" s="82" t="str">
        <x:v>Black / / / Plastic</x:v>
      </x:c>
      <x:c r="N49" s="82" t="str">
        <x:v>Clear</x:v>
      </x:c>
      <x:c r="O49" s="82" t="str">
        <x:v>Black</x:v>
      </x:c>
      <x:c r="P49" s="82" t="str">
        <x:v>Thailand</x:v>
      </x:c>
      <x:c r="Q49" s="82" t="str"/>
      <x:c r="R49" s="82" t="str">
        <x:v>Temática / multipack</x:v>
      </x:c>
      <x:c r="S49" s="82" t="str">
        <x:v>Incomum</x:v>
      </x:c>
      <x:c r="T49" s="82" t="str">
        <x:v>Lançado</x:v>
      </x:c>
      <x:c r="U49" s="82" t="str"/>
      <x:c r="V49" s="80" t="str">
        <x:v>Coleção principal (~1:64)</x:v>
      </x:c>
      <x:c r="W49" s="82" t="str">
        <x:v>https://hotwheels.fandom.com/wiki/Ferrari_458_Spider</x:v>
      </x:c>
      <x:c r="X49" s="82" t="str">
        <x:v>https://hotwheels.fandom.com/wiki/Ferrari_458_Spider</x:v>
      </x:c>
    </x:row>
    <x:row r="50">
      <x:c r="A50" s="80" t="str">
        <x:v>Não</x:v>
      </x:c>
      <x:c r="B50" s="80" t="str">
        <x:v>2 — Completar aos poucos</x:v>
      </x:c>
      <x:c r="C50" s="81" t="n">
        <x:v>2014</x:v>
      </x:c>
      <x:c r="D50" s="80" t="str">
        <x:v>Ferrari 612 Scaglietti</x:v>
      </x:c>
      <x:c r="E50" s="80" t="str">
        <x:v>Ferrari 612 Scaglietti</x:v>
      </x:c>
      <x:c r="F50" s="82" t="str">
        <x:v>Ferrari 5-Pack</x:v>
      </x:c>
      <x:c r="G50" s="80" t="str"/>
      <x:c r="H50" s="80" t="str"/>
      <x:c r="I50" s="83" t="str">
        <x:v>BFB28</x:v>
      </x:c>
      <x:c r="J50" s="80" t="str">
        <x:v>Pearl Bianco Avus</x:v>
      </x:c>
      <x:c r="K50" s="82" t="str">
        <x:v>Black stripes on hood sides; silver stripe on hood</x:v>
      </x:c>
      <x:c r="L50" s="82" t="str">
        <x:v>PR5</x:v>
      </x:c>
      <x:c r="M50" s="82" t="str">
        <x:v>Black / / / Plastic</x:v>
      </x:c>
      <x:c r="N50" s="82" t="str">
        <x:v>Tinted</x:v>
      </x:c>
      <x:c r="O50" s="82" t="str">
        <x:v>Red</x:v>
      </x:c>
      <x:c r="P50" s="82" t="str">
        <x:v>Thailand</x:v>
      </x:c>
      <x:c r="Q50" s="82" t="str"/>
      <x:c r="R50" s="82" t="str">
        <x:v>Temática / multipack</x:v>
      </x:c>
      <x:c r="S50" s="82" t="str">
        <x:v>Incomum</x:v>
      </x:c>
      <x:c r="T50" s="82" t="str">
        <x:v>Lançado</x:v>
      </x:c>
      <x:c r="U50" s="82" t="str"/>
      <x:c r="V50" s="80" t="str">
        <x:v>Coleção principal (~1:64)</x:v>
      </x:c>
      <x:c r="W50" s="82" t="str">
        <x:v>https://hotwheels.fandom.com/wiki/Ferrari_612_Scaglietti</x:v>
      </x:c>
      <x:c r="X50" s="82" t="str">
        <x:v>https://hotwheels.fandom.com/wiki/Ferrari_612_Scaglietti</x:v>
      </x:c>
    </x:row>
    <x:row r="51">
      <x:c r="A51" s="80" t="str">
        <x:v>Não</x:v>
      </x:c>
      <x:c r="B51" s="80" t="str">
        <x:v>2 — Completar aos poucos</x:v>
      </x:c>
      <x:c r="C51" s="81" t="n">
        <x:v>2014</x:v>
      </x:c>
      <x:c r="D51" s="80" t="str">
        <x:v>Ferrari Dino 246 GTS</x:v>
      </x:c>
      <x:c r="E51" s="80" t="str">
        <x:v>Ferrari Dino 246 GTS</x:v>
      </x:c>
      <x:c r="F51" s="82" t="str">
        <x:v>Hot Wheels Entertainment: Hart to Hart</x:v>
      </x:c>
      <x:c r="G51" s="80" t="str"/>
      <x:c r="H51" s="80" t="str"/>
      <x:c r="I51" s="83" t="str">
        <x:v>BDV03</x:v>
      </x:c>
      <x:c r="J51" s="80" t="str">
        <x:v>Red</x:v>
      </x:c>
      <x:c r="K51" s="82" t="str">
        <x:v>Silver bumpers, Red window trim, detailed head- &amp; taillights</x:v>
      </x:c>
      <x:c r="L51" s="82" t="str">
        <x:v>RRWSP</x:v>
      </x:c>
      <x:c r="M51" s="82" t="str">
        <x:v>Matte Black / / / Metal</x:v>
      </x:c>
      <x:c r="N51" s="82" t="str">
        <x:v>Clear</x:v>
      </x:c>
      <x:c r="O51" s="82" t="str">
        <x:v>Dark Grey</x:v>
      </x:c>
      <x:c r="P51" s="82" t="str">
        <x:v>Malaysia</x:v>
      </x:c>
      <x:c r="Q51" s="82" t="str"/>
      <x:c r="R51" s="82" t="str">
        <x:v>Outra linha</x:v>
      </x:c>
      <x:c r="S51" s="82" t="str">
        <x:v>Incomum</x:v>
      </x:c>
      <x:c r="T51" s="82" t="str">
        <x:v>Lançado</x:v>
      </x:c>
      <x:c r="U51" s="82" t="str">
        <x:v>Base code(s): F47</x:v>
      </x:c>
      <x:c r="V51" s="80" t="str">
        <x:v>Coleção principal (~1:64)</x:v>
      </x:c>
      <x:c r="W51" s="82" t="str">
        <x:v>https://hotwheels.fandom.com/wiki/Ferrari_Dino_246_GTS</x:v>
      </x:c>
      <x:c r="X51" s="82" t="str">
        <x:v>https://hotwheels.fandom.com/wiki/Ferrari_Dino_246_GTS</x:v>
      </x:c>
    </x:row>
    <x:row r="52">
      <x:c r="A52" s="80" t="str">
        <x:v>Não</x:v>
      </x:c>
      <x:c r="B52" s="80" t="str">
        <x:v>2 — Completar aos poucos</x:v>
      </x:c>
      <x:c r="C52" s="81" t="n">
        <x:v>2014</x:v>
      </x:c>
      <x:c r="D52" s="80" t="str">
        <x:v>Ferrari F12berlinetta</x:v>
      </x:c>
      <x:c r="E52" s="80" t="str">
        <x:v>Ferrari F12berlinetta</x:v>
      </x:c>
      <x:c r="F52" s="82" t="str">
        <x:v>HW City: Speed Team</x:v>
      </x:c>
      <x:c r="G52" s="80" t="str"/>
      <x:c r="H52" s="80" t="str">
        <x:v>031/250</x:v>
      </x:c>
      <x:c r="I52" s="83" t="str">
        <x:v>BFC51</x:v>
      </x:c>
      <x:c r="J52" s="80" t="str">
        <x:v>Metalflake Silver</x:v>
      </x:c>
      <x:c r="K52" s="82" t="str">
        <x:v>Detailed headlights &amp; Ferrari logo on front</x:v>
      </x:c>
      <x:c r="L52" s="82" t="str">
        <x:v>PR5</x:v>
      </x:c>
      <x:c r="M52" s="82" t="str">
        <x:v>Black / / / Plastic</x:v>
      </x:c>
      <x:c r="N52" s="82" t="str">
        <x:v>Clear</x:v>
      </x:c>
      <x:c r="O52" s="82" t="str">
        <x:v>Black</x:v>
      </x:c>
      <x:c r="P52" s="82" t="str">
        <x:v>Malaysia</x:v>
      </x:c>
      <x:c r="Q52" s="82" t="str"/>
      <x:c r="R52" s="82" t="str">
        <x:v>Mainline</x:v>
      </x:c>
      <x:c r="S52" s="82" t="str">
        <x:v>Incomum</x:v>
      </x:c>
      <x:c r="T52" s="82" t="str">
        <x:v>Lançado</x:v>
      </x:c>
      <x:c r="U52" s="82" t="str">
        <x:v>Named Ferrari F12 Berlinetta / Base code(s): F49, F50, F51, G04</x:v>
      </x:c>
      <x:c r="V52" s="80" t="str">
        <x:v>Coleção principal (~1:64)</x:v>
      </x:c>
      <x:c r="W52" s="82" t="str">
        <x:v>https://hotwheels.fandom.com/wiki/Ferrari_F12berlinetta</x:v>
      </x:c>
      <x:c r="X52" s="82" t="str">
        <x:v>https://hotwheels.fandom.com/wiki/Ferrari_F12berlinetta</x:v>
      </x:c>
    </x:row>
    <x:row r="53">
      <x:c r="A53" s="80" t="str">
        <x:v>Não</x:v>
      </x:c>
      <x:c r="B53" s="80" t="str">
        <x:v>2 — Completar aos poucos</x:v>
      </x:c>
      <x:c r="C53" s="81" t="n">
        <x:v>2014</x:v>
      </x:c>
      <x:c r="D53" s="80" t="str">
        <x:v>Ferrari F12berlinetta</x:v>
      </x:c>
      <x:c r="E53" s="80" t="str">
        <x:v>Ferrari F12berlinetta</x:v>
      </x:c>
      <x:c r="F53" s="82" t="str">
        <x:v>HW City: Speed Team</x:v>
      </x:c>
      <x:c r="G53" s="80" t="str"/>
      <x:c r="H53" s="80" t="str">
        <x:v>031/250</x:v>
      </x:c>
      <x:c r="I53" s="83" t="str">
        <x:v>BFF88</x:v>
      </x:c>
      <x:c r="J53" s="80" t="str">
        <x:v>Yellow</x:v>
      </x:c>
      <x:c r="K53" s="82" t="str">
        <x:v>Detailed headlights &amp; Ferrari logo on front</x:v>
      </x:c>
      <x:c r="L53" s="82" t="str">
        <x:v>Yellow &amp; Black PR5</x:v>
      </x:c>
      <x:c r="M53" s="82" t="str">
        <x:v>Black / / / Plastic</x:v>
      </x:c>
      <x:c r="N53" s="82" t="str">
        <x:v>Clear</x:v>
      </x:c>
      <x:c r="O53" s="82" t="str">
        <x:v>Black</x:v>
      </x:c>
      <x:c r="P53" s="82" t="str">
        <x:v>Malaysia</x:v>
      </x:c>
      <x:c r="Q53" s="82" t="str"/>
      <x:c r="R53" s="82" t="str">
        <x:v>Mainline</x:v>
      </x:c>
      <x:c r="S53" s="82" t="str">
        <x:v>Incomum</x:v>
      </x:c>
      <x:c r="T53" s="82" t="str">
        <x:v>Lançado</x:v>
      </x:c>
      <x:c r="U53" s="82" t="str">
        <x:v>Base code(s): G21, G25, G26</x:v>
      </x:c>
      <x:c r="V53" s="80" t="str">
        <x:v>Coleção principal (~1:64)</x:v>
      </x:c>
      <x:c r="W53" s="82" t="str">
        <x:v>https://hotwheels.fandom.com/wiki/Ferrari_F12berlinetta</x:v>
      </x:c>
      <x:c r="X53" s="82" t="str">
        <x:v>https://hotwheels.fandom.com/wiki/Ferrari_F12berlinetta</x:v>
      </x:c>
    </x:row>
    <x:row r="54">
      <x:c r="A54" s="80" t="str">
        <x:v>Não</x:v>
      </x:c>
      <x:c r="B54" s="80" t="str">
        <x:v>2 — Completar aos poucos</x:v>
      </x:c>
      <x:c r="C54" s="81" t="n">
        <x:v>2014</x:v>
      </x:c>
      <x:c r="D54" s="80" t="str">
        <x:v>Ferrari F40</x:v>
      </x:c>
      <x:c r="E54" s="80" t="str">
        <x:v>Ferrari F40</x:v>
      </x:c>
      <x:c r="F54" s="82" t="str">
        <x:v>Ferrari 5-Pack</x:v>
      </x:c>
      <x:c r="G54" s="80" t="str"/>
      <x:c r="H54" s="80" t="str"/>
      <x:c r="I54" s="83" t="str">
        <x:v>BFB28</x:v>
      </x:c>
      <x:c r="J54" s="80" t="str">
        <x:v>Yellow</x:v>
      </x:c>
      <x:c r="K54" s="82" t="str">
        <x:v>Black stripes</x:v>
      </x:c>
      <x:c r="L54" s="82" t="str">
        <x:v>PR5</x:v>
      </x:c>
      <x:c r="M54" s="82" t="str">
        <x:v>ZAMAC</x:v>
      </x:c>
      <x:c r="N54" s="82" t="str">
        <x:v>Smoke tint</x:v>
      </x:c>
      <x:c r="O54" s="82" t="str">
        <x:v>Black</x:v>
      </x:c>
      <x:c r="P54" s="82" t="str">
        <x:v>Thailand</x:v>
      </x:c>
      <x:c r="Q54" s="82" t="str"/>
      <x:c r="R54" s="82" t="str">
        <x:v>Temática / multipack</x:v>
      </x:c>
      <x:c r="S54" s="82" t="str">
        <x:v>Incomum</x:v>
      </x:c>
      <x:c r="T54" s="82" t="str">
        <x:v>Lançado</x:v>
      </x:c>
      <x:c r="U54" s="82" t="str">
        <x:v>Base code(s): F50, F52, G12, G24</x:v>
      </x:c>
      <x:c r="V54" s="80" t="str">
        <x:v>Coleção principal (~1:64)</x:v>
      </x:c>
      <x:c r="W54" s="82" t="str">
        <x:v>https://hotwheels.fandom.com/wiki/Ferrari_F40</x:v>
      </x:c>
      <x:c r="X54" s="82" t="str">
        <x:v>https://hotwheels.fandom.com/wiki/Ferrari_F40</x:v>
      </x:c>
    </x:row>
    <x:row r="55">
      <x:c r="A55" s="80" t="str">
        <x:v>Não</x:v>
      </x:c>
      <x:c r="B55" s="80" t="str">
        <x:v>2 — Completar aos poucos</x:v>
      </x:c>
      <x:c r="C55" s="81" t="n">
        <x:v>2014</x:v>
      </x:c>
      <x:c r="D55" s="80" t="str">
        <x:v>LaFerrari (2014)</x:v>
      </x:c>
      <x:c r="E55" s="80" t="str">
        <x:v>LaFerrari</x:v>
      </x:c>
      <x:c r="F55" s="82" t="str">
        <x:v>HW City: Speed Team</x:v>
      </x:c>
      <x:c r="G55" s="80" t="str"/>
      <x:c r="H55" s="80" t="str">
        <x:v>038/250</x:v>
      </x:c>
      <x:c r="I55" s="83" t="str">
        <x:v>BFF91</x:v>
      </x:c>
      <x:c r="J55" s="80" t="str">
        <x:v>Argento Nürburgring</x:v>
      </x:c>
      <x:c r="K55" s="82" t="str">
        <x:v>Detailed headlights, Ferrari logo on sides &amp; front</x:v>
      </x:c>
      <x:c r="L55" s="82" t="str">
        <x:v>PR5</x:v>
      </x:c>
      <x:c r="M55" s="82" t="str">
        <x:v>Black / / / Plastic</x:v>
      </x:c>
      <x:c r="N55" s="82" t="str">
        <x:v>Heavy smoke tint</x:v>
      </x:c>
      <x:c r="O55" s="82" t="str">
        <x:v>Black</x:v>
      </x:c>
      <x:c r="P55" s="82" t="str">
        <x:v>Malaysia</x:v>
      </x:c>
      <x:c r="Q55" s="82" t="str"/>
      <x:c r="R55" s="82" t="str">
        <x:v>Mainline</x:v>
      </x:c>
      <x:c r="S55" s="82" t="str">
        <x:v>Incomum</x:v>
      </x:c>
      <x:c r="T55" s="82" t="str">
        <x:v>Lançado</x:v>
      </x:c>
      <x:c r="U55" s="82" t="str">
        <x:v>New Model / Base code(s): G17, G18, G22, G23</x:v>
      </x:c>
      <x:c r="V55" s="80" t="str">
        <x:v>Coleção principal (~1:64)</x:v>
      </x:c>
      <x:c r="W55" s="82" t="str">
        <x:v>https://hotwheels.fandom.com/wiki/LaFerrari_(2014)</x:v>
      </x:c>
      <x:c r="X55" s="82" t="str">
        <x:v>https://hotwheels.fandom.com/wiki/LaFerrari_(2014)</x:v>
      </x:c>
    </x:row>
    <x:row r="56">
      <x:c r="A56" s="80" t="str">
        <x:v>Não</x:v>
      </x:c>
      <x:c r="B56" s="80" t="str">
        <x:v>2 — Completar aos poucos</x:v>
      </x:c>
      <x:c r="C56" s="81" t="n">
        <x:v>2014</x:v>
      </x:c>
      <x:c r="D56" s="80" t="str">
        <x:v>LaFerrari (2014)</x:v>
      </x:c>
      <x:c r="E56" s="80" t="str">
        <x:v>LaFerrari</x:v>
      </x:c>
      <x:c r="F56" s="82" t="str">
        <x:v>HW City: Speed Team</x:v>
      </x:c>
      <x:c r="G56" s="80" t="str"/>
      <x:c r="H56" s="80" t="str">
        <x:v>038/250</x:v>
      </x:c>
      <x:c r="I56" s="83" t="str">
        <x:v>BDC80</x:v>
      </x:c>
      <x:c r="J56" s="80" t="str">
        <x:v>Rosso Corsa</x:v>
      </x:c>
      <x:c r="K56" s="82" t="str">
        <x:v>Detailed headlights, Ferrari logo on sides &amp; front</x:v>
      </x:c>
      <x:c r="L56" s="82" t="str">
        <x:v>PR5</x:v>
      </x:c>
      <x:c r="M56" s="82" t="str">
        <x:v>Black / / / Plastic</x:v>
      </x:c>
      <x:c r="N56" s="82" t="str">
        <x:v>Heavy smoke tint</x:v>
      </x:c>
      <x:c r="O56" s="82" t="str">
        <x:v>Black</x:v>
      </x:c>
      <x:c r="P56" s="82" t="str">
        <x:v>Malaysia</x:v>
      </x:c>
      <x:c r="Q56" s="82" t="str"/>
      <x:c r="R56" s="82" t="str">
        <x:v>Mainline</x:v>
      </x:c>
      <x:c r="S56" s="82" t="str">
        <x:v>Incomum</x:v>
      </x:c>
      <x:c r="T56" s="82" t="str">
        <x:v>Lançado</x:v>
      </x:c>
      <x:c r="U56" s="82" t="str">
        <x:v>New Model / Base code(s): F49, F50, F51</x:v>
      </x:c>
      <x:c r="V56" s="80" t="str">
        <x:v>Coleção principal (~1:64)</x:v>
      </x:c>
      <x:c r="W56" s="82" t="str">
        <x:v>https://hotwheels.fandom.com/wiki/LaFerrari_(2014)</x:v>
      </x:c>
      <x:c r="X56" s="82" t="str">
        <x:v>https://hotwheels.fandom.com/wiki/LaFerrari_(2014)</x:v>
      </x:c>
    </x:row>
    <x:row r="57">
      <x:c r="A57" s="80" t="str">
        <x:v>Não</x:v>
      </x:c>
      <x:c r="B57" s="80" t="str">
        <x:v>2 — Completar aos poucos</x:v>
      </x:c>
      <x:c r="C57" s="81" t="n">
        <x:v>2013</x:v>
      </x:c>
      <x:c r="D57" s="80" t="str">
        <x:v>Ferrari 250 California</x:v>
      </x:c>
      <x:c r="E57" s="80" t="str">
        <x:v>Ferrari 250 California</x:v>
      </x:c>
      <x:c r="F57" s="82" t="str">
        <x:v>Retro Entertainment: Ferris Bueller's Day Off</x:v>
      </x:c>
      <x:c r="G57" s="80" t="str"/>
      <x:c r="H57" s="80" t="str"/>
      <x:c r="I57" s="83" t="str">
        <x:v>X8901</x:v>
      </x:c>
      <x:c r="J57" s="80" t="str">
        <x:v>Red</x:v>
      </x:c>
      <x:c r="K57" s="82" t="str">
        <x:v>Headlights, badges, louvers, handles</x:v>
      </x:c>
      <x:c r="L57" s="82" t="str">
        <x:v>RRWSP</x:v>
      </x:c>
      <x:c r="M57" s="82" t="str">
        <x:v>Unpainted / / / Metal</x:v>
      </x:c>
      <x:c r="N57" s="82" t="str">
        <x:v>Clear</x:v>
      </x:c>
      <x:c r="O57" s="82" t="str">
        <x:v>Tan</x:v>
      </x:c>
      <x:c r="P57" s="82" t="str">
        <x:v>Malaysia</x:v>
      </x:c>
      <x:c r="Q57" s="82" t="str"/>
      <x:c r="R57" s="82" t="str">
        <x:v>Outra linha</x:v>
      </x:c>
      <x:c r="S57" s="82" t="str">
        <x:v>Incomum</x:v>
      </x:c>
      <x:c r="T57" s="82" t="str">
        <x:v>Lançado</x:v>
      </x:c>
      <x:c r="U57" s="82" t="str">
        <x:v>Base code: F27</x:v>
      </x:c>
      <x:c r="V57" s="80" t="str">
        <x:v>Coleção principal (~1:64)</x:v>
      </x:c>
      <x:c r="W57" s="82" t="str">
        <x:v>https://hotwheels.fandom.com/wiki/Ferrari_250_California</x:v>
      </x:c>
      <x:c r="X57" s="82" t="str">
        <x:v>https://hotwheels.fandom.com/wiki/Ferrari_250_California</x:v>
      </x:c>
    </x:row>
    <x:row r="58">
      <x:c r="A58" s="80" t="str">
        <x:v>Não</x:v>
      </x:c>
      <x:c r="B58" s="80" t="str">
        <x:v>2 — Completar aos poucos</x:v>
      </x:c>
      <x:c r="C58" s="81" t="n">
        <x:v>2013</x:v>
      </x:c>
      <x:c r="D58" s="80" t="str">
        <x:v>Ferrari 308 GTS</x:v>
      </x:c>
      <x:c r="E58" s="80" t="str">
        <x:v>Ferrari 308 GTS</x:v>
      </x:c>
      <x:c r="F58" s="82" t="str">
        <x:v>Retro Entertainment: Magnum, P.I.</x:v>
      </x:c>
      <x:c r="G58" s="80" t="str"/>
      <x:c r="H58" s="80" t="str"/>
      <x:c r="I58" s="83" t="str">
        <x:v>X8908</x:v>
      </x:c>
      <x:c r="J58" s="80" t="str">
        <x:v>Red</x:v>
      </x:c>
      <x:c r="K58" s="82" t="str">
        <x:v>Ferrari logo on sides &amp; hood, "Ferrari" on trunk, "GTS" on rear, "ROBIN 1" on license plate</x:v>
      </x:c>
      <x:c r="L58" s="82" t="str">
        <x:v>RRE</x:v>
      </x:c>
      <x:c r="M58" s="82" t="str">
        <x:v>Black / / / Metal</x:v>
      </x:c>
      <x:c r="N58" s="82" t="str">
        <x:v>Tinted</x:v>
      </x:c>
      <x:c r="O58" s="82" t="str">
        <x:v>Tan</x:v>
      </x:c>
      <x:c r="P58" s="82" t="str">
        <x:v>Malaysia</x:v>
      </x:c>
      <x:c r="Q58" s="82" t="str"/>
      <x:c r="R58" s="82" t="str">
        <x:v>Outra linha</x:v>
      </x:c>
      <x:c r="S58" s="82" t="str">
        <x:v>Incomum</x:v>
      </x:c>
      <x:c r="T58" s="82" t="str">
        <x:v>Lançado</x:v>
      </x:c>
      <x:c r="U58" s="82" t="str"/>
      <x:c r="V58" s="80" t="str">
        <x:v>Coleção principal (~1:64)</x:v>
      </x:c>
      <x:c r="W58" s="82" t="str">
        <x:v>https://hotwheels.fandom.com/wiki/Ferrari_308_GTS</x:v>
      </x:c>
      <x:c r="X58" s="82" t="str">
        <x:v>https://hotwheels.fandom.com/wiki/Ferrari_308_GTS</x:v>
      </x:c>
    </x:row>
    <x:row r="59">
      <x:c r="A59" s="80" t="str">
        <x:v>Não</x:v>
      </x:c>
      <x:c r="B59" s="80" t="str">
        <x:v>2 — Completar aos poucos</x:v>
      </x:c>
      <x:c r="C59" s="81" t="n">
        <x:v>2013</x:v>
      </x:c>
      <x:c r="D59" s="80" t="str">
        <x:v>Ferrari 330 P4</x:v>
      </x:c>
      <x:c r="E59" s="80" t="str">
        <x:v>Ferrari 330 P4</x:v>
      </x:c>
      <x:c r="F59" s="82" t="str">
        <x:v>Ferrari 5-Pack</x:v>
      </x:c>
      <x:c r="G59" s="80" t="str"/>
      <x:c r="H59" s="80" t="str"/>
      <x:c r="I59" s="83" t="str">
        <x:v>X9848</x:v>
      </x:c>
      <x:c r="J59" s="80" t="str">
        <x:v>Black</x:v>
      </x:c>
      <x:c r="K59" s="82" t="str">
        <x:v>Yellow side stripes White circles with "4"</x:v>
      </x:c>
      <x:c r="L59" s="82" t="str">
        <x:v>Gold 5SP</x:v>
      </x:c>
      <x:c r="M59" s="82" t="str">
        <x:v>Grey / / / Plastic</x:v>
      </x:c>
      <x:c r="N59" s="82" t="str">
        <x:v>Clear</x:v>
      </x:c>
      <x:c r="O59" s="82" t="str">
        <x:v>Grey</x:v>
      </x:c>
      <x:c r="P59" s="82" t="str">
        <x:v>Thailand</x:v>
      </x:c>
      <x:c r="Q59" s="82" t="str"/>
      <x:c r="R59" s="82" t="str">
        <x:v>Temática / multipack</x:v>
      </x:c>
      <x:c r="S59" s="82" t="str">
        <x:v>Incomum</x:v>
      </x:c>
      <x:c r="T59" s="82" t="str">
        <x:v>Lançado</x:v>
      </x:c>
      <x:c r="U59" s="82" t="str">
        <x:v>Base Code: E46</x:v>
      </x:c>
      <x:c r="V59" s="80" t="str">
        <x:v>Coleção principal (~1:64)</x:v>
      </x:c>
      <x:c r="W59" s="82" t="str">
        <x:v>https://hotwheels.fandom.com/wiki/Ferrari_330_P4</x:v>
      </x:c>
      <x:c r="X59" s="82" t="str">
        <x:v>https://hotwheels.fandom.com/wiki/Ferrari_330_P4</x:v>
      </x:c>
    </x:row>
    <x:row r="60">
      <x:c r="A60" s="80" t="str">
        <x:v>Não</x:v>
      </x:c>
      <x:c r="B60" s="80" t="str">
        <x:v>2 — Completar aos poucos</x:v>
      </x:c>
      <x:c r="C60" s="81" t="n">
        <x:v>2013</x:v>
      </x:c>
      <x:c r="D60" s="80" t="str">
        <x:v>Ferrari 365 GTS4</x:v>
      </x:c>
      <x:c r="E60" s="80" t="str">
        <x:v>Ferrari 365 GTS4</x:v>
      </x:c>
      <x:c r="F60" s="82" t="str">
        <x:v>Retro Entertainment: Miami Vice</x:v>
      </x:c>
      <x:c r="G60" s="80" t="str"/>
      <x:c r="H60" s="80" t="str"/>
      <x:c r="I60" s="83" t="str">
        <x:v>X8923</x:v>
      </x:c>
      <x:c r="J60" s="80" t="str">
        <x:v>Black</x:v>
      </x:c>
      <x:c r="K60" s="82" t="str">
        <x:v>Detailed lights &amp; Ferrari emblem on hood</x:v>
      </x:c>
      <x:c r="L60" s="82" t="str">
        <x:v>RRWSP</x:v>
      </x:c>
      <x:c r="M60" s="82" t="str">
        <x:v>Unpainted / / / Metal</x:v>
      </x:c>
      <x:c r="N60" s="82" t="str">
        <x:v>Clear</x:v>
      </x:c>
      <x:c r="O60" s="82" t="str">
        <x:v>Tan</x:v>
      </x:c>
      <x:c r="P60" s="82" t="str">
        <x:v>Malaysia</x:v>
      </x:c>
      <x:c r="Q60" s="82" t="str"/>
      <x:c r="R60" s="82" t="str">
        <x:v>Outra linha</x:v>
      </x:c>
      <x:c r="S60" s="82" t="str">
        <x:v>Incomum</x:v>
      </x:c>
      <x:c r="T60" s="82" t="str">
        <x:v>Lançado</x:v>
      </x:c>
      <x:c r="U60" s="82" t="str">
        <x:v>Named Ferrari 365 GTS4 "Daytona Spyder" / Base Code(s): F22</x:v>
      </x:c>
      <x:c r="V60" s="80" t="str">
        <x:v>Coleção principal (~1:64)</x:v>
      </x:c>
      <x:c r="W60" s="82" t="str">
        <x:v>https://hotwheels.fandom.com/wiki/Ferrari_365_GTS4</x:v>
      </x:c>
      <x:c r="X60" s="82" t="str">
        <x:v>https://hotwheels.fandom.com/wiki/Ferrari_365_GTS4</x:v>
      </x:c>
    </x:row>
    <x:row r="61">
      <x:c r="A61" s="80" t="str">
        <x:v>Não</x:v>
      </x:c>
      <x:c r="B61" s="80" t="str">
        <x:v>2 — Completar aos poucos</x:v>
      </x:c>
      <x:c r="C61" s="81" t="n">
        <x:v>2013</x:v>
      </x:c>
      <x:c r="D61" s="80" t="str">
        <x:v>Ferrari 458 Italia</x:v>
      </x:c>
      <x:c r="E61" s="80" t="str">
        <x:v>Ferrari 458 Italia</x:v>
      </x:c>
      <x:c r="F61" s="82" t="str">
        <x:v>HW Stunt: HW Drift Race</x:v>
      </x:c>
      <x:c r="G61" s="80" t="str"/>
      <x:c r="H61" s="80" t="str">
        <x:v>081/250</x:v>
      </x:c>
      <x:c r="I61" s="83" t="str">
        <x:v>X1723</x:v>
      </x:c>
      <x:c r="J61" s="80" t="str">
        <x:v>Pearl White Metallic</x:v>
      </x:c>
      <x:c r="K61" s="82" t="str">
        <x:v>Team Hot Wheels deco</x:v>
      </x:c>
      <x:c r="L61" s="82" t="str">
        <x:v>Black OH5 w/ Green rims</x:v>
      </x:c>
      <x:c r="M61" s="82" t="str">
        <x:v>Black / / / Plastic</x:v>
      </x:c>
      <x:c r="N61" s="82" t="str">
        <x:v>Tinted (Green)</x:v>
      </x:c>
      <x:c r="O61" s="82" t="str">
        <x:v>Grey</x:v>
      </x:c>
      <x:c r="P61" s="82" t="str">
        <x:v>Malaysia</x:v>
      </x:c>
      <x:c r="Q61" s="82" t="str"/>
      <x:c r="R61" s="82" t="str">
        <x:v>Mainline</x:v>
      </x:c>
      <x:c r="S61" s="82" t="str">
        <x:v>Incomum</x:v>
      </x:c>
      <x:c r="T61" s="82" t="str">
        <x:v>Lançado</x:v>
      </x:c>
      <x:c r="U61" s="82" t="str">
        <x:v>Named as Ferrari 458 Challenge / Base code(s): E50, E51, E52</x:v>
      </x:c>
      <x:c r="V61" s="80" t="str">
        <x:v>Coleção principal (~1:64)</x:v>
      </x:c>
      <x:c r="W61" s="82" t="str">
        <x:v>https://hotwheels.fandom.com/wiki/Ferrari_458_Italia</x:v>
      </x:c>
      <x:c r="X61" s="82" t="str">
        <x:v>https://hotwheels.fandom.com/wiki/Ferrari_458_Italia</x:v>
      </x:c>
    </x:row>
    <x:row r="62">
      <x:c r="A62" s="80" t="str">
        <x:v>Não</x:v>
      </x:c>
      <x:c r="B62" s="80" t="str">
        <x:v>2 — Completar aos poucos</x:v>
      </x:c>
      <x:c r="C62" s="81" t="n">
        <x:v>2013</x:v>
      </x:c>
      <x:c r="D62" s="80" t="str">
        <x:v>Ferrari 458 Italia</x:v>
      </x:c>
      <x:c r="E62" s="80" t="str">
        <x:v>Ferrari 458 Italia</x:v>
      </x:c>
      <x:c r="F62" s="82" t="str">
        <x:v>Team Hot Wheels High-Speed Wheel</x:v>
      </x:c>
      <x:c r="G62" s="80" t="str"/>
      <x:c r="H62" s="80" t="str"/>
      <x:c r="I62" s="83" t="str">
        <x:v>BBF70</x:v>
      </x:c>
      <x:c r="J62" s="80" t="str">
        <x:v>Pearl Green Metallic</x:v>
      </x:c>
      <x:c r="K62" s="82" t="str">
        <x:v>Team Hot Wheels deco, the horse in the badge on the right side body decal is facing right instead of left</x:v>
      </x:c>
      <x:c r="L62" s="82" t="str">
        <x:v>Black HSW</x:v>
      </x:c>
      <x:c r="M62" s="82" t="str">
        <x:v>Black / / / Plastic</x:v>
      </x:c>
      <x:c r="N62" s="82" t="str">
        <x:v>Tinted (Green)</x:v>
      </x:c>
      <x:c r="O62" s="82" t="str">
        <x:v>Chrome</x:v>
      </x:c>
      <x:c r="P62" s="82" t="str">
        <x:v>Thailand</x:v>
      </x:c>
      <x:c r="Q62" s="82" t="str"/>
      <x:c r="R62" s="82" t="str">
        <x:v>Outra linha</x:v>
      </x:c>
      <x:c r="S62" s="82" t="str">
        <x:v>Incomum</x:v>
      </x:c>
      <x:c r="T62" s="82" t="str">
        <x:v>Lançado</x:v>
      </x:c>
      <x:c r="U62" s="82" t="str">
        <x:v>Named as Ferrari 458 Challenge / International only / Base code(s): E48</x:v>
      </x:c>
      <x:c r="V62" s="80" t="str">
        <x:v>Coleção principal (~1:64)</x:v>
      </x:c>
      <x:c r="W62" s="82" t="str">
        <x:v>https://hotwheels.fandom.com/wiki/Ferrari_458_Italia</x:v>
      </x:c>
      <x:c r="X62" s="82" t="str">
        <x:v>https://hotwheels.fandom.com/wiki/Ferrari_458_Italia</x:v>
      </x:c>
    </x:row>
    <x:row r="63">
      <x:c r="A63" s="80" t="str">
        <x:v>Não</x:v>
      </x:c>
      <x:c r="B63" s="80" t="str">
        <x:v>2 — Completar aos poucos</x:v>
      </x:c>
      <x:c r="C63" s="81" t="n">
        <x:v>2013</x:v>
      </x:c>
      <x:c r="D63" s="80" t="str">
        <x:v>Ferrari 458 Spider</x:v>
      </x:c>
      <x:c r="E63" s="80" t="str">
        <x:v>Ferrari 458 Spider</x:v>
      </x:c>
      <x:c r="F63" s="82" t="str">
        <x:v>HW Showroom: Asphalt Assault</x:v>
      </x:c>
      <x:c r="G63" s="80" t="str"/>
      <x:c r="H63" s="80" t="str">
        <x:v>151/250</x:v>
      </x:c>
      <x:c r="I63" s="83" t="str">
        <x:v>X1779</x:v>
      </x:c>
      <x:c r="J63" s="80" t="str">
        <x:v>Black</x:v>
      </x:c>
      <x:c r="K63" s="82" t="str">
        <x:v>Ferrari emblem on sides &amp; hood</x:v>
      </x:c>
      <x:c r="L63" s="82" t="str">
        <x:v>OH5</x:v>
      </x:c>
      <x:c r="M63" s="82" t="str">
        <x:v>Grey / / / Plastic</x:v>
      </x:c>
      <x:c r="N63" s="82" t="str">
        <x:v>Clear</x:v>
      </x:c>
      <x:c r="O63" s="82" t="str">
        <x:v>Cream</x:v>
      </x:c>
      <x:c r="P63" s="82" t="str">
        <x:v>Malaysia</x:v>
      </x:c>
      <x:c r="Q63" s="82" t="str"/>
      <x:c r="R63" s="82" t="str">
        <x:v>Mainline</x:v>
      </x:c>
      <x:c r="S63" s="82" t="str">
        <x:v>Incomum</x:v>
      </x:c>
      <x:c r="T63" s="82" t="str">
        <x:v>Lançado</x:v>
      </x:c>
      <x:c r="U63" s="82" t="str"/>
      <x:c r="V63" s="80" t="str">
        <x:v>Coleção principal (~1:64)</x:v>
      </x:c>
      <x:c r="W63" s="82" t="str">
        <x:v>https://hotwheels.fandom.com/wiki/Ferrari_458_Spider</x:v>
      </x:c>
      <x:c r="X63" s="82" t="str">
        <x:v>https://hotwheels.fandom.com/wiki/Ferrari_458_Spider</x:v>
      </x:c>
    </x:row>
    <x:row r="64">
      <x:c r="A64" s="80" t="str">
        <x:v>Não</x:v>
      </x:c>
      <x:c r="B64" s="80" t="str">
        <x:v>2 — Completar aos poucos</x:v>
      </x:c>
      <x:c r="C64" s="81" t="n">
        <x:v>2013</x:v>
      </x:c>
      <x:c r="D64" s="80" t="str">
        <x:v>Ferrari 458 Spider</x:v>
      </x:c>
      <x:c r="E64" s="80" t="str">
        <x:v>Ferrari 458 Spider</x:v>
      </x:c>
      <x:c r="F64" s="82" t="str">
        <x:v>HW Showroom: Asphalt Assault</x:v>
      </x:c>
      <x:c r="G64" s="80" t="str"/>
      <x:c r="H64" s="80" t="str">
        <x:v>151/250</x:v>
      </x:c>
      <x:c r="I64" s="83" t="str">
        <x:v>X1779</x:v>
      </x:c>
      <x:c r="J64" s="80" t="str">
        <x:v>Black</x:v>
      </x:c>
      <x:c r="K64" s="82" t="str">
        <x:v>Ferrari emblem on sides &amp; hood</x:v>
      </x:c>
      <x:c r="L64" s="82" t="str">
        <x:v>OH5</x:v>
      </x:c>
      <x:c r="M64" s="82" t="str">
        <x:v>Black / / / Plastic</x:v>
      </x:c>
      <x:c r="N64" s="82" t="str">
        <x:v>Clear</x:v>
      </x:c>
      <x:c r="O64" s="82" t="str">
        <x:v>Black</x:v>
      </x:c>
      <x:c r="P64" s="82" t="str">
        <x:v>Malaysia</x:v>
      </x:c>
      <x:c r="Q64" s="82" t="str"/>
      <x:c r="R64" s="82" t="str">
        <x:v>Mainline</x:v>
      </x:c>
      <x:c r="S64" s="82" t="str">
        <x:v>Incomum</x:v>
      </x:c>
      <x:c r="T64" s="82" t="str">
        <x:v>Lançado</x:v>
      </x:c>
      <x:c r="U64" s="82" t="str"/>
      <x:c r="V64" s="80" t="str">
        <x:v>Coleção principal (~1:64)</x:v>
      </x:c>
      <x:c r="W64" s="82" t="str">
        <x:v>https://hotwheels.fandom.com/wiki/Ferrari_458_Spider</x:v>
      </x:c>
      <x:c r="X64" s="82" t="str">
        <x:v>https://hotwheels.fandom.com/wiki/Ferrari_458_Spider</x:v>
      </x:c>
    </x:row>
    <x:row r="65">
      <x:c r="A65" s="80" t="str">
        <x:v>Não</x:v>
      </x:c>
      <x:c r="B65" s="80" t="str">
        <x:v>2 — Completar aos poucos</x:v>
      </x:c>
      <x:c r="C65" s="81" t="n">
        <x:v>2013</x:v>
      </x:c>
      <x:c r="D65" s="80" t="str">
        <x:v>Ferrari 458 Spider</x:v>
      </x:c>
      <x:c r="E65" s="80" t="str">
        <x:v>Ferrari 458 Spider</x:v>
      </x:c>
      <x:c r="F65" s="82" t="str">
        <x:v>HW Showroom: Asphalt Assault</x:v>
      </x:c>
      <x:c r="G65" s="80" t="str"/>
      <x:c r="H65" s="80" t="str">
        <x:v>151/250</x:v>
      </x:c>
      <x:c r="I65" s="83" t="str">
        <x:v>X1983</x:v>
      </x:c>
      <x:c r="J65" s="80" t="str">
        <x:v>Metalflake Blue</x:v>
      </x:c>
      <x:c r="K65" s="82" t="str">
        <x:v>Ferrari emblem on sides &amp; hood</x:v>
      </x:c>
      <x:c r="L65" s="82" t="str">
        <x:v>TRAP5</x:v>
      </x:c>
      <x:c r="M65" s="82" t="str">
        <x:v>Black / / / Plastic</x:v>
      </x:c>
      <x:c r="N65" s="82" t="str">
        <x:v>Clear</x:v>
      </x:c>
      <x:c r="O65" s="82" t="str">
        <x:v>Black</x:v>
      </x:c>
      <x:c r="P65" s="82" t="str">
        <x:v>Malaysia</x:v>
      </x:c>
      <x:c r="Q65" s="82" t="str"/>
      <x:c r="R65" s="82" t="str">
        <x:v>Mainline</x:v>
      </x:c>
      <x:c r="S65" s="82" t="str">
        <x:v>Incomum</x:v>
      </x:c>
      <x:c r="T65" s="82" t="str">
        <x:v>Lançado</x:v>
      </x:c>
      <x:c r="U65" s="82" t="str"/>
      <x:c r="V65" s="80" t="str">
        <x:v>Coleção principal (~1:64)</x:v>
      </x:c>
      <x:c r="W65" s="82" t="str">
        <x:v>https://hotwheels.fandom.com/wiki/Ferrari_458_Spider</x:v>
      </x:c>
      <x:c r="X65" s="82" t="str">
        <x:v>https://hotwheels.fandom.com/wiki/Ferrari_458_Spider</x:v>
      </x:c>
    </x:row>
    <x:row r="66">
      <x:c r="A66" s="80" t="str">
        <x:v>Não</x:v>
      </x:c>
      <x:c r="B66" s="80" t="str">
        <x:v>2 — Completar aos poucos</x:v>
      </x:c>
      <x:c r="C66" s="81" t="n">
        <x:v>2013</x:v>
      </x:c>
      <x:c r="D66" s="80" t="str">
        <x:v>Ferrari 512 M</x:v>
      </x:c>
      <x:c r="E66" s="80" t="str">
        <x:v>Ferrari 512 M</x:v>
      </x:c>
      <x:c r="F66" s="82" t="str">
        <x:v>Ferrari 5-Pack</x:v>
      </x:c>
      <x:c r="G66" s="80" t="str"/>
      <x:c r="H66" s="80" t="str"/>
      <x:c r="I66" s="83" t="str">
        <x:v>X9848</x:v>
      </x:c>
      <x:c r="J66" s="80" t="str">
        <x:v>Orange</x:v>
      </x:c>
      <x:c r="K66" s="82" t="str">
        <x:v>Black &amp; White deco, White circle "2", headlights</x:v>
      </x:c>
      <x:c r="L66" s="82" t="str">
        <x:v>Chrome Rim PR5</x:v>
      </x:c>
      <x:c r="M66" s="82" t="str">
        <x:v>Chrome / / / Plastic</x:v>
      </x:c>
      <x:c r="N66" s="82" t="str">
        <x:v>Clear</x:v>
      </x:c>
      <x:c r="O66" s="82" t="str">
        <x:v>White</x:v>
      </x:c>
      <x:c r="P66" s="82" t="str">
        <x:v>Thailand</x:v>
      </x:c>
      <x:c r="Q66" s="82" t="str"/>
      <x:c r="R66" s="82" t="str">
        <x:v>Temática / multipack</x:v>
      </x:c>
      <x:c r="S66" s="82" t="str">
        <x:v>Incomum</x:v>
      </x:c>
      <x:c r="T66" s="82" t="str">
        <x:v>Lançado</x:v>
      </x:c>
      <x:c r="U66" s="82" t="str">
        <x:v>Base code(s): E46, E47, F03, F16, F29</x:v>
      </x:c>
      <x:c r="V66" s="80" t="str">
        <x:v>Coleção principal (~1:64)</x:v>
      </x:c>
      <x:c r="W66" s="82" t="str">
        <x:v>https://hotwheels.fandom.com/wiki/Ferrari_512_M</x:v>
      </x:c>
      <x:c r="X66" s="82" t="str">
        <x:v>https://hotwheels.fandom.com/wiki/Ferrari_512_M</x:v>
      </x:c>
    </x:row>
    <x:row r="67">
      <x:c r="A67" s="80" t="str">
        <x:v>Não</x:v>
      </x:c>
      <x:c r="B67" s="80" t="str">
        <x:v>2 — Completar aos poucos</x:v>
      </x:c>
      <x:c r="C67" s="81" t="n">
        <x:v>2013</x:v>
      </x:c>
      <x:c r="D67" s="80" t="str">
        <x:v>Ferrari 550 Maranello</x:v>
      </x:c>
      <x:c r="E67" s="80" t="str">
        <x:v>Ferrari 550 Maranello</x:v>
      </x:c>
      <x:c r="F67" s="82" t="str">
        <x:v>Speed Machines</x:v>
      </x:c>
      <x:c r="G67" s="80" t="str"/>
      <x:c r="H67" s="80" t="str"/>
      <x:c r="I67" s="83" t="str">
        <x:v>W2322</x:v>
      </x:c>
      <x:c r="J67" s="80" t="str">
        <x:v>Metalflake Silver</x:v>
      </x:c>
      <x:c r="K67" s="82" t="str">
        <x:v>Black stripe around car, detailed head &amp; taillights, Ferrari logo on sides &amp; hood</x:v>
      </x:c>
      <x:c r="L67" s="82" t="str">
        <x:v>Gold OH5SP</x:v>
      </x:c>
      <x:c r="M67" s="82" t="str">
        <x:v>Chrome / / / Plastic</x:v>
      </x:c>
      <x:c r="N67" s="82" t="str">
        <x:v>Tinted (Black)</x:v>
      </x:c>
      <x:c r="O67" s="82" t="str">
        <x:v>Tan</x:v>
      </x:c>
      <x:c r="P67" s="82" t="str">
        <x:v>Thailand</x:v>
      </x:c>
      <x:c r="Q67" s="82" t="str"/>
      <x:c r="R67" s="82" t="str">
        <x:v>Premium</x:v>
      </x:c>
      <x:c r="S67" s="82" t="str">
        <x:v>Incomum</x:v>
      </x:c>
      <x:c r="T67" s="82" t="str">
        <x:v>Lançado</x:v>
      </x:c>
      <x:c r="U67" s="82" t="str"/>
      <x:c r="V67" s="80" t="str">
        <x:v>Coleção principal (~1:64)</x:v>
      </x:c>
      <x:c r="W67" s="82" t="str">
        <x:v>https://hotwheels.fandom.com/wiki/Ferrari_550_Maranello</x:v>
      </x:c>
      <x:c r="X67" s="82" t="str">
        <x:v>https://hotwheels.fandom.com/wiki/Ferrari_550_Maranello</x:v>
      </x:c>
    </x:row>
    <x:row r="68">
      <x:c r="A68" s="80" t="str">
        <x:v>Não</x:v>
      </x:c>
      <x:c r="B68" s="80" t="str">
        <x:v>2 — Completar aos poucos</x:v>
      </x:c>
      <x:c r="C68" s="81" t="n">
        <x:v>2013</x:v>
      </x:c>
      <x:c r="D68" s="80" t="str">
        <x:v>Ferrari 612 Scaglietti</x:v>
      </x:c>
      <x:c r="E68" s="80" t="str">
        <x:v>Ferrari 612 Scaglietti</x:v>
      </x:c>
      <x:c r="F68" s="82" t="str">
        <x:v>Ferrari 5-Pack</x:v>
      </x:c>
      <x:c r="G68" s="80" t="str"/>
      <x:c r="H68" s="80" t="str"/>
      <x:c r="I68" s="83" t="str">
        <x:v>X9848</x:v>
      </x:c>
      <x:c r="J68" s="80" t="str">
        <x:v>Rosso Corsa</x:v>
      </x:c>
      <x:c r="K68" s="82" t="str">
        <x:v>Headlight, Badges, side stripe</x:v>
      </x:c>
      <x:c r="L68" s="82" t="str">
        <x:v>10SP</x:v>
      </x:c>
      <x:c r="M68" s="82" t="str">
        <x:v>Black / / / Plastic</x:v>
      </x:c>
      <x:c r="N68" s="82" t="str">
        <x:v>Tinted</x:v>
      </x:c>
      <x:c r="O68" s="82" t="str">
        <x:v>Black</x:v>
      </x:c>
      <x:c r="P68" s="82" t="str">
        <x:v>Thailand</x:v>
      </x:c>
      <x:c r="Q68" s="82" t="str"/>
      <x:c r="R68" s="82" t="str">
        <x:v>Temática / multipack</x:v>
      </x:c>
      <x:c r="S68" s="82" t="str">
        <x:v>Incomum</x:v>
      </x:c>
      <x:c r="T68" s="82" t="str">
        <x:v>Lançado</x:v>
      </x:c>
      <x:c r="U68" s="82" t="str"/>
      <x:c r="V68" s="80" t="str">
        <x:v>Coleção principal (~1:64)</x:v>
      </x:c>
      <x:c r="W68" s="82" t="str">
        <x:v>https://hotwheels.fandom.com/wiki/Ferrari_612_Scaglietti</x:v>
      </x:c>
      <x:c r="X68" s="82" t="str">
        <x:v>https://hotwheels.fandom.com/wiki/Ferrari_612_Scaglietti</x:v>
      </x:c>
    </x:row>
    <x:row r="69">
      <x:c r="A69" s="80" t="str">
        <x:v>Não</x:v>
      </x:c>
      <x:c r="B69" s="80" t="str">
        <x:v>2 — Completar aos poucos</x:v>
      </x:c>
      <x:c r="C69" s="81" t="n">
        <x:v>2013</x:v>
      </x:c>
      <x:c r="D69" s="80" t="str">
        <x:v>Ferrari 612 Scaglietti</x:v>
      </x:c>
      <x:c r="E69" s="80" t="str">
        <x:v>Ferrari 612 Scaglietti</x:v>
      </x:c>
      <x:c r="F69" s="82" t="str">
        <x:v>Speed Machines</x:v>
      </x:c>
      <x:c r="G69" s="80" t="str"/>
      <x:c r="H69" s="80" t="str"/>
      <x:c r="I69" s="83" t="str">
        <x:v>W2313</x:v>
      </x:c>
      <x:c r="J69" s="80" t="str">
        <x:v>Giallo Modena</x:v>
      </x:c>
      <x:c r="K69" s="82" t="str">
        <x:v>Detailed head- &amp; taillights, Ferrari logo on sides &amp; hood</x:v>
      </x:c>
      <x:c r="L69" s="82" t="str">
        <x:v>OH5</x:v>
      </x:c>
      <x:c r="M69" s="82" t="str">
        <x:v>Black / / / Plastic</x:v>
      </x:c>
      <x:c r="N69" s="82" t="str">
        <x:v>Tinted (Black)</x:v>
      </x:c>
      <x:c r="O69" s="82" t="str">
        <x:v>Grey</x:v>
      </x:c>
      <x:c r="P69" s="82" t="str">
        <x:v>Thailand</x:v>
      </x:c>
      <x:c r="Q69" s="82" t="str"/>
      <x:c r="R69" s="82" t="str">
        <x:v>Premium</x:v>
      </x:c>
      <x:c r="S69" s="82" t="str">
        <x:v>Incomum</x:v>
      </x:c>
      <x:c r="T69" s="82" t="str">
        <x:v>Lançado</x:v>
      </x:c>
      <x:c r="U69" s="82" t="str"/>
      <x:c r="V69" s="80" t="str">
        <x:v>Coleção principal (~1:64)</x:v>
      </x:c>
      <x:c r="W69" s="82" t="str">
        <x:v>https://hotwheels.fandom.com/wiki/Ferrari_612_Scaglietti</x:v>
      </x:c>
      <x:c r="X69" s="82" t="str">
        <x:v>https://hotwheels.fandom.com/wiki/Ferrari_612_Scaglietti</x:v>
      </x:c>
    </x:row>
    <x:row r="70">
      <x:c r="A70" s="80" t="str">
        <x:v>Não</x:v>
      </x:c>
      <x:c r="B70" s="80" t="str">
        <x:v>2 — Completar aos poucos</x:v>
      </x:c>
      <x:c r="C70" s="81" t="n">
        <x:v>2013</x:v>
      </x:c>
      <x:c r="D70" s="80" t="str">
        <x:v>Ferrari F12berlinetta</x:v>
      </x:c>
      <x:c r="E70" s="80" t="str">
        <x:v>Ferrari F12berlinetta</x:v>
      </x:c>
      <x:c r="F70" s="82" t="str">
        <x:v>HW Showroom: HW All Stars</x:v>
      </x:c>
      <x:c r="G70" s="80" t="str"/>
      <x:c r="H70" s="80" t="str">
        <x:v>174/250</x:v>
      </x:c>
      <x:c r="I70" s="83" t="str">
        <x:v>X1613</x:v>
      </x:c>
      <x:c r="J70" s="80" t="str">
        <x:v>Red</x:v>
      </x:c>
      <x:c r="K70" s="82" t="str">
        <x:v>Detailed headlights &amp; Ferrari logo on front</x:v>
      </x:c>
      <x:c r="L70" s="82" t="str">
        <x:v>PR5</x:v>
      </x:c>
      <x:c r="M70" s="82" t="str">
        <x:v>Dark Grey / / / Plastic</x:v>
      </x:c>
      <x:c r="N70" s="82" t="str">
        <x:v>Tinted</x:v>
      </x:c>
      <x:c r="O70" s="82" t="str">
        <x:v>Tan</x:v>
      </x:c>
      <x:c r="P70" s="82" t="str">
        <x:v>Malaysia</x:v>
      </x:c>
      <x:c r="Q70" s="82" t="str"/>
      <x:c r="R70" s="82" t="str">
        <x:v>Mainline</x:v>
      </x:c>
      <x:c r="S70" s="82" t="str">
        <x:v>Incomum</x:v>
      </x:c>
      <x:c r="T70" s="82" t="str">
        <x:v>Lançado</x:v>
      </x:c>
      <x:c r="U70" s="82" t="str">
        <x:v>New Model Base code(s): E44, E45, E47</x:v>
      </x:c>
      <x:c r="V70" s="80" t="str">
        <x:v>Coleção principal (~1:64)</x:v>
      </x:c>
      <x:c r="W70" s="82" t="str">
        <x:v>https://hotwheels.fandom.com/wiki/Ferrari_F12berlinetta</x:v>
      </x:c>
      <x:c r="X70" s="82" t="str">
        <x:v>https://hotwheels.fandom.com/wiki/Ferrari_F12berlinetta</x:v>
      </x:c>
    </x:row>
    <x:row r="71">
      <x:c r="A71" s="80" t="str">
        <x:v>Não</x:v>
      </x:c>
      <x:c r="B71" s="80" t="str">
        <x:v>2 — Completar aos poucos</x:v>
      </x:c>
      <x:c r="C71" s="81" t="n">
        <x:v>2013</x:v>
      </x:c>
      <x:c r="D71" s="80" t="str">
        <x:v>Ferrari F12berlinetta</x:v>
      </x:c>
      <x:c r="E71" s="80" t="str">
        <x:v>Ferrari F12berlinetta</x:v>
      </x:c>
      <x:c r="F71" s="82" t="str">
        <x:v>HW Showroom: HW All Stars</x:v>
      </x:c>
      <x:c r="G71" s="80" t="str"/>
      <x:c r="H71" s="80" t="str">
        <x:v>174/250</x:v>
      </x:c>
      <x:c r="I71" s="83" t="str">
        <x:v>X2045</x:v>
      </x:c>
      <x:c r="J71" s="80" t="str">
        <x:v>ZAMAC</x:v>
      </x:c>
      <x:c r="K71" s="82" t="str">
        <x:v>Detailed headlights &amp; Ferrari logo on front</x:v>
      </x:c>
      <x:c r="L71" s="82" t="str">
        <x:v>PR5</x:v>
      </x:c>
      <x:c r="M71" s="82" t="str">
        <x:v>Dark Grey / / / Plastic</x:v>
      </x:c>
      <x:c r="N71" s="82" t="str">
        <x:v>Tinted</x:v>
      </x:c>
      <x:c r="O71" s="82" t="str">
        <x:v>Black</x:v>
      </x:c>
      <x:c r="P71" s="82" t="str">
        <x:v>Malaysia</x:v>
      </x:c>
      <x:c r="Q71" s="82" t="str">
        <x:v>ZAMAC, Walmart</x:v>
      </x:c>
      <x:c r="R71" s="82" t="str">
        <x:v>Mainline</x:v>
      </x:c>
      <x:c r="S71" s="82" t="str">
        <x:v>Rara</x:v>
      </x:c>
      <x:c r="T71" s="82" t="str">
        <x:v>Lançado</x:v>
      </x:c>
      <x:c r="U71" s="82" t="str">
        <x:v>New Model / Walmart Exclusive Base code(s): F12, F15</x:v>
      </x:c>
      <x:c r="V71" s="80" t="str">
        <x:v>Coleção principal (~1:64)</x:v>
      </x:c>
      <x:c r="W71" s="82" t="str">
        <x:v>https://hotwheels.fandom.com/wiki/Ferrari_F12berlinetta</x:v>
      </x:c>
      <x:c r="X71" s="82" t="str">
        <x:v>https://hotwheels.fandom.com/wiki/Ferrari_F12berlinetta</x:v>
      </x:c>
    </x:row>
    <x:row r="72">
      <x:c r="A72" s="80" t="str">
        <x:v>Não</x:v>
      </x:c>
      <x:c r="B72" s="80" t="str">
        <x:v>2 — Completar aos poucos</x:v>
      </x:c>
      <x:c r="C72" s="81" t="n">
        <x:v>2013</x:v>
      </x:c>
      <x:c r="D72" s="80" t="str">
        <x:v>Ferrari F430 Challenge</x:v>
      </x:c>
      <x:c r="E72" s="80" t="str">
        <x:v>Ferrari F430 Challenge</x:v>
      </x:c>
      <x:c r="F72" s="82" t="str">
        <x:v>Speed Machines</x:v>
      </x:c>
      <x:c r="G72" s="80" t="str"/>
      <x:c r="H72" s="80" t="str"/>
      <x:c r="I72" s="83" t="str">
        <x:v>W2321</x:v>
      </x:c>
      <x:c r="J72" s="80" t="str">
        <x:v>Red &amp; White</x:v>
      </x:c>
      <x:c r="K72" s="82" t="str">
        <x:v>"430"</x:v>
      </x:c>
      <x:c r="L72" s="82" t="str">
        <x:v>OH5</x:v>
      </x:c>
      <x:c r="M72" s="82" t="str">
        <x:v>Black / / / Plastic</x:v>
      </x:c>
      <x:c r="N72" s="82" t="str">
        <x:v>Tinted</x:v>
      </x:c>
      <x:c r="O72" s="82" t="str">
        <x:v>Black</x:v>
      </x:c>
      <x:c r="P72" s="82" t="str">
        <x:v>Thailand</x:v>
      </x:c>
      <x:c r="Q72" s="82" t="str"/>
      <x:c r="R72" s="82" t="str">
        <x:v>Premium</x:v>
      </x:c>
      <x:c r="S72" s="82" t="str">
        <x:v>Incomum</x:v>
      </x:c>
      <x:c r="T72" s="82" t="str">
        <x:v>Lançado</x:v>
      </x:c>
      <x:c r="U72" s="82" t="str"/>
      <x:c r="V72" s="80" t="str">
        <x:v>Coleção principal (~1:64)</x:v>
      </x:c>
      <x:c r="W72" s="82" t="str">
        <x:v>https://hotwheels.fandom.com/wiki/Ferrari_F430_Challenge</x:v>
      </x:c>
      <x:c r="X72" s="82" t="str">
        <x:v>https://hotwheels.fandom.com/wiki/Ferrari_F430_Challenge</x:v>
      </x:c>
    </x:row>
    <x:row r="73">
      <x:c r="A73" s="80" t="str">
        <x:v>Não</x:v>
      </x:c>
      <x:c r="B73" s="80" t="str">
        <x:v>2 — Completar aos poucos</x:v>
      </x:c>
      <x:c r="C73" s="81" t="n">
        <x:v>2013</x:v>
      </x:c>
      <x:c r="D73" s="80" t="str">
        <x:v>Ferrari F50 Challenge</x:v>
      </x:c>
      <x:c r="E73" s="80" t="str">
        <x:v>Ferrari F50 Challenge</x:v>
      </x:c>
      <x:c r="F73" s="82" t="str">
        <x:v>Speed Machines</x:v>
      </x:c>
      <x:c r="G73" s="80" t="str"/>
      <x:c r="H73" s="80" t="str"/>
      <x:c r="I73" s="83" t="str">
        <x:v>W2312</x:v>
      </x:c>
      <x:c r="J73" s="80" t="str">
        <x:v>Red</x:v>
      </x:c>
      <x:c r="K73" s="82" t="str">
        <x:v>Black &amp; White stripes across top &amp; sides, Ferrari logo on hood &amp; sides, headlights</x:v>
      </x:c>
      <x:c r="L73" s="82" t="str">
        <x:v>Chrome &amp; Black OH5</x:v>
      </x:c>
      <x:c r="M73" s="82" t="str">
        <x:v>Chrome / / / Plastic</x:v>
      </x:c>
      <x:c r="N73" s="82" t="str">
        <x:v>Clear</x:v>
      </x:c>
      <x:c r="O73" s="82" t="str">
        <x:v>Black</x:v>
      </x:c>
      <x:c r="P73" s="82" t="str">
        <x:v>Thailand</x:v>
      </x:c>
      <x:c r="Q73" s="82" t="str"/>
      <x:c r="R73" s="82" t="str">
        <x:v>Premium</x:v>
      </x:c>
      <x:c r="S73" s="82" t="str">
        <x:v>Incomum</x:v>
      </x:c>
      <x:c r="T73" s="82" t="str">
        <x:v>Lançado</x:v>
      </x:c>
      <x:c r="U73" s="82" t="str"/>
      <x:c r="V73" s="80" t="str">
        <x:v>Coleção principal (~1:64)</x:v>
      </x:c>
      <x:c r="W73" s="82" t="str">
        <x:v>https://hotwheels.fandom.com/wiki/Ferrari_F50_Challenge</x:v>
      </x:c>
      <x:c r="X73" s="82" t="str">
        <x:v>https://hotwheels.fandom.com/wiki/Ferrari_F50_Challenge</x:v>
      </x:c>
    </x:row>
    <x:row r="74">
      <x:c r="A74" s="80" t="str">
        <x:v>Não</x:v>
      </x:c>
      <x:c r="B74" s="80" t="str">
        <x:v>2 — Completar aos poucos</x:v>
      </x:c>
      <x:c r="C74" s="81" t="n">
        <x:v>2013</x:v>
      </x:c>
      <x:c r="D74" s="80" t="str">
        <x:v>Ferrari F512M</x:v>
      </x:c>
      <x:c r="E74" s="80" t="str">
        <x:v>Ferrari F512M</x:v>
      </x:c>
      <x:c r="F74" s="82" t="str">
        <x:v>Retro Entertainment: Miami Vice</x:v>
      </x:c>
      <x:c r="G74" s="80" t="str"/>
      <x:c r="H74" s="80" t="str"/>
      <x:c r="I74" s="83" t="str">
        <x:v>X8915</x:v>
      </x:c>
      <x:c r="J74" s="80" t="str">
        <x:v>White</x:v>
      </x:c>
      <x:c r="K74" s="82" t="str">
        <x:v>(Miami Vice)</x:v>
      </x:c>
      <x:c r="L74" s="82" t="str">
        <x:v>RRE</x:v>
      </x:c>
      <x:c r="M74" s="82" t="str">
        <x:v>Black / / / Metal</x:v>
      </x:c>
      <x:c r="N74" s="82" t="str">
        <x:v>Clear</x:v>
      </x:c>
      <x:c r="O74" s="82" t="str">
        <x:v>Tan</x:v>
      </x:c>
      <x:c r="P74" s="82" t="str">
        <x:v>Malaysia</x:v>
      </x:c>
      <x:c r="Q74" s="82" t="str"/>
      <x:c r="R74" s="82" t="str">
        <x:v>Outra linha</x:v>
      </x:c>
      <x:c r="S74" s="82" t="str">
        <x:v>Incomum</x:v>
      </x:c>
      <x:c r="T74" s="82" t="str">
        <x:v>Lançado</x:v>
      </x:c>
      <x:c r="U74" s="82" t="str">
        <x:v>Base code(s):</x:v>
      </x:c>
      <x:c r="V74" s="80" t="str">
        <x:v>Coleção principal (~1:64)</x:v>
      </x:c>
      <x:c r="W74" s="82" t="str">
        <x:v>https://hotwheels.fandom.com/wiki/Ferrari_F512M</x:v>
      </x:c>
      <x:c r="X74" s="82" t="str">
        <x:v>https://hotwheels.fandom.com/wiki/Ferrari_F512M</x:v>
      </x:c>
    </x:row>
    <x:row r="75">
      <x:c r="A75" s="80" t="str">
        <x:v>Não</x:v>
      </x:c>
      <x:c r="B75" s="80" t="str">
        <x:v>2 — Completar aos poucos</x:v>
      </x:c>
      <x:c r="C75" s="81" t="n">
        <x:v>2013</x:v>
      </x:c>
      <x:c r="D75" s="80" t="str">
        <x:v>Ferrari FF</x:v>
      </x:c>
      <x:c r="E75" s="80" t="str">
        <x:v>Ferrari FF</x:v>
      </x:c>
      <x:c r="F75" s="82" t="str">
        <x:v>Ferrari 5-Pack</x:v>
      </x:c>
      <x:c r="G75" s="80" t="str"/>
      <x:c r="H75" s="80" t="str"/>
      <x:c r="I75" s="83" t="str">
        <x:v>X9848</x:v>
      </x:c>
      <x:c r="J75" s="80" t="str">
        <x:v>White</x:v>
      </x:c>
      <x:c r="K75" s="82" t="str">
        <x:v>Detailed headlights, Ferrari emblems, Black/Red side stripes</x:v>
      </x:c>
      <x:c r="L75" s="82" t="str">
        <x:v>Chrome Rim PR5</x:v>
      </x:c>
      <x:c r="M75" s="82" t="str">
        <x:v>Grey / / / Plastic</x:v>
      </x:c>
      <x:c r="N75" s="82" t="str">
        <x:v>Tinted (Black)</x:v>
      </x:c>
      <x:c r="O75" s="82" t="str">
        <x:v>Black</x:v>
      </x:c>
      <x:c r="P75" s="82" t="str">
        <x:v>Thailand</x:v>
      </x:c>
      <x:c r="Q75" s="82" t="str"/>
      <x:c r="R75" s="82" t="str">
        <x:v>Temática / multipack</x:v>
      </x:c>
      <x:c r="S75" s="82" t="str">
        <x:v>Incomum</x:v>
      </x:c>
      <x:c r="T75" s="82" t="str">
        <x:v>Lançado</x:v>
      </x:c>
      <x:c r="U75" s="82" t="str"/>
      <x:c r="V75" s="80" t="str">
        <x:v>Coleção principal (~1:64)</x:v>
      </x:c>
      <x:c r="W75" s="82" t="str">
        <x:v>https://hotwheels.fandom.com/wiki/Ferrari_FF</x:v>
      </x:c>
      <x:c r="X75" s="82" t="str">
        <x:v>https://hotwheels.fandom.com/wiki/Ferrari_FF</x:v>
      </x:c>
    </x:row>
    <x:row r="76">
      <x:c r="A76" s="80" t="str">
        <x:v>Não</x:v>
      </x:c>
      <x:c r="B76" s="80" t="str">
        <x:v>2 — Completar aos poucos</x:v>
      </x:c>
      <x:c r="C76" s="81" t="n">
        <x:v>2013</x:v>
      </x:c>
      <x:c r="D76" s="80" t="str">
        <x:v>Ferrari FXX</x:v>
      </x:c>
      <x:c r="E76" s="80" t="str">
        <x:v>Ferrari FXX</x:v>
      </x:c>
      <x:c r="F76" s="82" t="str">
        <x:v>Ferrari 5-Pack</x:v>
      </x:c>
      <x:c r="G76" s="80" t="str"/>
      <x:c r="H76" s="80" t="str"/>
      <x:c r="I76" s="83" t="str">
        <x:v>X9848</x:v>
      </x:c>
      <x:c r="J76" s="80" t="str">
        <x:v>Metallic Blue</x:v>
      </x:c>
      <x:c r="K76" s="82" t="str">
        <x:v>Ferrari logo on hood, white stripe across top, "FXX" on rear spoiler</x:v>
      </x:c>
      <x:c r="L76" s="82" t="str">
        <x:v>Chrome PR5</x:v>
      </x:c>
      <x:c r="M76" s="82" t="str">
        <x:v>Black / / / Plastic</x:v>
      </x:c>
      <x:c r="N76" s="82" t="str">
        <x:v>Clear</x:v>
      </x:c>
      <x:c r="O76" s="82" t="str">
        <x:v>Black</x:v>
      </x:c>
      <x:c r="P76" s="82" t="str">
        <x:v>Thailand</x:v>
      </x:c>
      <x:c r="Q76" s="82" t="str"/>
      <x:c r="R76" s="82" t="str">
        <x:v>Temática / multipack</x:v>
      </x:c>
      <x:c r="S76" s="82" t="str">
        <x:v>Incomum</x:v>
      </x:c>
      <x:c r="T76" s="82" t="str">
        <x:v>Lançado</x:v>
      </x:c>
      <x:c r="U76" s="82" t="str">
        <x:v>Base code(s): E46</x:v>
      </x:c>
      <x:c r="V76" s="80" t="str">
        <x:v>Coleção principal (~1:64)</x:v>
      </x:c>
      <x:c r="W76" s="82" t="str">
        <x:v>https://hotwheels.fandom.com/wiki/Ferrari_FXX</x:v>
      </x:c>
      <x:c r="X76" s="82" t="str">
        <x:v>https://hotwheels.fandom.com/wiki/Ferrari_FXX</x:v>
      </x:c>
    </x:row>
    <x:row r="77">
      <x:c r="A77" s="80" t="str">
        <x:v>Não</x:v>
      </x:c>
      <x:c r="B77" s="80" t="str">
        <x:v>2 — Completar aos poucos</x:v>
      </x:c>
      <x:c r="C77" s="81" t="n">
        <x:v>2012</x:v>
      </x:c>
      <x:c r="D77" s="80" t="str">
        <x:v>Ferrari 288 GTO</x:v>
      </x:c>
      <x:c r="E77" s="80" t="str">
        <x:v>Ferrari 288 GTO</x:v>
      </x:c>
      <x:c r="F77" s="82" t="str">
        <x:v>The Hot Ones</x:v>
      </x:c>
      <x:c r="G77" s="80" t="str"/>
      <x:c r="H77" s="80" t="str"/>
      <x:c r="I77" s="83" t="str">
        <x:v>W3818</x:v>
      </x:c>
      <x:c r="J77" s="80" t="str">
        <x:v>Black</x:v>
      </x:c>
      <x:c r="K77" s="82" t="str">
        <x:v>Red, Yellow &amp; white stripes, "12" &amp; Ferrari emblem on sides &amp; hood</x:v>
      </x:c>
      <x:c r="L77" s="82" t="str">
        <x:v>Gold BW</x:v>
      </x:c>
      <x:c r="M77" s="82" t="str">
        <x:v>Unpainted / / / Metal</x:v>
      </x:c>
      <x:c r="N77" s="82" t="str">
        <x:v>Clear</x:v>
      </x:c>
      <x:c r="O77" s="82" t="str">
        <x:v>Black</x:v>
      </x:c>
      <x:c r="P77" s="82" t="str">
        <x:v>Thailand</x:v>
      </x:c>
      <x:c r="Q77" s="82" t="str"/>
      <x:c r="R77" s="82" t="str">
        <x:v>Outra linha</x:v>
      </x:c>
      <x:c r="S77" s="82" t="str">
        <x:v>Incomum</x:v>
      </x:c>
      <x:c r="T77" s="82" t="str">
        <x:v>Lançado</x:v>
      </x:c>
      <x:c r="U77" s="82" t="str">
        <x:v>Base code(s): E34</x:v>
      </x:c>
      <x:c r="V77" s="80" t="str">
        <x:v>Coleção principal (~1:64)</x:v>
      </x:c>
      <x:c r="W77" s="82" t="str">
        <x:v>https://hotwheels.fandom.com/wiki/Ferrari_288_GTO</x:v>
      </x:c>
      <x:c r="X77" s="82" t="str">
        <x:v>https://hotwheels.fandom.com/wiki/Ferrari_288_GTO</x:v>
      </x:c>
    </x:row>
    <x:row r="78">
      <x:c r="A78" s="80" t="str">
        <x:v>Não</x:v>
      </x:c>
      <x:c r="B78" s="80" t="str">
        <x:v>2 — Completar aos poucos</x:v>
      </x:c>
      <x:c r="C78" s="81" t="n">
        <x:v>2012</x:v>
      </x:c>
      <x:c r="D78" s="80" t="str">
        <x:v>Ferrari 308 GTS</x:v>
      </x:c>
      <x:c r="E78" s="80" t="str">
        <x:v>Ferrari 308 GTS</x:v>
      </x:c>
      <x:c r="F78" s="82" t="str">
        <x:v>Ferrari 5-Pack</x:v>
      </x:c>
      <x:c r="G78" s="80" t="str"/>
      <x:c r="H78" s="80" t="str"/>
      <x:c r="I78" s="83" t="str">
        <x:v>W4241</x:v>
      </x:c>
      <x:c r="J78" s="80" t="str">
        <x:v>Yellow</x:v>
      </x:c>
      <x:c r="K78" s="82" t="str">
        <x:v>Ferrari logo on hood</x:v>
      </x:c>
      <x:c r="L78" s="82" t="str">
        <x:v>BW</x:v>
      </x:c>
      <x:c r="M78" s="82" t="str">
        <x:v>Black / / / Plastic</x:v>
      </x:c>
      <x:c r="N78" s="82" t="str">
        <x:v>Tinted</x:v>
      </x:c>
      <x:c r="O78" s="82" t="str">
        <x:v>Black</x:v>
      </x:c>
      <x:c r="P78" s="82" t="str">
        <x:v>Thailand</x:v>
      </x:c>
      <x:c r="Q78" s="82" t="str"/>
      <x:c r="R78" s="82" t="str">
        <x:v>Temática / multipack</x:v>
      </x:c>
      <x:c r="S78" s="82" t="str">
        <x:v>Incomum</x:v>
      </x:c>
      <x:c r="T78" s="82" t="str">
        <x:v>Lançado</x:v>
      </x:c>
      <x:c r="U78" s="82" t="str"/>
      <x:c r="V78" s="80" t="str">
        <x:v>Coleção principal (~1:64)</x:v>
      </x:c>
      <x:c r="W78" s="82" t="str">
        <x:v>https://hotwheels.fandom.com/wiki/Ferrari_308_GTS</x:v>
      </x:c>
      <x:c r="X78" s="82" t="str">
        <x:v>https://hotwheels.fandom.com/wiki/Ferrari_308_GTS</x:v>
      </x:c>
    </x:row>
    <x:row r="79">
      <x:c r="A79" s="80" t="str">
        <x:v>Não</x:v>
      </x:c>
      <x:c r="B79" s="80" t="str">
        <x:v>2 — Completar aos poucos</x:v>
      </x:c>
      <x:c r="C79" s="81" t="n">
        <x:v>2012</x:v>
      </x:c>
      <x:c r="D79" s="80" t="str">
        <x:v>Ferrari 330 P4</x:v>
      </x:c>
      <x:c r="E79" s="80" t="str">
        <x:v>Ferrari 330 P4</x:v>
      </x:c>
      <x:c r="F79" s="82" t="str">
        <x:v>Ferrari 5-Pack</x:v>
      </x:c>
      <x:c r="G79" s="80" t="str"/>
      <x:c r="H79" s="80" t="str"/>
      <x:c r="I79" s="83" t="str">
        <x:v>W4241</x:v>
      </x:c>
      <x:c r="J79" s="80" t="str">
        <x:v>Red</x:v>
      </x:c>
      <x:c r="K79" s="82" t="str">
        <x:v>Yellow and White stripes, "23" race deco</x:v>
      </x:c>
      <x:c r="L79" s="82" t="str">
        <x:v>BW</x:v>
      </x:c>
      <x:c r="M79" s="82" t="str">
        <x:v>Black / / / Plastic</x:v>
      </x:c>
      <x:c r="N79" s="82" t="str">
        <x:v>Clear</x:v>
      </x:c>
      <x:c r="O79" s="82" t="str">
        <x:v>Black</x:v>
      </x:c>
      <x:c r="P79" s="82" t="str">
        <x:v>Thailand</x:v>
      </x:c>
      <x:c r="Q79" s="82" t="str"/>
      <x:c r="R79" s="82" t="str">
        <x:v>Temática / multipack</x:v>
      </x:c>
      <x:c r="S79" s="82" t="str">
        <x:v>Incomum</x:v>
      </x:c>
      <x:c r="T79" s="82" t="str">
        <x:v>Lançado</x:v>
      </x:c>
      <x:c r="U79" s="82" t="str">
        <x:v>Named Ferrari P4 / Base Code(s): D48</x:v>
      </x:c>
      <x:c r="V79" s="80" t="str">
        <x:v>Coleção principal (~1:64)</x:v>
      </x:c>
      <x:c r="W79" s="82" t="str">
        <x:v>https://hotwheels.fandom.com/wiki/Ferrari_330_P4</x:v>
      </x:c>
      <x:c r="X79" s="82" t="str">
        <x:v>https://hotwheels.fandom.com/wiki/Ferrari_330_P4</x:v>
      </x:c>
    </x:row>
    <x:row r="80">
      <x:c r="A80" s="80" t="str">
        <x:v>Não</x:v>
      </x:c>
      <x:c r="B80" s="80" t="str">
        <x:v>2 — Completar aos poucos</x:v>
      </x:c>
      <x:c r="C80" s="81" t="n">
        <x:v>2012</x:v>
      </x:c>
      <x:c r="D80" s="80" t="str">
        <x:v>Ferrari 430 Scuderia</x:v>
      </x:c>
      <x:c r="E80" s="80" t="str">
        <x:v>Ferrari 430 Scuderia</x:v>
      </x:c>
      <x:c r="F80" s="82" t="str">
        <x:v>Treasure Hunts / 9/15</x:v>
      </x:c>
      <x:c r="G80" s="80" t="str"/>
      <x:c r="H80" s="80" t="str">
        <x:v>059/247</x:v>
      </x:c>
      <x:c r="I80" s="83" t="str">
        <x:v>V5347</x:v>
      </x:c>
      <x:c r="J80" s="80" t="str">
        <x:v>Red</x:v>
      </x:c>
      <x:c r="K80" s="82" t="str">
        <x:v>Yellow Stripes</x:v>
      </x:c>
      <x:c r="L80" s="82" t="str">
        <x:v>Yellow PR5</x:v>
      </x:c>
      <x:c r="M80" s="82" t="str">
        <x:v>Black / / / Plastic</x:v>
      </x:c>
      <x:c r="N80" s="82" t="str">
        <x:v>Clear</x:v>
      </x:c>
      <x:c r="O80" s="82" t="str">
        <x:v>Gray</x:v>
      </x:c>
      <x:c r="P80" s="82" t="str">
        <x:v>Malaysia</x:v>
      </x:c>
      <x:c r="Q80" s="82" t="str">
        <x:v>Treasure Hunt</x:v>
      </x:c>
      <x:c r="R80" s="82" t="str">
        <x:v>Mainline especial</x:v>
      </x:c>
      <x:c r="S80" s="82" t="str">
        <x:v>Rara</x:v>
      </x:c>
      <x:c r="T80" s="82" t="str">
        <x:v>Lançado</x:v>
      </x:c>
      <x:c r="U80" s="82" t="str">
        <x:v>Base codes: E13, E14, E08</x:v>
      </x:c>
      <x:c r="V80" s="80" t="str">
        <x:v>Coleção principal (~1:64)</x:v>
      </x:c>
      <x:c r="W80" s="82" t="str">
        <x:v>https://hotwheels.fandom.com/wiki/Ferrari_430_Scuderia</x:v>
      </x:c>
      <x:c r="X80" s="82" t="str">
        <x:v>https://hotwheels.fandom.com/wiki/Ferrari_430_Scuderia</x:v>
      </x:c>
    </x:row>
    <x:row r="81">
      <x:c r="A81" s="80" t="str">
        <x:v>Não</x:v>
      </x:c>
      <x:c r="B81" s="80" t="str">
        <x:v>2 — Completar aos poucos</x:v>
      </x:c>
      <x:c r="C81" s="81" t="n">
        <x:v>2012</x:v>
      </x:c>
      <x:c r="D81" s="80" t="str">
        <x:v>Ferrari 458 Italia</x:v>
      </x:c>
      <x:c r="E81" s="80" t="str">
        <x:v>Ferrari 458 Italia</x:v>
      </x:c>
      <x:c r="F81" s="82" t="str">
        <x:v>HW All Stars / 10/10</x:v>
      </x:c>
      <x:c r="G81" s="80" t="str"/>
      <x:c r="H81" s="80" t="str">
        <x:v>130/247</x:v>
      </x:c>
      <x:c r="I81" s="83" t="str">
        <x:v>V5433</x:v>
      </x:c>
      <x:c r="J81" s="80" t="str">
        <x:v>Pearl White</x:v>
      </x:c>
      <x:c r="K81" s="82" t="str">
        <x:v>Red &amp; Green stripes</x:v>
      </x:c>
      <x:c r="L81" s="82" t="str">
        <x:v>MC5</x:v>
      </x:c>
      <x:c r="M81" s="82" t="str">
        <x:v>Black / / / Plastic</x:v>
      </x:c>
      <x:c r="N81" s="82" t="str">
        <x:v>Clear</x:v>
      </x:c>
      <x:c r="O81" s="82" t="str">
        <x:v>Black</x:v>
      </x:c>
      <x:c r="P81" s="82" t="str">
        <x:v>Malaysia</x:v>
      </x:c>
      <x:c r="Q81" s="82" t="str"/>
      <x:c r="R81" s="82" t="str">
        <x:v>Mainline</x:v>
      </x:c>
      <x:c r="S81" s="82" t="str">
        <x:v>Incomum</x:v>
      </x:c>
      <x:c r="T81" s="82" t="str">
        <x:v>Lançado</x:v>
      </x:c>
      <x:c r="U81" s="82" t="str">
        <x:v>Base code(s): D31, D32, D34, D36, D37, D38, D39</x:v>
      </x:c>
      <x:c r="V81" s="80" t="str">
        <x:v>Coleção principal (~1:64)</x:v>
      </x:c>
      <x:c r="W81" s="82" t="str">
        <x:v>https://hotwheels.fandom.com/wiki/Ferrari_458_Italia</x:v>
      </x:c>
      <x:c r="X81" s="82" t="str">
        <x:v>https://hotwheels.fandom.com/wiki/Ferrari_458_Italia</x:v>
      </x:c>
    </x:row>
    <x:row r="82">
      <x:c r="A82" s="80" t="str">
        <x:v>Não</x:v>
      </x:c>
      <x:c r="B82" s="80" t="str">
        <x:v>2 — Completar aos poucos</x:v>
      </x:c>
      <x:c r="C82" s="81" t="n">
        <x:v>2012</x:v>
      </x:c>
      <x:c r="D82" s="80" t="str">
        <x:v>Ferrari 458 Italia</x:v>
      </x:c>
      <x:c r="E82" s="80" t="str">
        <x:v>Ferrari 458 Italia</x:v>
      </x:c>
      <x:c r="F82" s="82" t="str">
        <x:v>HW All Stars / 10/10</x:v>
      </x:c>
      <x:c r="G82" s="80" t="str"/>
      <x:c r="H82" s="80" t="str">
        <x:v>130/247</x:v>
      </x:c>
      <x:c r="I82" s="83" t="str">
        <x:v>V5567</x:v>
      </x:c>
      <x:c r="J82" s="80" t="str">
        <x:v>Red</x:v>
      </x:c>
      <x:c r="K82" s="82" t="str">
        <x:v>Black &amp; Silver stripes</x:v>
      </x:c>
      <x:c r="L82" s="82" t="str">
        <x:v>PR5</x:v>
      </x:c>
      <x:c r="M82" s="82" t="str">
        <x:v>Black / / / Plastic</x:v>
      </x:c>
      <x:c r="N82" s="82" t="str">
        <x:v>Clear</x:v>
      </x:c>
      <x:c r="O82" s="82" t="str">
        <x:v>Black</x:v>
      </x:c>
      <x:c r="P82" s="82" t="str">
        <x:v>Malaysia</x:v>
      </x:c>
      <x:c r="Q82" s="82" t="str"/>
      <x:c r="R82" s="82" t="str">
        <x:v>Mainline</x:v>
      </x:c>
      <x:c r="S82" s="82" t="str">
        <x:v>Incomum</x:v>
      </x:c>
      <x:c r="T82" s="82" t="str">
        <x:v>Lançado</x:v>
      </x:c>
      <x:c r="U82" s="82" t="str">
        <x:v>Base code(s): D45, D49, D52, E02, E03</x:v>
      </x:c>
      <x:c r="V82" s="80" t="str">
        <x:v>Coleção principal (~1:64)</x:v>
      </x:c>
      <x:c r="W82" s="82" t="str">
        <x:v>https://hotwheels.fandom.com/wiki/Ferrari_458_Italia</x:v>
      </x:c>
      <x:c r="X82" s="82" t="str">
        <x:v>https://hotwheels.fandom.com/wiki/Ferrari_458_Italia</x:v>
      </x:c>
    </x:row>
    <x:row r="83">
      <x:c r="A83" s="80" t="str">
        <x:v>Não</x:v>
      </x:c>
      <x:c r="B83" s="80" t="str">
        <x:v>2 — Completar aos poucos</x:v>
      </x:c>
      <x:c r="C83" s="81" t="n">
        <x:v>2012</x:v>
      </x:c>
      <x:c r="D83" s="80" t="str">
        <x:v>Ferrari 458 Italia</x:v>
      </x:c>
      <x:c r="E83" s="80" t="str">
        <x:v>Ferrari 458 Italia</x:v>
      </x:c>
      <x:c r="F83" s="82" t="str">
        <x:v>Team Hot Wheels High-Speed Wheel 4-Pack</x:v>
      </x:c>
      <x:c r="G83" s="80" t="str"/>
      <x:c r="H83" s="80" t="str"/>
      <x:c r="I83" s="83" t="str">
        <x:v>X0117</x:v>
      </x:c>
      <x:c r="J83" s="80" t="str">
        <x:v>Pearl Green Metallic</x:v>
      </x:c>
      <x:c r="K83" s="82" t="str">
        <x:v>Team Hot Wheels deco, the horse in the badge on the right side body decal is facing right instead of left</x:v>
      </x:c>
      <x:c r="L83" s="82" t="str">
        <x:v>Black HSW</x:v>
      </x:c>
      <x:c r="M83" s="82" t="str">
        <x:v>Black / / / Plastic</x:v>
      </x:c>
      <x:c r="N83" s="82" t="str">
        <x:v>Tinted (Green)</x:v>
      </x:c>
      <x:c r="O83" s="82" t="str">
        <x:v>Chrome</x:v>
      </x:c>
      <x:c r="P83" s="82" t="str">
        <x:v>Thailand</x:v>
      </x:c>
      <x:c r="Q83" s="82" t="str"/>
      <x:c r="R83" s="82" t="str">
        <x:v>Outra linha</x:v>
      </x:c>
      <x:c r="S83" s="82" t="str">
        <x:v>Incomum</x:v>
      </x:c>
      <x:c r="T83" s="82" t="str">
        <x:v>Lançado</x:v>
      </x:c>
      <x:c r="U83" s="82" t="str">
        <x:v>Named as Ferrari 458 Challenge / Base code(s): E47</x:v>
      </x:c>
      <x:c r="V83" s="80" t="str">
        <x:v>Coleção principal (~1:64)</x:v>
      </x:c>
      <x:c r="W83" s="82" t="str">
        <x:v>https://hotwheels.fandom.com/wiki/Ferrari_458_Italia</x:v>
      </x:c>
      <x:c r="X83" s="82" t="str">
        <x:v>https://hotwheels.fandom.com/wiki/Ferrari_458_Italia</x:v>
      </x:c>
    </x:row>
    <x:row r="84">
      <x:c r="A84" s="80" t="str">
        <x:v>Não</x:v>
      </x:c>
      <x:c r="B84" s="80" t="str">
        <x:v>2 — Completar aos poucos</x:v>
      </x:c>
      <x:c r="C84" s="81" t="n">
        <x:v>2012</x:v>
      </x:c>
      <x:c r="D84" s="80" t="str">
        <x:v>Ferrari 458 Spider</x:v>
      </x:c>
      <x:c r="E84" s="80" t="str">
        <x:v>Ferrari 458 Spider</x:v>
      </x:c>
      <x:c r="F84" s="82" t="str">
        <x:v>2012 New Models / 25/50</x:v>
      </x:c>
      <x:c r="G84" s="80" t="str"/>
      <x:c r="H84" s="80" t="str">
        <x:v>025/250</x:v>
      </x:c>
      <x:c r="I84" s="83" t="str">
        <x:v>V5313</x:v>
      </x:c>
      <x:c r="J84" s="80" t="str">
        <x:v>Red</x:v>
      </x:c>
      <x:c r="K84" s="82" t="str">
        <x:v>Ferrari emblem on sides &amp; hood</x:v>
      </x:c>
      <x:c r="L84" s="82" t="str">
        <x:v>OH5</x:v>
      </x:c>
      <x:c r="M84" s="82" t="str">
        <x:v>Black / / / Plastic</x:v>
      </x:c>
      <x:c r="N84" s="82" t="str">
        <x:v>Clear</x:v>
      </x:c>
      <x:c r="O84" s="82" t="str">
        <x:v>Black</x:v>
      </x:c>
      <x:c r="P84" s="82" t="str">
        <x:v>Malaysia</x:v>
      </x:c>
      <x:c r="Q84" s="82" t="str"/>
      <x:c r="R84" s="82" t="str">
        <x:v>Mainline</x:v>
      </x:c>
      <x:c r="S84" s="82" t="str">
        <x:v>Incomum</x:v>
      </x:c>
      <x:c r="T84" s="82" t="str">
        <x:v>Lançado</x:v>
      </x:c>
      <x:c r="U84" s="82" t="str"/>
      <x:c r="V84" s="80" t="str">
        <x:v>Coleção principal (~1:64)</x:v>
      </x:c>
      <x:c r="W84" s="82" t="str">
        <x:v>https://hotwheels.fandom.com/wiki/Ferrari_458_Spider</x:v>
      </x:c>
      <x:c r="X84" s="82" t="str">
        <x:v>https://hotwheels.fandom.com/wiki/Ferrari_458_Spider</x:v>
      </x:c>
    </x:row>
    <x:row r="85">
      <x:c r="A85" s="80" t="str">
        <x:v>Não</x:v>
      </x:c>
      <x:c r="B85" s="80" t="str">
        <x:v>2 — Completar aos poucos</x:v>
      </x:c>
      <x:c r="C85" s="81" t="n">
        <x:v>2012</x:v>
      </x:c>
      <x:c r="D85" s="80" t="str">
        <x:v>Ferrari 458 Spider</x:v>
      </x:c>
      <x:c r="E85" s="80" t="str">
        <x:v>Ferrari 458 Spider</x:v>
      </x:c>
      <x:c r="F85" s="82" t="str">
        <x:v>2012 New Models / 25/50</x:v>
      </x:c>
      <x:c r="G85" s="80" t="str"/>
      <x:c r="H85" s="80" t="str">
        <x:v>025/250</x:v>
      </x:c>
      <x:c r="I85" s="83" t="str">
        <x:v>V5592</x:v>
      </x:c>
      <x:c r="J85" s="80" t="str">
        <x:v>Yellow</x:v>
      </x:c>
      <x:c r="K85" s="82" t="str">
        <x:v>Ferrari emblem on sides &amp; hood</x:v>
      </x:c>
      <x:c r="L85" s="82" t="str">
        <x:v>OH5</x:v>
      </x:c>
      <x:c r="M85" s="82" t="str">
        <x:v>Black / / / Plastic</x:v>
      </x:c>
      <x:c r="N85" s="82" t="str">
        <x:v>Clear</x:v>
      </x:c>
      <x:c r="O85" s="82" t="str">
        <x:v>Black</x:v>
      </x:c>
      <x:c r="P85" s="82" t="str">
        <x:v>Malaysia</x:v>
      </x:c>
      <x:c r="Q85" s="82" t="str"/>
      <x:c r="R85" s="82" t="str">
        <x:v>Mainline</x:v>
      </x:c>
      <x:c r="S85" s="82" t="str">
        <x:v>Incomum</x:v>
      </x:c>
      <x:c r="T85" s="82" t="str">
        <x:v>Lançado</x:v>
      </x:c>
      <x:c r="U85" s="82" t="str"/>
      <x:c r="V85" s="80" t="str">
        <x:v>Coleção principal (~1:64)</x:v>
      </x:c>
      <x:c r="W85" s="82" t="str">
        <x:v>https://hotwheels.fandom.com/wiki/Ferrari_458_Spider</x:v>
      </x:c>
      <x:c r="X85" s="82" t="str">
        <x:v>https://hotwheels.fandom.com/wiki/Ferrari_458_Spider</x:v>
      </x:c>
    </x:row>
    <x:row r="86">
      <x:c r="A86" s="80" t="str">
        <x:v>Não</x:v>
      </x:c>
      <x:c r="B86" s="80" t="str">
        <x:v>2 — Completar aos poucos</x:v>
      </x:c>
      <x:c r="C86" s="81" t="n">
        <x:v>2012</x:v>
      </x:c>
      <x:c r="D86" s="80" t="str">
        <x:v>Ferrari 599XX</x:v>
      </x:c>
      <x:c r="E86" s="80" t="str">
        <x:v>Ferrari 599XX</x:v>
      </x:c>
      <x:c r="F86" s="82" t="str">
        <x:v>HW All Stars / 5/10</x:v>
      </x:c>
      <x:c r="G86" s="80" t="str"/>
      <x:c r="H86" s="80" t="str">
        <x:v>125/247</x:v>
      </x:c>
      <x:c r="I86" s="83" t="str">
        <x:v>V5428</x:v>
      </x:c>
      <x:c r="J86" s="80" t="str">
        <x:v>Red</x:v>
      </x:c>
      <x:c r="K86" s="82" t="str">
        <x:v>Black stripes &amp; Ferrari emblem on sides &amp; hood</x:v>
      </x:c>
      <x:c r="L86" s="82" t="str">
        <x:v>MC5</x:v>
      </x:c>
      <x:c r="M86" s="82" t="str">
        <x:v>Black / / / Plastic</x:v>
      </x:c>
      <x:c r="N86" s="82" t="str">
        <x:v>Clear</x:v>
      </x:c>
      <x:c r="O86" s="82" t="str">
        <x:v>Black</x:v>
      </x:c>
      <x:c r="P86" s="82" t="str">
        <x:v>Malaysia</x:v>
      </x:c>
      <x:c r="Q86" s="82" t="str"/>
      <x:c r="R86" s="82" t="str">
        <x:v>Mainline</x:v>
      </x:c>
      <x:c r="S86" s="82" t="str">
        <x:v>Incomum</x:v>
      </x:c>
      <x:c r="T86" s="82" t="str">
        <x:v>Lançado</x:v>
      </x:c>
      <x:c r="U86" s="82" t="str">
        <x:v>Base code(s): E19, E21, E25, E26, E28</x:v>
      </x:c>
      <x:c r="V86" s="80" t="str">
        <x:v>Coleção principal (~1:64)</x:v>
      </x:c>
      <x:c r="W86" s="82" t="str">
        <x:v>https://hotwheels.fandom.com/wiki/Ferrari_599XX</x:v>
      </x:c>
      <x:c r="X86" s="82" t="str">
        <x:v>https://hotwheels.fandom.com/wiki/Ferrari_599XX</x:v>
      </x:c>
    </x:row>
    <x:row r="87">
      <x:c r="A87" s="80" t="str">
        <x:v>Não</x:v>
      </x:c>
      <x:c r="B87" s="80" t="str">
        <x:v>2 — Completar aos poucos</x:v>
      </x:c>
      <x:c r="C87" s="81" t="n">
        <x:v>2012</x:v>
      </x:c>
      <x:c r="D87" s="80" t="str">
        <x:v>Ferrari 599XX</x:v>
      </x:c>
      <x:c r="E87" s="80" t="str">
        <x:v>Ferrari 599XX</x:v>
      </x:c>
      <x:c r="F87" s="82" t="str">
        <x:v>HW All Stars / 5/10</x:v>
      </x:c>
      <x:c r="G87" s="80" t="str"/>
      <x:c r="H87" s="80" t="str">
        <x:v>125/247</x:v>
      </x:c>
      <x:c r="I87" s="83" t="str">
        <x:v>V5428</x:v>
      </x:c>
      <x:c r="J87" s="80" t="str">
        <x:v>Red</x:v>
      </x:c>
      <x:c r="K87" s="82" t="str">
        <x:v>Black stripes &amp; Ferrari emblem on sides &amp; hood</x:v>
      </x:c>
      <x:c r="L87" s="82" t="str">
        <x:v>OH5SP</x:v>
      </x:c>
      <x:c r="M87" s="82" t="str">
        <x:v>Black / / / Plastic</x:v>
      </x:c>
      <x:c r="N87" s="82" t="str">
        <x:v>Clear</x:v>
      </x:c>
      <x:c r="O87" s="82" t="str">
        <x:v>Black</x:v>
      </x:c>
      <x:c r="P87" s="82" t="str">
        <x:v>Malaysia</x:v>
      </x:c>
      <x:c r="Q87" s="82" t="str"/>
      <x:c r="R87" s="82" t="str">
        <x:v>Mainline</x:v>
      </x:c>
      <x:c r="S87" s="82" t="str">
        <x:v>Incomum</x:v>
      </x:c>
      <x:c r="T87" s="82" t="str">
        <x:v>Lançado</x:v>
      </x:c>
      <x:c r="U87" s="82" t="str">
        <x:v>Very rare variation / Base code(s):</x:v>
      </x:c>
      <x:c r="V87" s="80" t="str">
        <x:v>Coleção principal (~1:64)</x:v>
      </x:c>
      <x:c r="W87" s="82" t="str">
        <x:v>https://hotwheels.fandom.com/wiki/Ferrari_599XX</x:v>
      </x:c>
      <x:c r="X87" s="82" t="str">
        <x:v>https://hotwheels.fandom.com/wiki/Ferrari_599XX</x:v>
      </x:c>
    </x:row>
    <x:row r="88">
      <x:c r="A88" s="80" t="str">
        <x:v>Não</x:v>
      </x:c>
      <x:c r="B88" s="80" t="str">
        <x:v>2 — Completar aos poucos</x:v>
      </x:c>
      <x:c r="C88" s="81" t="n">
        <x:v>2012</x:v>
      </x:c>
      <x:c r="D88" s="80" t="str">
        <x:v>Ferrari California</x:v>
      </x:c>
      <x:c r="E88" s="80" t="str">
        <x:v>Ferrari California</x:v>
      </x:c>
      <x:c r="F88" s="82" t="str">
        <x:v>HW All Stars / 7/10</x:v>
      </x:c>
      <x:c r="G88" s="80" t="str"/>
      <x:c r="H88" s="80" t="str">
        <x:v>127/247</x:v>
      </x:c>
      <x:c r="I88" s="83" t="str">
        <x:v>V5608</x:v>
      </x:c>
      <x:c r="J88" s="80" t="str">
        <x:v>Metalflake Gray</x:v>
      </x:c>
      <x:c r="K88" s="82" t="str">
        <x:v>Red &amp; Black Stripes</x:v>
      </x:c>
      <x:c r="L88" s="82" t="str">
        <x:v>Red Lip OH5</x:v>
      </x:c>
      <x:c r="M88" s="82" t="str">
        <x:v>Black / / / Plastic</x:v>
      </x:c>
      <x:c r="N88" s="82" t="str">
        <x:v>Clear</x:v>
      </x:c>
      <x:c r="O88" s="82" t="str">
        <x:v>Red</x:v>
      </x:c>
      <x:c r="P88" s="82" t="str">
        <x:v>Malaysia</x:v>
      </x:c>
      <x:c r="Q88" s="82" t="str"/>
      <x:c r="R88" s="82" t="str">
        <x:v>Mainline</x:v>
      </x:c>
      <x:c r="S88" s="82" t="str">
        <x:v>Incomum</x:v>
      </x:c>
      <x:c r="T88" s="82" t="str">
        <x:v>Lançado</x:v>
      </x:c>
      <x:c r="U88" s="82" t="str">
        <x:v>Base code(s): E27, E32</x:v>
      </x:c>
      <x:c r="V88" s="80" t="str">
        <x:v>Coleção principal (~1:64)</x:v>
      </x:c>
      <x:c r="W88" s="82" t="str">
        <x:v>https://hotwheels.fandom.com/wiki/Ferrari_California</x:v>
      </x:c>
      <x:c r="X88" s="82" t="str">
        <x:v>https://hotwheels.fandom.com/wiki/Ferrari_California</x:v>
      </x:c>
    </x:row>
    <x:row r="89">
      <x:c r="A89" s="80" t="str">
        <x:v>Não</x:v>
      </x:c>
      <x:c r="B89" s="80" t="str">
        <x:v>2 — Completar aos poucos</x:v>
      </x:c>
      <x:c r="C89" s="81" t="n">
        <x:v>2012</x:v>
      </x:c>
      <x:c r="D89" s="80" t="str">
        <x:v>Ferrari California</x:v>
      </x:c>
      <x:c r="E89" s="80" t="str">
        <x:v>Ferrari California</x:v>
      </x:c>
      <x:c r="F89" s="82" t="str">
        <x:v>HW All Stars / 7/10</x:v>
      </x:c>
      <x:c r="G89" s="80" t="str"/>
      <x:c r="H89" s="80" t="str">
        <x:v>127/247</x:v>
      </x:c>
      <x:c r="I89" s="83" t="str">
        <x:v>V5430</x:v>
      </x:c>
      <x:c r="J89" s="80" t="str">
        <x:v>Pearl White</x:v>
      </x:c>
      <x:c r="K89" s="82" t="str">
        <x:v>Red &amp; Black Stripes</x:v>
      </x:c>
      <x:c r="L89" s="82" t="str">
        <x:v>PR5</x:v>
      </x:c>
      <x:c r="M89" s="82" t="str">
        <x:v>Black / / / Plastic</x:v>
      </x:c>
      <x:c r="N89" s="82" t="str">
        <x:v>Clear</x:v>
      </x:c>
      <x:c r="O89" s="82" t="str">
        <x:v>Black</x:v>
      </x:c>
      <x:c r="P89" s="82" t="str">
        <x:v>Malaysia</x:v>
      </x:c>
      <x:c r="Q89" s="82" t="str"/>
      <x:c r="R89" s="82" t="str">
        <x:v>Mainline</x:v>
      </x:c>
      <x:c r="S89" s="82" t="str">
        <x:v>Incomum</x:v>
      </x:c>
      <x:c r="T89" s="82" t="str">
        <x:v>Lançado</x:v>
      </x:c>
      <x:c r="U89" s="82" t="str">
        <x:v>Base code(s): E02, E08, E10, E14, E16</x:v>
      </x:c>
      <x:c r="V89" s="80" t="str">
        <x:v>Coleção principal (~1:64)</x:v>
      </x:c>
      <x:c r="W89" s="82" t="str">
        <x:v>https://hotwheels.fandom.com/wiki/Ferrari_California</x:v>
      </x:c>
      <x:c r="X89" s="82" t="str">
        <x:v>https://hotwheels.fandom.com/wiki/Ferrari_California</x:v>
      </x:c>
    </x:row>
    <x:row r="90">
      <x:c r="A90" s="80" t="str">
        <x:v>Não</x:v>
      </x:c>
      <x:c r="B90" s="80" t="str">
        <x:v>2 — Completar aos poucos</x:v>
      </x:c>
      <x:c r="C90" s="81" t="n">
        <x:v>2012</x:v>
      </x:c>
      <x:c r="D90" s="80" t="str">
        <x:v>Ferrari California</x:v>
      </x:c>
      <x:c r="E90" s="80" t="str">
        <x:v>Ferrari California</x:v>
      </x:c>
      <x:c r="F90" s="82" t="str">
        <x:v>HW All Stars / 7/10</x:v>
      </x:c>
      <x:c r="G90" s="80" t="str"/>
      <x:c r="H90" s="80" t="str">
        <x:v>127/247</x:v>
      </x:c>
      <x:c r="I90" s="83" t="str">
        <x:v>V5430</x:v>
      </x:c>
      <x:c r="J90" s="80" t="str">
        <x:v>Pearl White</x:v>
      </x:c>
      <x:c r="K90" s="82" t="str">
        <x:v>Red &amp; Black Stripes</x:v>
      </x:c>
      <x:c r="L90" s="82" t="str">
        <x:v>5SP</x:v>
      </x:c>
      <x:c r="M90" s="82" t="str">
        <x:v>Black / / / Plastic</x:v>
      </x:c>
      <x:c r="N90" s="82" t="str">
        <x:v>Clear</x:v>
      </x:c>
      <x:c r="O90" s="82" t="str">
        <x:v>Black</x:v>
      </x:c>
      <x:c r="P90" s="82" t="str">
        <x:v>Malaysia</x:v>
      </x:c>
      <x:c r="Q90" s="82" t="str"/>
      <x:c r="R90" s="82" t="str">
        <x:v>Mainline</x:v>
      </x:c>
      <x:c r="S90" s="82" t="str">
        <x:v>Incomum</x:v>
      </x:c>
      <x:c r="T90" s="82" t="str">
        <x:v>Lançado</x:v>
      </x:c>
      <x:c r="U90" s="82" t="str">
        <x:v>Base code(s): E02, E08, E10, E14, E16</x:v>
      </x:c>
      <x:c r="V90" s="80" t="str">
        <x:v>Coleção principal (~1:64)</x:v>
      </x:c>
      <x:c r="W90" s="82" t="str">
        <x:v>https://hotwheels.fandom.com/wiki/Ferrari_California</x:v>
      </x:c>
      <x:c r="X90" s="82" t="str">
        <x:v>https://hotwheels.fandom.com/wiki/Ferrari_California</x:v>
      </x:c>
    </x:row>
    <x:row r="91">
      <x:c r="A91" s="80" t="str">
        <x:v>Não</x:v>
      </x:c>
      <x:c r="B91" s="80" t="str">
        <x:v>2 — Completar aos poucos</x:v>
      </x:c>
      <x:c r="C91" s="81" t="n">
        <x:v>2012</x:v>
      </x:c>
      <x:c r="D91" s="80" t="str">
        <x:v>Ferrari F40</x:v>
      </x:c>
      <x:c r="E91" s="80" t="str">
        <x:v>Ferrari F40</x:v>
      </x:c>
      <x:c r="F91" s="82" t="str">
        <x:v>Hot Wheels Boulevard: Ahead of Its Time</x:v>
      </x:c>
      <x:c r="G91" s="80" t="str"/>
      <x:c r="H91" s="80" t="str"/>
      <x:c r="I91" s="83" t="str">
        <x:v>W4647</x:v>
      </x:c>
      <x:c r="J91" s="80" t="str">
        <x:v>Red</x:v>
      </x:c>
      <x:c r="K91" s="82" t="str">
        <x:v>Matte Black lower body, badges</x:v>
      </x:c>
      <x:c r="L91" s="82" t="str">
        <x:v>RRE</x:v>
      </x:c>
      <x:c r="M91" s="82" t="str">
        <x:v>ZAMAC</x:v>
      </x:c>
      <x:c r="N91" s="82" t="str">
        <x:v>Smoke tint</x:v>
      </x:c>
      <x:c r="O91" s="82" t="str">
        <x:v>Black</x:v>
      </x:c>
      <x:c r="P91" s="82" t="str">
        <x:v>Malaysia</x:v>
      </x:c>
      <x:c r="Q91" s="82" t="str"/>
      <x:c r="R91" s="82" t="str">
        <x:v>Premium</x:v>
      </x:c>
      <x:c r="S91" s="82" t="str">
        <x:v>Incomum</x:v>
      </x:c>
      <x:c r="T91" s="82" t="str">
        <x:v>Lançado</x:v>
      </x:c>
      <x:c r="U91" s="82" t="str">
        <x:v>Base code(s): E33</x:v>
      </x:c>
      <x:c r="V91" s="80" t="str">
        <x:v>Coleção principal (~1:64)</x:v>
      </x:c>
      <x:c r="W91" s="82" t="str">
        <x:v>https://hotwheels.fandom.com/wiki/Ferrari_F40</x:v>
      </x:c>
      <x:c r="X91" s="82" t="str">
        <x:v>https://hotwheels.fandom.com/wiki/Ferrari_F40</x:v>
      </x:c>
    </x:row>
    <x:row r="92">
      <x:c r="A92" s="80" t="str">
        <x:v>Não</x:v>
      </x:c>
      <x:c r="B92" s="80" t="str">
        <x:v>2 — Completar aos poucos</x:v>
      </x:c>
      <x:c r="C92" s="81" t="n">
        <x:v>2012</x:v>
      </x:c>
      <x:c r="D92" s="80" t="str">
        <x:v>Ferrari F430 Challenge</x:v>
      </x:c>
      <x:c r="E92" s="80" t="str">
        <x:v>Ferrari F430 Challenge</x:v>
      </x:c>
      <x:c r="F92" s="82" t="str">
        <x:v>Ferrari 5-Pack</x:v>
      </x:c>
      <x:c r="G92" s="80" t="str"/>
      <x:c r="H92" s="80" t="str"/>
      <x:c r="I92" s="83" t="str">
        <x:v>W4241</x:v>
      </x:c>
      <x:c r="J92" s="80" t="str">
        <x:v>Black</x:v>
      </x:c>
      <x:c r="K92" s="82" t="str">
        <x:v>White &amp; Red stripes on sides and hood, "430" on hood and sides.</x:v>
      </x:c>
      <x:c r="L92" s="82" t="str">
        <x:v>Red Chrome Y5</x:v>
      </x:c>
      <x:c r="M92" s="82" t="str">
        <x:v>Gray / / / Plastic</x:v>
      </x:c>
      <x:c r="N92" s="82" t="str">
        <x:v>Clear</x:v>
      </x:c>
      <x:c r="O92" s="82" t="str">
        <x:v>Gray</x:v>
      </x:c>
      <x:c r="P92" s="82" t="str">
        <x:v>Thailand</x:v>
      </x:c>
      <x:c r="Q92" s="82" t="str"/>
      <x:c r="R92" s="82" t="str">
        <x:v>Temática / multipack</x:v>
      </x:c>
      <x:c r="S92" s="82" t="str">
        <x:v>Incomum</x:v>
      </x:c>
      <x:c r="T92" s="82" t="str">
        <x:v>Lançado</x:v>
      </x:c>
      <x:c r="U92" s="82" t="str"/>
      <x:c r="V92" s="80" t="str">
        <x:v>Coleção principal (~1:64)</x:v>
      </x:c>
      <x:c r="W92" s="82" t="str">
        <x:v>https://hotwheels.fandom.com/wiki/Ferrari_F430_Challenge</x:v>
      </x:c>
      <x:c r="X92" s="82" t="str">
        <x:v>https://hotwheels.fandom.com/wiki/Ferrari_F430_Challenge</x:v>
      </x:c>
    </x:row>
    <x:row r="93">
      <x:c r="A93" s="80" t="str">
        <x:v>Não</x:v>
      </x:c>
      <x:c r="B93" s="80" t="str">
        <x:v>2 — Completar aos poucos</x:v>
      </x:c>
      <x:c r="C93" s="81" t="n">
        <x:v>2012</x:v>
      </x:c>
      <x:c r="D93" s="80" t="str">
        <x:v>Ferrari F512M</x:v>
      </x:c>
      <x:c r="E93" s="80" t="str">
        <x:v>Ferrari F512M</x:v>
      </x:c>
      <x:c r="F93" s="82" t="str">
        <x:v>Ferrari 5-Pack</x:v>
      </x:c>
      <x:c r="G93" s="80" t="str"/>
      <x:c r="H93" s="80" t="str"/>
      <x:c r="I93" s="83" t="str">
        <x:v>W4241</x:v>
      </x:c>
      <x:c r="J93" s="80" t="str">
        <x:v>Navy Blue</x:v>
      </x:c>
      <x:c r="K93" s="82" t="str">
        <x:v>White stripe tampos</x:v>
      </x:c>
      <x:c r="L93" s="82" t="str">
        <x:v>WLPR5</x:v>
      </x:c>
      <x:c r="M93" s="82" t="str">
        <x:v>ZAMAC</x:v>
      </x:c>
      <x:c r="N93" s="82" t="str">
        <x:v>Smoke Tinted</x:v>
      </x:c>
      <x:c r="O93" s="82" t="str">
        <x:v>Black</x:v>
      </x:c>
      <x:c r="P93" s="82" t="str">
        <x:v>Thailand</x:v>
      </x:c>
      <x:c r="Q93" s="82" t="str"/>
      <x:c r="R93" s="82" t="str">
        <x:v>Temática / multipack</x:v>
      </x:c>
      <x:c r="S93" s="82" t="str">
        <x:v>Incomum</x:v>
      </x:c>
      <x:c r="T93" s="82" t="str">
        <x:v>Lançado</x:v>
      </x:c>
      <x:c r="U93" s="82" t="str">
        <x:v>Base code(s): D46, D48, E08</x:v>
      </x:c>
      <x:c r="V93" s="80" t="str">
        <x:v>Coleção principal (~1:64)</x:v>
      </x:c>
      <x:c r="W93" s="82" t="str">
        <x:v>https://hotwheels.fandom.com/wiki/Ferrari_F512M</x:v>
      </x:c>
      <x:c r="X93" s="82" t="str">
        <x:v>https://hotwheels.fandom.com/wiki/Ferrari_F512M</x:v>
      </x:c>
    </x:row>
    <x:row r="94">
      <x:c r="A94" s="80" t="str">
        <x:v>Não</x:v>
      </x:c>
      <x:c r="B94" s="80" t="str">
        <x:v>2 — Completar aos poucos</x:v>
      </x:c>
      <x:c r="C94" s="81" t="n">
        <x:v>2012</x:v>
      </x:c>
      <x:c r="D94" s="80" t="str">
        <x:v>Ferrari FXX</x:v>
      </x:c>
      <x:c r="E94" s="80" t="str">
        <x:v>Ferrari FXX</x:v>
      </x:c>
      <x:c r="F94" s="82" t="str">
        <x:v>Ferrari 5-Pack</x:v>
      </x:c>
      <x:c r="G94" s="80" t="str"/>
      <x:c r="H94" s="80" t="str"/>
      <x:c r="I94" s="83" t="str">
        <x:v>W4241</x:v>
      </x:c>
      <x:c r="J94" s="80" t="str">
        <x:v>Red</x:v>
      </x:c>
      <x:c r="K94" s="82" t="str">
        <x:v>Ferrari logo on hood, white stripe with black outline across top, "FXX" on rear spoiler</x:v>
      </x:c>
      <x:c r="L94" s="82" t="str">
        <x:v>PR5</x:v>
      </x:c>
      <x:c r="M94" s="82" t="str">
        <x:v>Black / / / Plastic</x:v>
      </x:c>
      <x:c r="N94" s="82" t="str">
        <x:v>Tinted</x:v>
      </x:c>
      <x:c r="O94" s="82" t="str">
        <x:v>Black</x:v>
      </x:c>
      <x:c r="P94" s="82" t="str">
        <x:v>Thailand</x:v>
      </x:c>
      <x:c r="Q94" s="82" t="str"/>
      <x:c r="R94" s="82" t="str">
        <x:v>Temática / multipack</x:v>
      </x:c>
      <x:c r="S94" s="82" t="str">
        <x:v>Incomum</x:v>
      </x:c>
      <x:c r="T94" s="82" t="str">
        <x:v>Lançado</x:v>
      </x:c>
      <x:c r="U94" s="82" t="str">
        <x:v>Similar to L9948 / Base code(s): D47, E09</x:v>
      </x:c>
      <x:c r="V94" s="80" t="str">
        <x:v>Coleção principal (~1:64)</x:v>
      </x:c>
      <x:c r="W94" s="82" t="str">
        <x:v>https://hotwheels.fandom.com/wiki/Ferrari_FXX</x:v>
      </x:c>
      <x:c r="X94" s="82" t="str">
        <x:v>https://hotwheels.fandom.com/wiki/Ferrari_FXX</x:v>
      </x:c>
    </x:row>
    <x:row r="95">
      <x:c r="A95" s="80" t="str">
        <x:v>Não</x:v>
      </x:c>
      <x:c r="B95" s="80" t="str">
        <x:v>2 — Completar aos poucos</x:v>
      </x:c>
      <x:c r="C95" s="81" t="n">
        <x:v>2012</x:v>
      </x:c>
      <x:c r="D95" s="80" t="str">
        <x:v>Ferrari FXX</x:v>
      </x:c>
      <x:c r="E95" s="80" t="str">
        <x:v>Ferrari FXX</x:v>
      </x:c>
      <x:c r="F95" s="82" t="str">
        <x:v>Speed Machines</x:v>
      </x:c>
      <x:c r="G95" s="80" t="str"/>
      <x:c r="H95" s="80" t="str"/>
      <x:c r="I95" s="83" t="str">
        <x:v>W2318</x:v>
      </x:c>
      <x:c r="J95" s="80" t="str">
        <x:v>Black</x:v>
      </x:c>
      <x:c r="K95" s="82" t="str">
        <x:v>Ferrari emblem and "87" on sides and hood</x:v>
      </x:c>
      <x:c r="L95" s="82" t="str">
        <x:v>Red Chrome rim, Black CM6</x:v>
      </x:c>
      <x:c r="M95" s="82" t="str">
        <x:v>Gray</x:v>
      </x:c>
      <x:c r="N95" s="82" t="str">
        <x:v>Clear</x:v>
      </x:c>
      <x:c r="O95" s="82" t="str">
        <x:v>Black</x:v>
      </x:c>
      <x:c r="P95" s="82" t="str">
        <x:v>Thailand</x:v>
      </x:c>
      <x:c r="Q95" s="82" t="str"/>
      <x:c r="R95" s="82" t="str">
        <x:v>Premium</x:v>
      </x:c>
      <x:c r="S95" s="82" t="str">
        <x:v>Incomum</x:v>
      </x:c>
      <x:c r="T95" s="82" t="str">
        <x:v>Lançado</x:v>
      </x:c>
      <x:c r="U95" s="82" t="str">
        <x:v>Base code(s): E19</x:v>
      </x:c>
      <x:c r="V95" s="80" t="str">
        <x:v>Coleção principal (~1:64)</x:v>
      </x:c>
      <x:c r="W95" s="82" t="str">
        <x:v>https://hotwheels.fandom.com/wiki/Ferrari_FXX</x:v>
      </x:c>
      <x:c r="X95" s="82" t="str">
        <x:v>https://hotwheels.fandom.com/wiki/Ferrari_FXX</x:v>
      </x:c>
    </x:row>
    <x:row r="96">
      <x:c r="A96" s="80" t="str">
        <x:v>Não</x:v>
      </x:c>
      <x:c r="B96" s="80" t="str">
        <x:v>2 — Completar aos poucos</x:v>
      </x:c>
      <x:c r="C96" s="81" t="n">
        <x:v>2012</x:v>
      </x:c>
      <x:c r="D96" s="80" t="str">
        <x:v>Ferrari FXX</x:v>
      </x:c>
      <x:c r="E96" s="80" t="str">
        <x:v>Ferrari FXX</x:v>
      </x:c>
      <x:c r="F96" s="82" t="str">
        <x:v>Speed Machines</x:v>
      </x:c>
      <x:c r="G96" s="80" t="str"/>
      <x:c r="H96" s="80" t="str">
        <x:v>Red Chrome rim, Black OH5</x:v>
      </x:c>
      <x:c r="I96" s="83" t="str">
        <x:v>W2318</x:v>
      </x:c>
      <x:c r="J96" s="80" t="str">
        <x:v>Black</x:v>
      </x:c>
      <x:c r="K96" s="82" t="str">
        <x:v>Ferrari emblem and "87" on sides and hood</x:v>
      </x:c>
      <x:c r="L96" s="82" t="str"/>
      <x:c r="M96" s="82" t="str">
        <x:v>Gray</x:v>
      </x:c>
      <x:c r="N96" s="82" t="str">
        <x:v>Clear</x:v>
      </x:c>
      <x:c r="O96" s="82" t="str">
        <x:v>Black</x:v>
      </x:c>
      <x:c r="P96" s="82" t="str">
        <x:v>Thailand</x:v>
      </x:c>
      <x:c r="Q96" s="82" t="str"/>
      <x:c r="R96" s="82" t="str">
        <x:v>Premium</x:v>
      </x:c>
      <x:c r="S96" s="82" t="str">
        <x:v>Incomum</x:v>
      </x:c>
      <x:c r="T96" s="82" t="str">
        <x:v>Lançado</x:v>
      </x:c>
      <x:c r="U96" s="82" t="str">
        <x:v>Base code(s): E19</x:v>
      </x:c>
      <x:c r="V96" s="80" t="str">
        <x:v>Coleção principal (~1:64)</x:v>
      </x:c>
      <x:c r="W96" s="82" t="str">
        <x:v>https://hotwheels.fandom.com/wiki/Ferrari_FXX</x:v>
      </x:c>
      <x:c r="X96" s="82" t="str">
        <x:v>https://hotwheels.fandom.com/wiki/Ferrari_FXX</x:v>
      </x:c>
    </x:row>
    <x:row r="97">
      <x:c r="A97" s="80" t="str">
        <x:v>Não</x:v>
      </x:c>
      <x:c r="B97" s="80" t="str">
        <x:v>2 — Completar aos poucos</x:v>
      </x:c>
      <x:c r="C97" s="81" t="n">
        <x:v>2011</x:v>
      </x:c>
      <x:c r="D97" s="80" t="str">
        <x:v>Ferrari 250 GTO (2009)</x:v>
      </x:c>
      <x:c r="E97" s="80" t="str">
        <x:v>Ferrari 250 GTO</x:v>
      </x:c>
      <x:c r="F97" s="82" t="str">
        <x:v>Hot Wheels Garage 30-Car Set / 5/6</x:v>
      </x:c>
      <x:c r="G97" s="80" t="str"/>
      <x:c r="H97" s="80" t="str"/>
      <x:c r="I97" s="83" t="str">
        <x:v>V6190</x:v>
      </x:c>
      <x:c r="J97" s="80" t="str">
        <x:v>Metalflake Steel Blue</x:v>
      </x:c>
      <x:c r="K97" s="82" t="str">
        <x:v>Ferrari emblem on sides &amp; hood</x:v>
      </x:c>
      <x:c r="L97" s="82" t="str">
        <x:v>RR10SP</x:v>
      </x:c>
      <x:c r="M97" s="82" t="str">
        <x:v>Unpainted / / / Metal</x:v>
      </x:c>
      <x:c r="N97" s="82" t="str">
        <x:v>Clear</x:v>
      </x:c>
      <x:c r="O97" s="82" t="str">
        <x:v>Beige</x:v>
      </x:c>
      <x:c r="P97" s="82" t="str">
        <x:v>Malaysia</x:v>
      </x:c>
      <x:c r="Q97" s="82" t="str">
        <x:v>Walmart</x:v>
      </x:c>
      <x:c r="R97" s="82" t="str">
        <x:v>Outra linha</x:v>
      </x:c>
      <x:c r="S97" s="82" t="str">
        <x:v>Rara</x:v>
      </x:c>
      <x:c r="T97" s="82" t="str">
        <x:v>Lançado</x:v>
      </x:c>
      <x:c r="U97" s="82" t="str">
        <x:v>Walmart Exclusive / Base code(s):</x:v>
      </x:c>
      <x:c r="V97" s="80" t="str">
        <x:v>Coleção principal (~1:64)</x:v>
      </x:c>
      <x:c r="W97" s="82" t="str">
        <x:v>https://hotwheels.fandom.com/wiki/Ferrari_250_GTO_(2009)</x:v>
      </x:c>
      <x:c r="X97" s="82" t="str">
        <x:v>https://hotwheels.fandom.com/wiki/Ferrari_250_GTO_(2009)</x:v>
      </x:c>
    </x:row>
    <x:row r="98">
      <x:c r="A98" s="80" t="str">
        <x:v>Não</x:v>
      </x:c>
      <x:c r="B98" s="80" t="str">
        <x:v>2 — Completar aos poucos</x:v>
      </x:c>
      <x:c r="C98" s="81" t="n">
        <x:v>2011</x:v>
      </x:c>
      <x:c r="D98" s="80" t="str">
        <x:v>Ferrari 250 GTO (2009)</x:v>
      </x:c>
      <x:c r="E98" s="80" t="str">
        <x:v>Ferrari 250 GTO</x:v>
      </x:c>
      <x:c r="F98" s="82" t="str">
        <x:v>Hot Wheels Garage: Ferrari / 5/6</x:v>
      </x:c>
      <x:c r="G98" s="80" t="str"/>
      <x:c r="H98" s="80" t="str"/>
      <x:c r="I98" s="83" t="str">
        <x:v>T8258</x:v>
      </x:c>
      <x:c r="J98" s="80" t="str">
        <x:v>Red</x:v>
      </x:c>
      <x:c r="K98" s="82" t="str">
        <x:v>Light, Trim and Emblem details</x:v>
      </x:c>
      <x:c r="L98" s="82" t="str">
        <x:v>RR10SP</x:v>
      </x:c>
      <x:c r="M98" s="82" t="str">
        <x:v>Unpainted / / / Metal</x:v>
      </x:c>
      <x:c r="N98" s="82" t="str">
        <x:v>Clear</x:v>
      </x:c>
      <x:c r="O98" s="82" t="str">
        <x:v>Gray</x:v>
      </x:c>
      <x:c r="P98" s="82" t="str">
        <x:v>Malaysia</x:v>
      </x:c>
      <x:c r="Q98" s="82" t="str"/>
      <x:c r="R98" s="82" t="str">
        <x:v>Outra linha</x:v>
      </x:c>
      <x:c r="S98" s="82" t="str">
        <x:v>Incomum</x:v>
      </x:c>
      <x:c r="T98" s="82" t="str">
        <x:v>Lançado</x:v>
      </x:c>
      <x:c r="U98" s="82" t="str">
        <x:v>Base code(s): C49</x:v>
      </x:c>
      <x:c r="V98" s="80" t="str">
        <x:v>Coleção principal (~1:64)</x:v>
      </x:c>
      <x:c r="W98" s="82" t="str">
        <x:v>https://hotwheels.fandom.com/wiki/Ferrari_250_GTO_(2009)</x:v>
      </x:c>
      <x:c r="X98" s="82" t="str">
        <x:v>https://hotwheels.fandom.com/wiki/Ferrari_250_GTO_(2009)</x:v>
      </x:c>
    </x:row>
    <x:row r="99">
      <x:c r="A99" s="80" t="str">
        <x:v>Não</x:v>
      </x:c>
      <x:c r="B99" s="80" t="str">
        <x:v>2 — Completar aos poucos</x:v>
      </x:c>
      <x:c r="C99" s="81" t="n">
        <x:v>2011</x:v>
      </x:c>
      <x:c r="D99" s="80" t="str">
        <x:v>Ferrari 288 GTO</x:v>
      </x:c>
      <x:c r="E99" s="80" t="str">
        <x:v>Ferrari 288 GTO</x:v>
      </x:c>
      <x:c r="F99" s="82" t="str">
        <x:v>Ferrari 5-Pack</x:v>
      </x:c>
      <x:c r="G99" s="80" t="str"/>
      <x:c r="H99" s="80" t="str"/>
      <x:c r="I99" s="83" t="str">
        <x:v>T8629</x:v>
      </x:c>
      <x:c r="J99" s="80" t="str">
        <x:v>Pearl White</x:v>
      </x:c>
      <x:c r="K99" s="82" t="str">
        <x:v>Ferrari emblem on sides, rear &amp; hood</x:v>
      </x:c>
      <x:c r="L99" s="82" t="str">
        <x:v>PR5</x:v>
      </x:c>
      <x:c r="M99" s="82" t="str">
        <x:v>Black / / / Plastic</x:v>
      </x:c>
      <x:c r="N99" s="82" t="str">
        <x:v>Clear</x:v>
      </x:c>
      <x:c r="O99" s="82" t="str">
        <x:v>Black</x:v>
      </x:c>
      <x:c r="P99" s="82" t="str">
        <x:v>Thailand</x:v>
      </x:c>
      <x:c r="Q99" s="82" t="str"/>
      <x:c r="R99" s="82" t="str">
        <x:v>Temática / multipack</x:v>
      </x:c>
      <x:c r="S99" s="82" t="str">
        <x:v>Incomum</x:v>
      </x:c>
      <x:c r="T99" s="82" t="str">
        <x:v>Lançado</x:v>
      </x:c>
      <x:c r="U99" s="82" t="str">
        <x:v>Base code(s): C40, C47, D02, D07</x:v>
      </x:c>
      <x:c r="V99" s="80" t="str">
        <x:v>Coleção principal (~1:64)</x:v>
      </x:c>
      <x:c r="W99" s="82" t="str">
        <x:v>https://hotwheels.fandom.com/wiki/Ferrari_288_GTO</x:v>
      </x:c>
      <x:c r="X99" s="82" t="str">
        <x:v>https://hotwheels.fandom.com/wiki/Ferrari_288_GTO</x:v>
      </x:c>
    </x:row>
    <x:row r="100">
      <x:c r="A100" s="80" t="str">
        <x:v>Não</x:v>
      </x:c>
      <x:c r="B100" s="80" t="str">
        <x:v>2 — Completar aos poucos</x:v>
      </x:c>
      <x:c r="C100" s="81" t="n">
        <x:v>2011</x:v>
      </x:c>
      <x:c r="D100" s="80" t="str">
        <x:v>Ferrari 288 GTO</x:v>
      </x:c>
      <x:c r="E100" s="80" t="str">
        <x:v>Ferrari 288 GTO</x:v>
      </x:c>
      <x:c r="F100" s="82" t="str">
        <x:v>The Hot Ones</x:v>
      </x:c>
      <x:c r="G100" s="80" t="str"/>
      <x:c r="H100" s="80" t="str"/>
      <x:c r="I100" s="83" t="str">
        <x:v>W1585</x:v>
      </x:c>
      <x:c r="J100" s="80" t="str">
        <x:v>Red</x:v>
      </x:c>
      <x:c r="K100" s="82" t="str">
        <x:v>Black, Yellow &amp; white stripes on sides, Yellow &amp; white on hood</x:v>
      </x:c>
      <x:c r="L100" s="82" t="str">
        <x:v>BW</x:v>
      </x:c>
      <x:c r="M100" s="82" t="str">
        <x:v>Unpainted / / / Metal</x:v>
      </x:c>
      <x:c r="N100" s="82" t="str">
        <x:v>Yellow</x:v>
      </x:c>
      <x:c r="O100" s="82" t="str">
        <x:v>Black</x:v>
      </x:c>
      <x:c r="P100" s="82" t="str">
        <x:v>Thailand</x:v>
      </x:c>
      <x:c r="Q100" s="82" t="str"/>
      <x:c r="R100" s="82" t="str">
        <x:v>Outra linha</x:v>
      </x:c>
      <x:c r="S100" s="82" t="str">
        <x:v>Incomum</x:v>
      </x:c>
      <x:c r="T100" s="82" t="str">
        <x:v>Lançado</x:v>
      </x:c>
      <x:c r="U100" s="82" t="str">
        <x:v>Base code(s): D46</x:v>
      </x:c>
      <x:c r="V100" s="80" t="str">
        <x:v>Coleção principal (~1:64)</x:v>
      </x:c>
      <x:c r="W100" s="82" t="str">
        <x:v>https://hotwheels.fandom.com/wiki/Ferrari_288_GTO</x:v>
      </x:c>
      <x:c r="X100" s="82" t="str">
        <x:v>https://hotwheels.fandom.com/wiki/Ferrari_288_GTO</x:v>
      </x:c>
    </x:row>
    <x:row r="101">
      <x:c r="A101" s="80" t="str">
        <x:v>Não</x:v>
      </x:c>
      <x:c r="B101" s="80" t="str">
        <x:v>2 — Completar aos poucos</x:v>
      </x:c>
      <x:c r="C101" s="81" t="n">
        <x:v>2011</x:v>
      </x:c>
      <x:c r="D101" s="80" t="str">
        <x:v>Ferrari 288 GTO</x:v>
      </x:c>
      <x:c r="E101" s="80" t="str">
        <x:v>Ferrari 288 GTO</x:v>
      </x:c>
      <x:c r="F101" s="82" t="str">
        <x:v>The Hot Ones</x:v>
      </x:c>
      <x:c r="G101" s="80" t="str"/>
      <x:c r="H101" s="80" t="str">
        <x:v>RLBW</x:v>
      </x:c>
      <x:c r="I101" s="83" t="str">
        <x:v>W1585</x:v>
      </x:c>
      <x:c r="J101" s="80" t="str">
        <x:v>Red</x:v>
      </x:c>
      <x:c r="K101" s="82" t="str">
        <x:v>Black, Yellow &amp; white stripes on sides, Yellow &amp; white on hood</x:v>
      </x:c>
      <x:c r="L101" s="82" t="str">
        <x:v>Chase / Also found in Speed Pack 3 10-pack / Base code(s): E21</x:v>
      </x:c>
      <x:c r="M101" s="82" t="str">
        <x:v>Unpainted / / / Metal</x:v>
      </x:c>
      <x:c r="N101" s="82" t="str">
        <x:v>Yellow</x:v>
      </x:c>
      <x:c r="O101" s="82" t="str">
        <x:v>Black</x:v>
      </x:c>
      <x:c r="P101" s="82" t="str">
        <x:v>Thailand</x:v>
      </x:c>
      <x:c r="Q101" s="82" t="str"/>
      <x:c r="R101" s="82" t="str">
        <x:v>Mainline</x:v>
      </x:c>
      <x:c r="S101" s="82" t="str">
        <x:v>Incomum</x:v>
      </x:c>
      <x:c r="T101" s="82" t="str">
        <x:v>Lançado</x:v>
      </x:c>
      <x:c r="U101" s="82" t="str"/>
      <x:c r="V101" s="80" t="str">
        <x:v>Coleção principal (~1:64)</x:v>
      </x:c>
      <x:c r="W101" s="82" t="str">
        <x:v>https://hotwheels.fandom.com/wiki/Ferrari_288_GTO</x:v>
      </x:c>
      <x:c r="X101" s="82" t="str">
        <x:v>https://hotwheels.fandom.com/wiki/Ferrari_288_GTO</x:v>
      </x:c>
    </x:row>
    <x:row r="102">
      <x:c r="A102" s="80" t="str">
        <x:v>Não</x:v>
      </x:c>
      <x:c r="B102" s="80" t="str">
        <x:v>2 — Completar aos poucos</x:v>
      </x:c>
      <x:c r="C102" s="81" t="n">
        <x:v>2011</x:v>
      </x:c>
      <x:c r="D102" s="80" t="str">
        <x:v>Ferrari 308 GTS</x:v>
      </x:c>
      <x:c r="E102" s="80" t="str">
        <x:v>Ferrari 308 GTS</x:v>
      </x:c>
      <x:c r="F102" s="82" t="str">
        <x:v>Hot Wheels Garage: Ferrari / 1/6</x:v>
      </x:c>
      <x:c r="G102" s="80" t="str"/>
      <x:c r="H102" s="80" t="str"/>
      <x:c r="I102" s="83" t="str">
        <x:v>T8263</x:v>
      </x:c>
      <x:c r="J102" s="80" t="str">
        <x:v>Red</x:v>
      </x:c>
      <x:c r="K102" s="82" t="str">
        <x:v>Light and trim details</x:v>
      </x:c>
      <x:c r="L102" s="82" t="str">
        <x:v>RRE</x:v>
      </x:c>
      <x:c r="M102" s="82" t="str">
        <x:v>Satin Metallic Gray / / / Metal</x:v>
      </x:c>
      <x:c r="N102" s="82" t="str">
        <x:v>Tinted</x:v>
      </x:c>
      <x:c r="O102" s="82" t="str">
        <x:v>Black</x:v>
      </x:c>
      <x:c r="P102" s="82" t="str">
        <x:v>Malaysia</x:v>
      </x:c>
      <x:c r="Q102" s="82" t="str"/>
      <x:c r="R102" s="82" t="str">
        <x:v>Outra linha</x:v>
      </x:c>
      <x:c r="S102" s="82" t="str">
        <x:v>Incomum</x:v>
      </x:c>
      <x:c r="T102" s="82" t="str">
        <x:v>Lançado</x:v>
      </x:c>
      <x:c r="U102" s="82" t="str"/>
      <x:c r="V102" s="80" t="str">
        <x:v>Coleção principal (~1:64)</x:v>
      </x:c>
      <x:c r="W102" s="82" t="str">
        <x:v>https://hotwheels.fandom.com/wiki/Ferrari_308_GTS</x:v>
      </x:c>
      <x:c r="X102" s="82" t="str">
        <x:v>https://hotwheels.fandom.com/wiki/Ferrari_308_GTS</x:v>
      </x:c>
    </x:row>
    <x:row r="103">
      <x:c r="A103" s="80" t="str">
        <x:v>Não</x:v>
      </x:c>
      <x:c r="B103" s="80" t="str">
        <x:v>2 — Completar aos poucos</x:v>
      </x:c>
      <x:c r="C103" s="81" t="n">
        <x:v>2011</x:v>
      </x:c>
      <x:c r="D103" s="80" t="str">
        <x:v>Ferrari 308 GTS</x:v>
      </x:c>
      <x:c r="E103" s="80" t="str">
        <x:v>Ferrari 308 GTS</x:v>
      </x:c>
      <x:c r="F103" s="82" t="str">
        <x:v>The Hot Ones</x:v>
      </x:c>
      <x:c r="G103" s="80" t="str"/>
      <x:c r="H103" s="80" t="str"/>
      <x:c r="I103" s="83" t="str">
        <x:v>W1548</x:v>
      </x:c>
      <x:c r="J103" s="80" t="str">
        <x:v>Red</x:v>
      </x:c>
      <x:c r="K103" s="82" t="str">
        <x:v>Yellow stripes, "308" on hood and sides</x:v>
      </x:c>
      <x:c r="L103" s="82" t="str">
        <x:v>Gold BW</x:v>
      </x:c>
      <x:c r="M103" s="82" t="str">
        <x:v>Metal</x:v>
      </x:c>
      <x:c r="N103" s="82" t="str">
        <x:v>tinted</x:v>
      </x:c>
      <x:c r="O103" s="82" t="str">
        <x:v>dark grey</x:v>
      </x:c>
      <x:c r="P103" s="82" t="str">
        <x:v>Thailand</x:v>
      </x:c>
      <x:c r="Q103" s="82" t="str"/>
      <x:c r="R103" s="82" t="str">
        <x:v>Outra linha</x:v>
      </x:c>
      <x:c r="S103" s="82" t="str">
        <x:v>Incomum</x:v>
      </x:c>
      <x:c r="T103" s="82" t="str">
        <x:v>Lançado</x:v>
      </x:c>
      <x:c r="U103" s="82" t="str"/>
      <x:c r="V103" s="80" t="str">
        <x:v>Coleção principal (~1:64)</x:v>
      </x:c>
      <x:c r="W103" s="82" t="str">
        <x:v>https://hotwheels.fandom.com/wiki/Ferrari_308_GTS</x:v>
      </x:c>
      <x:c r="X103" s="82" t="str">
        <x:v>https://hotwheels.fandom.com/wiki/Ferrari_308_GTS</x:v>
      </x:c>
    </x:row>
    <x:row r="104">
      <x:c r="A104" s="80" t="str">
        <x:v>Não</x:v>
      </x:c>
      <x:c r="B104" s="80" t="str">
        <x:v>2 — Completar aos poucos</x:v>
      </x:c>
      <x:c r="C104" s="81" t="n">
        <x:v>2011</x:v>
      </x:c>
      <x:c r="D104" s="80" t="str">
        <x:v>Ferrari 308 GTS</x:v>
      </x:c>
      <x:c r="E104" s="80" t="str">
        <x:v>Ferrari 308 GTS</x:v>
      </x:c>
      <x:c r="F104" s="82" t="str">
        <x:v>The Hot Ones</x:v>
      </x:c>
      <x:c r="G104" s="80" t="str"/>
      <x:c r="H104" s="80" t="str">
        <x:v>Gold BW "the Hot Ones" Redline</x:v>
      </x:c>
      <x:c r="I104" s="83" t="str">
        <x:v>W1548</x:v>
      </x:c>
      <x:c r="J104" s="80" t="str">
        <x:v>Red</x:v>
      </x:c>
      <x:c r="K104" s="82" t="str">
        <x:v>Yellow stripes, "308" on hood and sides</x:v>
      </x:c>
      <x:c r="L104" s="82" t="str">
        <x:v>Chase / Base code(s): E26</x:v>
      </x:c>
      <x:c r="M104" s="82" t="str">
        <x:v>Metal</x:v>
      </x:c>
      <x:c r="N104" s="82" t="str">
        <x:v>tinted</x:v>
      </x:c>
      <x:c r="O104" s="82" t="str">
        <x:v>dark grey</x:v>
      </x:c>
      <x:c r="P104" s="82" t="str">
        <x:v>Thailand</x:v>
      </x:c>
      <x:c r="Q104" s="82" t="str"/>
      <x:c r="R104" s="82" t="str">
        <x:v>Mainline</x:v>
      </x:c>
      <x:c r="S104" s="82" t="str">
        <x:v>Incomum</x:v>
      </x:c>
      <x:c r="T104" s="82" t="str">
        <x:v>Lançado</x:v>
      </x:c>
      <x:c r="U104" s="82" t="str"/>
      <x:c r="V104" s="80" t="str">
        <x:v>Coleção principal (~1:64)</x:v>
      </x:c>
      <x:c r="W104" s="82" t="str">
        <x:v>https://hotwheels.fandom.com/wiki/Ferrari_308_GTS</x:v>
      </x:c>
      <x:c r="X104" s="82" t="str">
        <x:v>https://hotwheels.fandom.com/wiki/Ferrari_308_GTS</x:v>
      </x:c>
    </x:row>
    <x:row r="105">
      <x:c r="A105" s="80" t="str">
        <x:v>Não</x:v>
      </x:c>
      <x:c r="B105" s="80" t="str">
        <x:v>2 — Completar aos poucos</x:v>
      </x:c>
      <x:c r="C105" s="81" t="n">
        <x:v>2011</x:v>
      </x:c>
      <x:c r="D105" s="80" t="str">
        <x:v>Ferrari 330 P4</x:v>
      </x:c>
      <x:c r="E105" s="80" t="str">
        <x:v>Ferrari 330 P4</x:v>
      </x:c>
      <x:c r="F105" s="82" t="str">
        <x:v>Hot Wheels Garage: Ferrari / 2/6</x:v>
      </x:c>
      <x:c r="G105" s="80" t="str"/>
      <x:c r="H105" s="80" t="str"/>
      <x:c r="I105" s="83" t="str">
        <x:v>T8305</x:v>
      </x:c>
      <x:c r="J105" s="80" t="str">
        <x:v>Yellow</x:v>
      </x:c>
      <x:c r="K105" s="82" t="str">
        <x:v>White and Black Stripes, "11" race deco</x:v>
      </x:c>
      <x:c r="L105" s="82" t="str">
        <x:v>RRE</x:v>
      </x:c>
      <x:c r="M105" s="82" t="str">
        <x:v>Metallic Black / / / Metal</x:v>
      </x:c>
      <x:c r="N105" s="82" t="str">
        <x:v>Clear</x:v>
      </x:c>
      <x:c r="O105" s="82" t="str">
        <x:v>Chrome</x:v>
      </x:c>
      <x:c r="P105" s="82" t="str">
        <x:v>Malaysia</x:v>
      </x:c>
      <x:c r="Q105" s="82" t="str"/>
      <x:c r="R105" s="82" t="str">
        <x:v>Outra linha</x:v>
      </x:c>
      <x:c r="S105" s="82" t="str">
        <x:v>Incomum</x:v>
      </x:c>
      <x:c r="T105" s="82" t="str">
        <x:v>Lançado</x:v>
      </x:c>
      <x:c r="U105" s="82" t="str">
        <x:v>Base Code(s):</x:v>
      </x:c>
      <x:c r="V105" s="80" t="str">
        <x:v>Coleção principal (~1:64)</x:v>
      </x:c>
      <x:c r="W105" s="82" t="str">
        <x:v>https://hotwheels.fandom.com/wiki/Ferrari_330_P4</x:v>
      </x:c>
      <x:c r="X105" s="82" t="str">
        <x:v>https://hotwheels.fandom.com/wiki/Ferrari_330_P4</x:v>
      </x:c>
    </x:row>
    <x:row r="106">
      <x:c r="A106" s="80" t="str">
        <x:v>Não</x:v>
      </x:c>
      <x:c r="B106" s="80" t="str">
        <x:v>2 — Completar aos poucos</x:v>
      </x:c>
      <x:c r="C106" s="81" t="n">
        <x:v>2011</x:v>
      </x:c>
      <x:c r="D106" s="80" t="str">
        <x:v>Ferrari 333 SP</x:v>
      </x:c>
      <x:c r="E106" s="80" t="str">
        <x:v>Ferrari 333 SP</x:v>
      </x:c>
      <x:c r="F106" s="82" t="str">
        <x:v>Thrill Racers - Raceway / 4/6</x:v>
      </x:c>
      <x:c r="G106" s="80" t="str"/>
      <x:c r="H106" s="80" t="str">
        <x:v>220/244</x:v>
      </x:c>
      <x:c r="I106" s="83" t="str">
        <x:v>T9927</x:v>
      </x:c>
      <x:c r="J106" s="80" t="str">
        <x:v>Red</x:v>
      </x:c>
      <x:c r="K106" s="82" t="str">
        <x:v>Black &amp; White stripes, "4", Ferrari logo</x:v>
      </x:c>
      <x:c r="L106" s="82" t="str">
        <x:v>PR5</x:v>
      </x:c>
      <x:c r="M106" s="82" t="str">
        <x:v>Black / / / Plastic</x:v>
      </x:c>
      <x:c r="N106" s="82" t="str"/>
      <x:c r="O106" s="82" t="str">
        <x:v>Black</x:v>
      </x:c>
      <x:c r="P106" s="82" t="str">
        <x:v>Malaysia</x:v>
      </x:c>
      <x:c r="Q106" s="82" t="str">
        <x:v>Walmart</x:v>
      </x:c>
      <x:c r="R106" s="82" t="str">
        <x:v>Mainline</x:v>
      </x:c>
      <x:c r="S106" s="82" t="str">
        <x:v>Rara</x:v>
      </x:c>
      <x:c r="T106" s="82" t="str">
        <x:v>Lançado</x:v>
      </x:c>
      <x:c r="U106" s="82" t="str">
        <x:v>Walmart card release includes License Plate sticker / Base code(s): D02, D10</x:v>
      </x:c>
      <x:c r="V106" s="80" t="str">
        <x:v>Coleção principal (~1:64)</x:v>
      </x:c>
      <x:c r="W106" s="82" t="str">
        <x:v>https://hotwheels.fandom.com/wiki/Ferrari_333_SP</x:v>
      </x:c>
      <x:c r="X106" s="82" t="str">
        <x:v>https://hotwheels.fandom.com/wiki/Ferrari_333_SP</x:v>
      </x:c>
    </x:row>
    <x:row r="107">
      <x:c r="A107" s="80" t="str">
        <x:v>Não</x:v>
      </x:c>
      <x:c r="B107" s="80" t="str">
        <x:v>2 — Completar aos poucos</x:v>
      </x:c>
      <x:c r="C107" s="81" t="n">
        <x:v>2011</x:v>
      </x:c>
      <x:c r="D107" s="80" t="str">
        <x:v>Ferrari 365 GTB/4</x:v>
      </x:c>
      <x:c r="E107" s="80" t="str">
        <x:v>Ferrari 365 GTB/4</x:v>
      </x:c>
      <x:c r="F107" s="82" t="str">
        <x:v>Hot Wheels Garage: Ferrari / 3/6</x:v>
      </x:c>
      <x:c r="G107" s="80" t="str"/>
      <x:c r="H107" s="80" t="str"/>
      <x:c r="I107" s="83" t="str">
        <x:v>T8275</x:v>
      </x:c>
      <x:c r="J107" s="80" t="str">
        <x:v>Metallic Blue</x:v>
      </x:c>
      <x:c r="K107" s="82" t="str">
        <x:v>White stripes outlined in Red. Light &amp; trim details.</x:v>
      </x:c>
      <x:c r="L107" s="82" t="str">
        <x:v>RRE</x:v>
      </x:c>
      <x:c r="M107" s="82" t="str">
        <x:v>Unpainted / / / Metal</x:v>
      </x:c>
      <x:c r="N107" s="82" t="str">
        <x:v>Clear</x:v>
      </x:c>
      <x:c r="O107" s="82" t="str">
        <x:v>Red</x:v>
      </x:c>
      <x:c r="P107" s="82" t="str">
        <x:v>Malaysia</x:v>
      </x:c>
      <x:c r="Q107" s="82" t="str"/>
      <x:c r="R107" s="82" t="str">
        <x:v>Outra linha</x:v>
      </x:c>
      <x:c r="S107" s="82" t="str">
        <x:v>Incomum</x:v>
      </x:c>
      <x:c r="T107" s="82" t="str">
        <x:v>Lançado</x:v>
      </x:c>
      <x:c r="U107" s="82" t="str">
        <x:v>Named Ferrari 365 GTB4 Daytona / Base code(s): C47, D27</x:v>
      </x:c>
      <x:c r="V107" s="80" t="str">
        <x:v>Coleção principal (~1:64)</x:v>
      </x:c>
      <x:c r="W107" s="82" t="str">
        <x:v>https://hotwheels.fandom.com/wiki/Ferrari_365_GTB/4</x:v>
      </x:c>
      <x:c r="X107" s="82" t="str">
        <x:v>https://hotwheels.fandom.com/wiki/Ferrari_365_GTB/4</x:v>
      </x:c>
    </x:row>
    <x:row r="108">
      <x:c r="A108" s="80" t="str">
        <x:v>Não</x:v>
      </x:c>
      <x:c r="B108" s="80" t="str">
        <x:v>2 — Completar aos poucos</x:v>
      </x:c>
      <x:c r="C108" s="81" t="n">
        <x:v>2011</x:v>
      </x:c>
      <x:c r="D108" s="80" t="str">
        <x:v>Ferrari 365 GTB/4</x:v>
      </x:c>
      <x:c r="E108" s="80" t="str">
        <x:v>Ferrari 365 GTB/4</x:v>
      </x:c>
      <x:c r="F108" s="82" t="str">
        <x:v>Hot Wheels Garage: Ferrari / 3/6</x:v>
      </x:c>
      <x:c r="G108" s="80" t="str"/>
      <x:c r="H108" s="80" t="str"/>
      <x:c r="I108" s="83" t="str">
        <x:v>T8347</x:v>
      </x:c>
      <x:c r="J108" s="80" t="str">
        <x:v>Red</x:v>
      </x:c>
      <x:c r="K108" s="82" t="str">
        <x:v>Black stripes outlined in White. Light &amp; trim details.</x:v>
      </x:c>
      <x:c r="L108" s="82" t="str">
        <x:v>RRE</x:v>
      </x:c>
      <x:c r="M108" s="82" t="str">
        <x:v>Unpainted / / / Metal</x:v>
      </x:c>
      <x:c r="N108" s="82" t="str">
        <x:v>Clear</x:v>
      </x:c>
      <x:c r="O108" s="82" t="str">
        <x:v>Tan</x:v>
      </x:c>
      <x:c r="P108" s="82" t="str">
        <x:v>Malaysia</x:v>
      </x:c>
      <x:c r="Q108" s="82" t="str"/>
      <x:c r="R108" s="82" t="str">
        <x:v>Outra linha</x:v>
      </x:c>
      <x:c r="S108" s="82" t="str">
        <x:v>Incomum</x:v>
      </x:c>
      <x:c r="T108" s="82" t="str">
        <x:v>Lançado</x:v>
      </x:c>
      <x:c r="U108" s="82" t="str">
        <x:v>Named Ferrari 365 GTB4 Daytona / Base code(s): D39</x:v>
      </x:c>
      <x:c r="V108" s="80" t="str">
        <x:v>Coleção principal (~1:64)</x:v>
      </x:c>
      <x:c r="W108" s="82" t="str">
        <x:v>https://hotwheels.fandom.com/wiki/Ferrari_365_GTB/4</x:v>
      </x:c>
      <x:c r="X108" s="82" t="str">
        <x:v>https://hotwheels.fandom.com/wiki/Ferrari_365_GTB/4</x:v>
      </x:c>
    </x:row>
    <x:row r="109">
      <x:c r="A109" s="80" t="str">
        <x:v>Não</x:v>
      </x:c>
      <x:c r="B109" s="80" t="str">
        <x:v>2 — Completar aos poucos</x:v>
      </x:c>
      <x:c r="C109" s="81" t="n">
        <x:v>2011</x:v>
      </x:c>
      <x:c r="D109" s="80" t="str">
        <x:v>Ferrari 430 Scuderia</x:v>
      </x:c>
      <x:c r="E109" s="80" t="str">
        <x:v>Ferrari 430 Scuderia</x:v>
      </x:c>
      <x:c r="F109" s="82" t="str">
        <x:v>Ferrari 5-Pack</x:v>
      </x:c>
      <x:c r="G109" s="80" t="str"/>
      <x:c r="H109" s="80" t="str"/>
      <x:c r="I109" s="83" t="str">
        <x:v>T8629</x:v>
      </x:c>
      <x:c r="J109" s="80" t="str">
        <x:v>Red</x:v>
      </x:c>
      <x:c r="K109" s="82" t="str">
        <x:v>Grey Stripes</x:v>
      </x:c>
      <x:c r="L109" s="82" t="str">
        <x:v>Gold PR5</x:v>
      </x:c>
      <x:c r="M109" s="82" t="str">
        <x:v>Black / / / Plastic</x:v>
      </x:c>
      <x:c r="N109" s="82" t="str">
        <x:v>Clear</x:v>
      </x:c>
      <x:c r="O109" s="82" t="str">
        <x:v>Black</x:v>
      </x:c>
      <x:c r="P109" s="82" t="str">
        <x:v>Thailand</x:v>
      </x:c>
      <x:c r="Q109" s="82" t="str"/>
      <x:c r="R109" s="82" t="str">
        <x:v>Temática / multipack</x:v>
      </x:c>
      <x:c r="S109" s="82" t="str">
        <x:v>Incomum</x:v>
      </x:c>
      <x:c r="T109" s="82" t="str">
        <x:v>Lançado</x:v>
      </x:c>
      <x:c r="U109" s="82" t="str">
        <x:v>Base codes: C40, C48, D02</x:v>
      </x:c>
      <x:c r="V109" s="80" t="str">
        <x:v>Coleção principal (~1:64)</x:v>
      </x:c>
      <x:c r="W109" s="82" t="str">
        <x:v>https://hotwheels.fandom.com/wiki/Ferrari_430_Scuderia</x:v>
      </x:c>
      <x:c r="X109" s="82" t="str">
        <x:v>https://hotwheels.fandom.com/wiki/Ferrari_430_Scuderia</x:v>
      </x:c>
    </x:row>
    <x:row r="110">
      <x:c r="A110" s="80" t="str">
        <x:v>Não</x:v>
      </x:c>
      <x:c r="B110" s="80" t="str">
        <x:v>2 — Completar aos poucos</x:v>
      </x:c>
      <x:c r="C110" s="81" t="n">
        <x:v>2011</x:v>
      </x:c>
      <x:c r="D110" s="80" t="str">
        <x:v>Ferrari 458 Italia</x:v>
      </x:c>
      <x:c r="E110" s="80" t="str">
        <x:v>Ferrari 458 Italia</x:v>
      </x:c>
      <x:c r="F110" s="82" t="str">
        <x:v>Faster Than Ever / 6/10</x:v>
      </x:c>
      <x:c r="G110" s="80" t="str"/>
      <x:c r="H110" s="80" t="str">
        <x:v>146/244</x:v>
      </x:c>
      <x:c r="I110" s="83" t="str">
        <x:v>V0008</x:v>
      </x:c>
      <x:c r="J110" s="80" t="str">
        <x:v>Metallic Blue</x:v>
      </x:c>
      <x:c r="K110" s="82" t="str">
        <x:v>Light &amp; trim details</x:v>
      </x:c>
      <x:c r="L110" s="82" t="str">
        <x:v>FTE</x:v>
      </x:c>
      <x:c r="M110" s="82" t="str">
        <x:v>Black / / / Plastic</x:v>
      </x:c>
      <x:c r="N110" s="82" t="str">
        <x:v>Clear</x:v>
      </x:c>
      <x:c r="O110" s="82" t="str">
        <x:v>Black</x:v>
      </x:c>
      <x:c r="P110" s="82" t="str">
        <x:v>Malaysia</x:v>
      </x:c>
      <x:c r="Q110" s="82" t="str"/>
      <x:c r="R110" s="82" t="str">
        <x:v>Mainline</x:v>
      </x:c>
      <x:c r="S110" s="82" t="str">
        <x:v>Incomum</x:v>
      </x:c>
      <x:c r="T110" s="82" t="str">
        <x:v>Lançado</x:v>
      </x:c>
      <x:c r="U110" s="82" t="str">
        <x:v>Base code(s): D14, D20, D21, D22, D23, D24</x:v>
      </x:c>
      <x:c r="V110" s="80" t="str">
        <x:v>Coleção principal (~1:64)</x:v>
      </x:c>
      <x:c r="W110" s="82" t="str">
        <x:v>https://hotwheels.fandom.com/wiki/Ferrari_458_Italia</x:v>
      </x:c>
      <x:c r="X110" s="82" t="str">
        <x:v>https://hotwheels.fandom.com/wiki/Ferrari_458_Italia</x:v>
      </x:c>
    </x:row>
    <x:row r="111">
      <x:c r="A111" s="80" t="str">
        <x:v>Não</x:v>
      </x:c>
      <x:c r="B111" s="80" t="str">
        <x:v>2 — Completar aos poucos</x:v>
      </x:c>
      <x:c r="C111" s="81" t="n">
        <x:v>2011</x:v>
      </x:c>
      <x:c r="D111" s="80" t="str">
        <x:v>Ferrari 458 Italia</x:v>
      </x:c>
      <x:c r="E111" s="80" t="str">
        <x:v>Ferrari 458 Italia</x:v>
      </x:c>
      <x:c r="F111" s="82" t="str">
        <x:v>Faster Than Ever / 6/10</x:v>
      </x:c>
      <x:c r="G111" s="80" t="str"/>
      <x:c r="H111" s="80" t="str">
        <x:v>146/244</x:v>
      </x:c>
      <x:c r="I111" s="83" t="str">
        <x:v>T9853</x:v>
      </x:c>
      <x:c r="J111" s="80" t="str">
        <x:v>Metallic Gray</x:v>
      </x:c>
      <x:c r="K111" s="82" t="str">
        <x:v>Light &amp; trim details</x:v>
      </x:c>
      <x:c r="L111" s="82" t="str">
        <x:v>FTE</x:v>
      </x:c>
      <x:c r="M111" s="82" t="str">
        <x:v>Black / / / Plastic</x:v>
      </x:c>
      <x:c r="N111" s="82" t="str">
        <x:v>Clear</x:v>
      </x:c>
      <x:c r="O111" s="82" t="str">
        <x:v>Black</x:v>
      </x:c>
      <x:c r="P111" s="82" t="str">
        <x:v>Malaysia</x:v>
      </x:c>
      <x:c r="Q111" s="82" t="str"/>
      <x:c r="R111" s="82" t="str">
        <x:v>Mainline</x:v>
      </x:c>
      <x:c r="S111" s="82" t="str">
        <x:v>Incomum</x:v>
      </x:c>
      <x:c r="T111" s="82" t="str">
        <x:v>Lançado</x:v>
      </x:c>
      <x:c r="U111" s="82" t="str">
        <x:v>Base code(s): C52, D06, D08, D09, D10</x:v>
      </x:c>
      <x:c r="V111" s="80" t="str">
        <x:v>Coleção principal (~1:64)</x:v>
      </x:c>
      <x:c r="W111" s="82" t="str">
        <x:v>https://hotwheels.fandom.com/wiki/Ferrari_458_Italia</x:v>
      </x:c>
      <x:c r="X111" s="82" t="str">
        <x:v>https://hotwheels.fandom.com/wiki/Ferrari_458_Italia</x:v>
      </x:c>
    </x:row>
    <x:row r="112">
      <x:c r="A112" s="80" t="str">
        <x:v>Não</x:v>
      </x:c>
      <x:c r="B112" s="80" t="str">
        <x:v>2 — Completar aos poucos</x:v>
      </x:c>
      <x:c r="C112" s="81" t="n">
        <x:v>2011</x:v>
      </x:c>
      <x:c r="D112" s="80" t="str">
        <x:v>Ferrari 458 Italia</x:v>
      </x:c>
      <x:c r="E112" s="80" t="str">
        <x:v>Ferrari 458 Italia</x:v>
      </x:c>
      <x:c r="F112" s="82" t="str">
        <x:v>Faster Than Ever / 6/10</x:v>
      </x:c>
      <x:c r="G112" s="80" t="str"/>
      <x:c r="H112" s="80" t="str">
        <x:v>146/244</x:v>
      </x:c>
      <x:c r="I112" s="83" t="str">
        <x:v>T9853</x:v>
      </x:c>
      <x:c r="J112" s="80" t="str">
        <x:v>Metallic Gray</x:v>
      </x:c>
      <x:c r="K112" s="82" t="str">
        <x:v>Light &amp; trim details</x:v>
      </x:c>
      <x:c r="L112" s="82" t="str">
        <x:v>OH5</x:v>
      </x:c>
      <x:c r="M112" s="82" t="str">
        <x:v>Black / / / Plastic</x:v>
      </x:c>
      <x:c r="N112" s="82" t="str">
        <x:v>Clear</x:v>
      </x:c>
      <x:c r="O112" s="82" t="str">
        <x:v>Black</x:v>
      </x:c>
      <x:c r="P112" s="82" t="str">
        <x:v>Malaysia</x:v>
      </x:c>
      <x:c r="Q112" s="82" t="str"/>
      <x:c r="R112" s="82" t="str">
        <x:v>Temática / multipack</x:v>
      </x:c>
      <x:c r="S112" s="82" t="str">
        <x:v>Incomum</x:v>
      </x:c>
      <x:c r="T112" s="82" t="str">
        <x:v>Lançado</x:v>
      </x:c>
      <x:c r="U112" s="82" t="str">
        <x:v>Found in Multipacks / Base code(s):</x:v>
      </x:c>
      <x:c r="V112" s="80" t="str">
        <x:v>Coleção principal (~1:64)</x:v>
      </x:c>
      <x:c r="W112" s="82" t="str">
        <x:v>https://hotwheels.fandom.com/wiki/Ferrari_458_Italia</x:v>
      </x:c>
      <x:c r="X112" s="82" t="str">
        <x:v>https://hotwheels.fandom.com/wiki/Ferrari_458_Italia</x:v>
      </x:c>
    </x:row>
    <x:row r="113">
      <x:c r="A113" s="80" t="str">
        <x:v>Não</x:v>
      </x:c>
      <x:c r="B113" s="80" t="str">
        <x:v>2 — Completar aos poucos</x:v>
      </x:c>
      <x:c r="C113" s="81" t="n">
        <x:v>2011</x:v>
      </x:c>
      <x:c r="D113" s="80" t="str">
        <x:v>Ferrari 512 M</x:v>
      </x:c>
      <x:c r="E113" s="80" t="str">
        <x:v>Ferrari 512 M</x:v>
      </x:c>
      <x:c r="F113" s="82" t="str">
        <x:v>Hot Wheels Garage: Ferrari / 6/6</x:v>
      </x:c>
      <x:c r="G113" s="80" t="str"/>
      <x:c r="H113" s="80" t="str"/>
      <x:c r="I113" s="83" t="str">
        <x:v>T8301</x:v>
      </x:c>
      <x:c r="J113" s="80" t="str">
        <x:v>Red</x:v>
      </x:c>
      <x:c r="K113" s="82" t="str">
        <x:v>Ferrari emblems, White &amp; Green tampos w/ "5"</x:v>
      </x:c>
      <x:c r="L113" s="82" t="str">
        <x:v>Chrome rim, Gray RRE</x:v>
      </x:c>
      <x:c r="M113" s="82" t="str">
        <x:v>White / / / Metal</x:v>
      </x:c>
      <x:c r="N113" s="82" t="str">
        <x:v>Clear</x:v>
      </x:c>
      <x:c r="O113" s="82" t="str">
        <x:v>Chrome</x:v>
      </x:c>
      <x:c r="P113" s="82" t="str">
        <x:v>Malaysia</x:v>
      </x:c>
      <x:c r="Q113" s="82" t="str"/>
      <x:c r="R113" s="82" t="str">
        <x:v>Outra linha</x:v>
      </x:c>
      <x:c r="S113" s="82" t="str">
        <x:v>Incomum</x:v>
      </x:c>
      <x:c r="T113" s="82" t="str">
        <x:v>Lançado</x:v>
      </x:c>
      <x:c r="U113" s="82" t="str">
        <x:v>Base code(s):</x:v>
      </x:c>
      <x:c r="V113" s="80" t="str">
        <x:v>Coleção principal (~1:64)</x:v>
      </x:c>
      <x:c r="W113" s="82" t="str">
        <x:v>https://hotwheels.fandom.com/wiki/Ferrari_512_M</x:v>
      </x:c>
      <x:c r="X113" s="82" t="str">
        <x:v>https://hotwheels.fandom.com/wiki/Ferrari_512_M</x:v>
      </x:c>
    </x:row>
    <x:row r="114">
      <x:c r="A114" s="80" t="str">
        <x:v>Não</x:v>
      </x:c>
      <x:c r="B114" s="80" t="str">
        <x:v>2 — Completar aos poucos</x:v>
      </x:c>
      <x:c r="C114" s="81" t="n">
        <x:v>2011</x:v>
      </x:c>
      <x:c r="D114" s="80" t="str">
        <x:v>Ferrari 550 Maranello</x:v>
      </x:c>
      <x:c r="E114" s="80" t="str">
        <x:v>Ferrari 550 Maranello</x:v>
      </x:c>
      <x:c r="F114" s="82" t="str">
        <x:v>Speed Machines</x:v>
      </x:c>
      <x:c r="G114" s="80" t="str"/>
      <x:c r="H114" s="80" t="str"/>
      <x:c r="I114" s="83" t="str"/>
      <x:c r="J114" s="80" t="str">
        <x:v>Silver</x:v>
      </x:c>
      <x:c r="K114" s="82" t="str">
        <x:v>Ferrari logo on sides</x:v>
      </x:c>
      <x:c r="L114" s="82" t="str">
        <x:v>Chrome Rim, CM6</x:v>
      </x:c>
      <x:c r="M114" s="82" t="str">
        <x:v>Unpainted / / / Metal</x:v>
      </x:c>
      <x:c r="N114" s="82" t="str">
        <x:v>Smoked</x:v>
      </x:c>
      <x:c r="O114" s="82" t="str">
        <x:v>Tan</x:v>
      </x:c>
      <x:c r="P114" s="82" t="str">
        <x:v>Thailand</x:v>
      </x:c>
      <x:c r="Q114" s="82" t="str"/>
      <x:c r="R114" s="82" t="str">
        <x:v>Premium</x:v>
      </x:c>
      <x:c r="S114" s="82" t="str">
        <x:v>Incomum</x:v>
      </x:c>
      <x:c r="T114" s="82" t="str">
        <x:v>Lançado</x:v>
      </x:c>
      <x:c r="U114" s="82" t="str"/>
      <x:c r="V114" s="80" t="str">
        <x:v>Coleção principal (~1:64)</x:v>
      </x:c>
      <x:c r="W114" s="82" t="str">
        <x:v>https://hotwheels.fandom.com/wiki/Ferrari_550_Maranello</x:v>
      </x:c>
      <x:c r="X114" s="82" t="str">
        <x:v>https://hotwheels.fandom.com/wiki/Ferrari_550_Maranello</x:v>
      </x:c>
    </x:row>
    <x:row r="115">
      <x:c r="A115" s="80" t="str">
        <x:v>Não</x:v>
      </x:c>
      <x:c r="B115" s="80" t="str">
        <x:v>2 — Completar aos poucos</x:v>
      </x:c>
      <x:c r="C115" s="81" t="n">
        <x:v>2011</x:v>
      </x:c>
      <x:c r="D115" s="80" t="str">
        <x:v>Ferrari 575 GTC</x:v>
      </x:c>
      <x:c r="E115" s="80" t="str">
        <x:v>Ferrari 575 GTC</x:v>
      </x:c>
      <x:c r="F115" s="82" t="str">
        <x:v>Ferrari 5-Pack</x:v>
      </x:c>
      <x:c r="G115" s="80" t="str"/>
      <x:c r="H115" s="80" t="str"/>
      <x:c r="I115" s="83" t="str">
        <x:v>T8629</x:v>
      </x:c>
      <x:c r="J115" s="80" t="str">
        <x:v>Yellow</x:v>
      </x:c>
      <x:c r="K115" s="82" t="str">
        <x:v>Black &amp; White tampos with "57" on hood &amp; "57" &amp; Ferrari emblem on sides</x:v>
      </x:c>
      <x:c r="L115" s="82" t="str">
        <x:v>10SP</x:v>
      </x:c>
      <x:c r="M115" s="82" t="str">
        <x:v>Unpainted / / / Metal</x:v>
      </x:c>
      <x:c r="N115" s="82" t="str">
        <x:v>Clear</x:v>
      </x:c>
      <x:c r="O115" s="82" t="str">
        <x:v>Grey</x:v>
      </x:c>
      <x:c r="P115" s="82" t="str">
        <x:v>Thailand</x:v>
      </x:c>
      <x:c r="Q115" s="82" t="str"/>
      <x:c r="R115" s="82" t="str">
        <x:v>Temática / multipack</x:v>
      </x:c>
      <x:c r="S115" s="82" t="str">
        <x:v>Incomum</x:v>
      </x:c>
      <x:c r="T115" s="82" t="str">
        <x:v>Lançado</x:v>
      </x:c>
      <x:c r="U115" s="82" t="str">
        <x:v>Base code(s): C40, C50, D02</x:v>
      </x:c>
      <x:c r="V115" s="80" t="str">
        <x:v>Coleção principal (~1:64)</x:v>
      </x:c>
      <x:c r="W115" s="82" t="str">
        <x:v>https://hotwheels.fandom.com/wiki/Ferrari_575_GTC</x:v>
      </x:c>
      <x:c r="X115" s="82" t="str">
        <x:v>https://hotwheels.fandom.com/wiki/Ferrari_575_GTC</x:v>
      </x:c>
    </x:row>
    <x:row r="116">
      <x:c r="A116" s="80" t="str">
        <x:v>Não</x:v>
      </x:c>
      <x:c r="B116" s="80" t="str">
        <x:v>2 — Completar aos poucos</x:v>
      </x:c>
      <x:c r="C116" s="81" t="n">
        <x:v>2011</x:v>
      </x:c>
      <x:c r="D116" s="80" t="str">
        <x:v>Ferrari 599 GTB Fiorano</x:v>
      </x:c>
      <x:c r="E116" s="80" t="str">
        <x:v>Ferrari 599 GTB Fiorano</x:v>
      </x:c>
      <x:c r="F116" s="82" t="str">
        <x:v>Ferrari 5-Pack</x:v>
      </x:c>
      <x:c r="G116" s="80" t="str"/>
      <x:c r="H116" s="80" t="str"/>
      <x:c r="I116" s="83" t="str">
        <x:v>T8629</x:v>
      </x:c>
      <x:c r="J116" s="80" t="str">
        <x:v>Red</x:v>
      </x:c>
      <x:c r="K116" s="82" t="str">
        <x:v>Black stripe on sides and hood, Ferrari emblems on sides and hood</x:v>
      </x:c>
      <x:c r="L116" s="82" t="str">
        <x:v>PR5</x:v>
      </x:c>
      <x:c r="M116" s="82" t="str">
        <x:v>Black / / / Plastic</x:v>
      </x:c>
      <x:c r="N116" s="82" t="str">
        <x:v>Clear</x:v>
      </x:c>
      <x:c r="O116" s="82" t="str">
        <x:v>Beige</x:v>
      </x:c>
      <x:c r="P116" s="82" t="str">
        <x:v>Thailand</x:v>
      </x:c>
      <x:c r="Q116" s="82" t="str"/>
      <x:c r="R116" s="82" t="str">
        <x:v>Temática / multipack</x:v>
      </x:c>
      <x:c r="S116" s="82" t="str">
        <x:v>Incomum</x:v>
      </x:c>
      <x:c r="T116" s="82" t="str">
        <x:v>Lançado</x:v>
      </x:c>
      <x:c r="U116" s="82" t="str">
        <x:v>Base code(s): C40, C47, D02</x:v>
      </x:c>
      <x:c r="V116" s="80" t="str">
        <x:v>Coleção principal (~1:64)</x:v>
      </x:c>
      <x:c r="W116" s="82" t="str">
        <x:v>https://hotwheels.fandom.com/wiki/Ferrari_599_GTB_Fiorano</x:v>
      </x:c>
      <x:c r="X116" s="82" t="str">
        <x:v>https://hotwheels.fandom.com/wiki/Ferrari_599_GTB_Fiorano</x:v>
      </x:c>
    </x:row>
    <x:row r="117">
      <x:c r="A117" s="80" t="str">
        <x:v>Não</x:v>
      </x:c>
      <x:c r="B117" s="80" t="str">
        <x:v>2 — Completar aos poucos</x:v>
      </x:c>
      <x:c r="C117" s="81" t="n">
        <x:v>2011</x:v>
      </x:c>
      <x:c r="D117" s="80" t="str">
        <x:v>Ferrari 599XX</x:v>
      </x:c>
      <x:c r="E117" s="80" t="str">
        <x:v>Ferrari 599XX</x:v>
      </x:c>
      <x:c r="F117" s="82" t="str">
        <x:v>Speed Machines</x:v>
      </x:c>
      <x:c r="G117" s="80" t="str"/>
      <x:c r="H117" s="80" t="str"/>
      <x:c r="I117" s="83" t="str">
        <x:v>W2319</x:v>
      </x:c>
      <x:c r="J117" s="80" t="str">
        <x:v>ZAMAC</x:v>
      </x:c>
      <x:c r="K117" s="82" t="str">
        <x:v>Ferrari emblems, and trim details, Red and Black stripes</x:v>
      </x:c>
      <x:c r="L117" s="82" t="str">
        <x:v>CM6</x:v>
      </x:c>
      <x:c r="M117" s="82" t="str">
        <x:v>Black / / / Plastic</x:v>
      </x:c>
      <x:c r="N117" s="82" t="str">
        <x:v>Clear</x:v>
      </x:c>
      <x:c r="O117" s="82" t="str">
        <x:v>Black</x:v>
      </x:c>
      <x:c r="P117" s="82" t="str">
        <x:v>Thailand</x:v>
      </x:c>
      <x:c r="Q117" s="82" t="str">
        <x:v>ZAMAC</x:v>
      </x:c>
      <x:c r="R117" s="82" t="str">
        <x:v>Premium</x:v>
      </x:c>
      <x:c r="S117" s="82" t="str">
        <x:v>Rara</x:v>
      </x:c>
      <x:c r="T117" s="82" t="str">
        <x:v>Lançado</x:v>
      </x:c>
      <x:c r="U117" s="82" t="str">
        <x:v>Base code(s): D35</x:v>
      </x:c>
      <x:c r="V117" s="80" t="str">
        <x:v>Coleção principal (~1:64)</x:v>
      </x:c>
      <x:c r="W117" s="82" t="str">
        <x:v>https://hotwheels.fandom.com/wiki/Ferrari_599XX</x:v>
      </x:c>
      <x:c r="X117" s="82" t="str">
        <x:v>https://hotwheels.fandom.com/wiki/Ferrari_599XX</x:v>
      </x:c>
    </x:row>
    <x:row r="118">
      <x:c r="A118" s="80" t="str">
        <x:v>Não</x:v>
      </x:c>
      <x:c r="B118" s="80" t="str">
        <x:v>2 — Completar aos poucos</x:v>
      </x:c>
      <x:c r="C118" s="81" t="n">
        <x:v>2011</x:v>
      </x:c>
      <x:c r="D118" s="80" t="str">
        <x:v>Ferrari 612 Scaglietti</x:v>
      </x:c>
      <x:c r="E118" s="80" t="str">
        <x:v>Ferrari 612 Scaglietti</x:v>
      </x:c>
      <x:c r="F118" s="82" t="str">
        <x:v>Speed Machines</x:v>
      </x:c>
      <x:c r="G118" s="80" t="str"/>
      <x:c r="H118" s="80" t="str"/>
      <x:c r="I118" s="83" t="str">
        <x:v>W2313</x:v>
      </x:c>
      <x:c r="J118" s="80" t="str">
        <x:v>Giallo Modena</x:v>
      </x:c>
      <x:c r="K118" s="82" t="str">
        <x:v>Painted front rear lights, Ferrari badges on sides trim details.</x:v>
      </x:c>
      <x:c r="L118" s="82" t="str">
        <x:v>Gray CM6</x:v>
      </x:c>
      <x:c r="M118" s="82" t="str">
        <x:v>Black / / / Plastic</x:v>
      </x:c>
      <x:c r="N118" s="82" t="str">
        <x:v>Tinted</x:v>
      </x:c>
      <x:c r="O118" s="82" t="str">
        <x:v>Gray</x:v>
      </x:c>
      <x:c r="P118" s="82" t="str">
        <x:v>Thailand</x:v>
      </x:c>
      <x:c r="Q118" s="82" t="str"/>
      <x:c r="R118" s="82" t="str">
        <x:v>Premium</x:v>
      </x:c>
      <x:c r="S118" s="82" t="str">
        <x:v>Incomum</x:v>
      </x:c>
      <x:c r="T118" s="82" t="str">
        <x:v>Lançado</x:v>
      </x:c>
      <x:c r="U118" s="82" t="str"/>
      <x:c r="V118" s="80" t="str">
        <x:v>Coleção principal (~1:64)</x:v>
      </x:c>
      <x:c r="W118" s="82" t="str">
        <x:v>https://hotwheels.fandom.com/wiki/Ferrari_612_Scaglietti</x:v>
      </x:c>
      <x:c r="X118" s="82" t="str">
        <x:v>https://hotwheels.fandom.com/wiki/Ferrari_612_Scaglietti</x:v>
      </x:c>
    </x:row>
    <x:row r="119">
      <x:c r="A119" s="80" t="str">
        <x:v>Não</x:v>
      </x:c>
      <x:c r="B119" s="80" t="str">
        <x:v>2 — Completar aos poucos</x:v>
      </x:c>
      <x:c r="C119" s="81" t="n">
        <x:v>2011</x:v>
      </x:c>
      <x:c r="D119" s="80" t="str">
        <x:v>Ferrari California</x:v>
      </x:c>
      <x:c r="E119" s="80" t="str">
        <x:v>Ferrari California</x:v>
      </x:c>
      <x:c r="F119" s="82" t="str">
        <x:v>Faster Than Ever / 5/10</x:v>
      </x:c>
      <x:c r="G119" s="80" t="str"/>
      <x:c r="H119" s="80" t="str">
        <x:v>145/244</x:v>
      </x:c>
      <x:c r="I119" s="83" t="str">
        <x:v>T9852</x:v>
      </x:c>
      <x:c r="J119" s="80" t="str">
        <x:v>Black</x:v>
      </x:c>
      <x:c r="K119" s="82" t="str">
        <x:v>Trim, Emblem and Light Details</x:v>
      </x:c>
      <x:c r="L119" s="82" t="str">
        <x:v>FTE</x:v>
      </x:c>
      <x:c r="M119" s="82" t="str">
        <x:v>Black / / / Plastic</x:v>
      </x:c>
      <x:c r="N119" s="82" t="str">
        <x:v>Clear</x:v>
      </x:c>
      <x:c r="O119" s="82" t="str">
        <x:v>Beige</x:v>
      </x:c>
      <x:c r="P119" s="82" t="str">
        <x:v>Malaysia</x:v>
      </x:c>
      <x:c r="Q119" s="82" t="str"/>
      <x:c r="R119" s="82" t="str">
        <x:v>Mainline</x:v>
      </x:c>
      <x:c r="S119" s="82" t="str">
        <x:v>Incomum</x:v>
      </x:c>
      <x:c r="T119" s="82" t="str">
        <x:v>Lançado</x:v>
      </x:c>
      <x:c r="U119" s="82" t="str">
        <x:v>Base code(s): D11, D10, D13</x:v>
      </x:c>
      <x:c r="V119" s="80" t="str">
        <x:v>Coleção principal (~1:64)</x:v>
      </x:c>
      <x:c r="W119" s="82" t="str">
        <x:v>https://hotwheels.fandom.com/wiki/Ferrari_California</x:v>
      </x:c>
      <x:c r="X119" s="82" t="str">
        <x:v>https://hotwheels.fandom.com/wiki/Ferrari_California</x:v>
      </x:c>
    </x:row>
    <x:row r="120">
      <x:c r="A120" s="80" t="str">
        <x:v>Não</x:v>
      </x:c>
      <x:c r="B120" s="80" t="str">
        <x:v>2 — Completar aos poucos</x:v>
      </x:c>
      <x:c r="C120" s="81" t="n">
        <x:v>2011</x:v>
      </x:c>
      <x:c r="D120" s="80" t="str">
        <x:v>Ferrari California</x:v>
      </x:c>
      <x:c r="E120" s="80" t="str">
        <x:v>Ferrari California</x:v>
      </x:c>
      <x:c r="F120" s="82" t="str">
        <x:v>Faster Than Ever / 5/10</x:v>
      </x:c>
      <x:c r="G120" s="80" t="str"/>
      <x:c r="H120" s="80" t="str">
        <x:v>145/244</x:v>
      </x:c>
      <x:c r="I120" s="83" t="str">
        <x:v>V0043</x:v>
      </x:c>
      <x:c r="J120" s="80" t="str">
        <x:v>Red</x:v>
      </x:c>
      <x:c r="K120" s="82" t="str">
        <x:v>Trim, Emblem and Light Details</x:v>
      </x:c>
      <x:c r="L120" s="82" t="str">
        <x:v>FTE2</x:v>
      </x:c>
      <x:c r="M120" s="82" t="str">
        <x:v>Black / / / Plastic</x:v>
      </x:c>
      <x:c r="N120" s="82" t="str">
        <x:v>Clear</x:v>
      </x:c>
      <x:c r="O120" s="82" t="str">
        <x:v>Beige</x:v>
      </x:c>
      <x:c r="P120" s="82" t="str">
        <x:v>Malaysia</x:v>
      </x:c>
      <x:c r="Q120" s="82" t="str"/>
      <x:c r="R120" s="82" t="str">
        <x:v>Mainline</x:v>
      </x:c>
      <x:c r="S120" s="82" t="str">
        <x:v>Incomum</x:v>
      </x:c>
      <x:c r="T120" s="82" t="str">
        <x:v>Lançado</x:v>
      </x:c>
      <x:c r="U120" s="82" t="str">
        <x:v>Base code(s): D25, D33</x:v>
      </x:c>
      <x:c r="V120" s="80" t="str">
        <x:v>Coleção principal (~1:64)</x:v>
      </x:c>
      <x:c r="W120" s="82" t="str">
        <x:v>https://hotwheels.fandom.com/wiki/Ferrari_California</x:v>
      </x:c>
      <x:c r="X120" s="82" t="str">
        <x:v>https://hotwheels.fandom.com/wiki/Ferrari_California</x:v>
      </x:c>
    </x:row>
    <x:row r="121">
      <x:c r="A121" s="80" t="str">
        <x:v>Não</x:v>
      </x:c>
      <x:c r="B121" s="80" t="str">
        <x:v>2 — Completar aos poucos</x:v>
      </x:c>
      <x:c r="C121" s="81" t="n">
        <x:v>2011</x:v>
      </x:c>
      <x:c r="D121" s="80" t="str">
        <x:v>Ferrari Dino 246 GTS</x:v>
      </x:c>
      <x:c r="E121" s="80" t="str">
        <x:v>Ferrari Dino 246 GTS</x:v>
      </x:c>
      <x:c r="F121" s="82" t="str">
        <x:v>Hot Wheels Garage: Ferrari / 4/6</x:v>
      </x:c>
      <x:c r="G121" s="80" t="str"/>
      <x:c r="H121" s="80" t="str"/>
      <x:c r="I121" s="83" t="str">
        <x:v>T8280</x:v>
      </x:c>
      <x:c r="J121" s="80" t="str">
        <x:v>Metallic Black</x:v>
      </x:c>
      <x:c r="K121" s="82" t="str">
        <x:v>Gray Dino GT trunk, detailed headlights &amp; taillights, Dino in a yellow square on hood, buumpers in gray</x:v>
      </x:c>
      <x:c r="L121" s="82" t="str">
        <x:v>RRPrf</x:v>
      </x:c>
      <x:c r="M121" s="82" t="str">
        <x:v>Metallic Black / / / Metal</x:v>
      </x:c>
      <x:c r="N121" s="82" t="str">
        <x:v>Clear</x:v>
      </x:c>
      <x:c r="O121" s="82" t="str">
        <x:v>Light Brown</x:v>
      </x:c>
      <x:c r="P121" s="82" t="str">
        <x:v>Malaysia</x:v>
      </x:c>
      <x:c r="Q121" s="82" t="str"/>
      <x:c r="R121" s="82" t="str">
        <x:v>Outra linha</x:v>
      </x:c>
      <x:c r="S121" s="82" t="str">
        <x:v>Incomum</x:v>
      </x:c>
      <x:c r="T121" s="82" t="str">
        <x:v>Lançado</x:v>
      </x:c>
      <x:c r="U121" s="82" t="str">
        <x:v>Base Code(s): C47</x:v>
      </x:c>
      <x:c r="V121" s="80" t="str">
        <x:v>Coleção principal (~1:64)</x:v>
      </x:c>
      <x:c r="W121" s="82" t="str">
        <x:v>https://hotwheels.fandom.com/wiki/Ferrari_Dino_246_GTS</x:v>
      </x:c>
      <x:c r="X121" s="82" t="str">
        <x:v>https://hotwheels.fandom.com/wiki/Ferrari_Dino_246_GTS</x:v>
      </x:c>
    </x:row>
    <x:row r="122">
      <x:c r="A122" s="80" t="str">
        <x:v>Não</x:v>
      </x:c>
      <x:c r="B122" s="80" t="str">
        <x:v>2 — Completar aos poucos</x:v>
      </x:c>
      <x:c r="C122" s="81" t="n">
        <x:v>2011</x:v>
      </x:c>
      <x:c r="D122" s="80" t="str">
        <x:v>Ferrari F40</x:v>
      </x:c>
      <x:c r="E122" s="80" t="str">
        <x:v>Ferrari F40</x:v>
      </x:c>
      <x:c r="F122" s="82" t="str">
        <x:v>The Hot Ones</x:v>
      </x:c>
      <x:c r="G122" s="80" t="str"/>
      <x:c r="H122" s="80" t="str"/>
      <x:c r="I122" s="83" t="str">
        <x:v>W1542</x:v>
      </x:c>
      <x:c r="J122" s="80" t="str">
        <x:v>Metalflake Dark Blue</x:v>
      </x:c>
      <x:c r="K122" s="82" t="str">
        <x:v>Red &amp; Yellow tampos, White Racing Deco "4"</x:v>
      </x:c>
      <x:c r="L122" s="82" t="str">
        <x:v>Gold HO</x:v>
      </x:c>
      <x:c r="M122" s="82" t="str">
        <x:v>ZAMAC</x:v>
      </x:c>
      <x:c r="N122" s="82" t="str">
        <x:v>Clear</x:v>
      </x:c>
      <x:c r="O122" s="82" t="str">
        <x:v>Dark Gray</x:v>
      </x:c>
      <x:c r="P122" s="82" t="str">
        <x:v>Thailand</x:v>
      </x:c>
      <x:c r="Q122" s="82" t="str"/>
      <x:c r="R122" s="82" t="str">
        <x:v>Outra linha</x:v>
      </x:c>
      <x:c r="S122" s="82" t="str">
        <x:v>Incomum</x:v>
      </x:c>
      <x:c r="T122" s="82" t="str">
        <x:v>Lançado</x:v>
      </x:c>
      <x:c r="U122" s="82" t="str">
        <x:v>Base code(s): D24</x:v>
      </x:c>
      <x:c r="V122" s="80" t="str">
        <x:v>Coleção principal (~1:64)</x:v>
      </x:c>
      <x:c r="W122" s="82" t="str">
        <x:v>https://hotwheels.fandom.com/wiki/Ferrari_F40</x:v>
      </x:c>
      <x:c r="X122" s="82" t="str">
        <x:v>https://hotwheels.fandom.com/wiki/Ferrari_F40</x:v>
      </x:c>
    </x:row>
    <x:row r="123">
      <x:c r="A123" s="80" t="str">
        <x:v>Não</x:v>
      </x:c>
      <x:c r="B123" s="80" t="str">
        <x:v>2 — Completar aos poucos</x:v>
      </x:c>
      <x:c r="C123" s="81" t="n">
        <x:v>2011</x:v>
      </x:c>
      <x:c r="D123" s="80" t="str">
        <x:v>Ferrari F40</x:v>
      </x:c>
      <x:c r="E123" s="80" t="str">
        <x:v>Ferrari F40</x:v>
      </x:c>
      <x:c r="F123" s="82" t="str">
        <x:v>The Hot Ones</x:v>
      </x:c>
      <x:c r="G123" s="80" t="str"/>
      <x:c r="H123" s="80" t="str">
        <x:v>RLHO</x:v>
      </x:c>
      <x:c r="I123" s="83" t="str">
        <x:v>W1542</x:v>
      </x:c>
      <x:c r="J123" s="80" t="str">
        <x:v>Metalflake Dark Blue</x:v>
      </x:c>
      <x:c r="K123" s="82" t="str">
        <x:v>Red &amp; Yellow tampos, White Racing Deco "4"</x:v>
      </x:c>
      <x:c r="L123" s="82" t="str">
        <x:v>Chase / Base code(s):</x:v>
      </x:c>
      <x:c r="M123" s="82" t="str">
        <x:v>ZAMAC</x:v>
      </x:c>
      <x:c r="N123" s="82" t="str">
        <x:v>Clear</x:v>
      </x:c>
      <x:c r="O123" s="82" t="str">
        <x:v>Dark Gray</x:v>
      </x:c>
      <x:c r="P123" s="82" t="str">
        <x:v>Thailand</x:v>
      </x:c>
      <x:c r="Q123" s="82" t="str"/>
      <x:c r="R123" s="82" t="str">
        <x:v>Mainline</x:v>
      </x:c>
      <x:c r="S123" s="82" t="str">
        <x:v>Incomum</x:v>
      </x:c>
      <x:c r="T123" s="82" t="str">
        <x:v>Lançado</x:v>
      </x:c>
      <x:c r="U123" s="82" t="str"/>
      <x:c r="V123" s="80" t="str">
        <x:v>Coleção principal (~1:64)</x:v>
      </x:c>
      <x:c r="W123" s="82" t="str">
        <x:v>https://hotwheels.fandom.com/wiki/Ferrari_F40</x:v>
      </x:c>
      <x:c r="X123" s="82" t="str">
        <x:v>https://hotwheels.fandom.com/wiki/Ferrari_F40</x:v>
      </x:c>
    </x:row>
    <x:row r="124">
      <x:c r="A124" s="80" t="str">
        <x:v>Não</x:v>
      </x:c>
      <x:c r="B124" s="80" t="str">
        <x:v>2 — Completar aos poucos</x:v>
      </x:c>
      <x:c r="C124" s="81" t="n">
        <x:v>2011</x:v>
      </x:c>
      <x:c r="D124" s="80" t="str">
        <x:v>Ferrari F430 Spider</x:v>
      </x:c>
      <x:c r="E124" s="80" t="str">
        <x:v>Ferrari F430 Spider</x:v>
      </x:c>
      <x:c r="F124" s="82" t="str">
        <x:v>Thrill Racers - Highway / 4/6</x:v>
      </x:c>
      <x:c r="G124" s="80" t="str"/>
      <x:c r="H124" s="80" t="str">
        <x:v>190/244</x:v>
      </x:c>
      <x:c r="I124" s="83" t="str">
        <x:v>T9897</x:v>
      </x:c>
      <x:c r="J124" s="80" t="str">
        <x:v>Red</x:v>
      </x:c>
      <x:c r="K124" s="82" t="str">
        <x:v>Ferrari logo on front &amp; sides</x:v>
      </x:c>
      <x:c r="L124" s="82" t="str">
        <x:v>OH5</x:v>
      </x:c>
      <x:c r="M124" s="82" t="str">
        <x:v>Black / / / Plastic</x:v>
      </x:c>
      <x:c r="N124" s="82" t="str">
        <x:v>Tinted</x:v>
      </x:c>
      <x:c r="O124" s="82" t="str">
        <x:v>Black</x:v>
      </x:c>
      <x:c r="P124" s="82" t="str">
        <x:v>Malaysia</x:v>
      </x:c>
      <x:c r="Q124" s="82" t="str"/>
      <x:c r="R124" s="82" t="str">
        <x:v>Mainline</x:v>
      </x:c>
      <x:c r="S124" s="82" t="str">
        <x:v>Incomum</x:v>
      </x:c>
      <x:c r="T124" s="82" t="str">
        <x:v>Lançado</x:v>
      </x:c>
      <x:c r="U124" s="82" t="str">
        <x:v>Base Code(s): C35, C42, C51, D01</x:v>
      </x:c>
      <x:c r="V124" s="80" t="str">
        <x:v>Coleção principal (~1:64)</x:v>
      </x:c>
      <x:c r="W124" s="82" t="str">
        <x:v>https://hotwheels.fandom.com/wiki/Ferrari_F430_Spider</x:v>
      </x:c>
      <x:c r="X124" s="82" t="str">
        <x:v>https://hotwheels.fandom.com/wiki/Ferrari_F430_Spider</x:v>
      </x:c>
    </x:row>
    <x:row r="125">
      <x:c r="A125" s="80" t="str">
        <x:v>Não</x:v>
      </x:c>
      <x:c r="B125" s="80" t="str">
        <x:v>2 — Completar aos poucos</x:v>
      </x:c>
      <x:c r="C125" s="81" t="n">
        <x:v>2011</x:v>
      </x:c>
      <x:c r="D125" s="80" t="str">
        <x:v>Ferrari F50 Challenge</x:v>
      </x:c>
      <x:c r="E125" s="80" t="str">
        <x:v>Ferrari F50 Challenge</x:v>
      </x:c>
      <x:c r="F125" s="82" t="str">
        <x:v>Ferrari 5-Pack</x:v>
      </x:c>
      <x:c r="G125" s="80" t="str"/>
      <x:c r="H125" s="80" t="str"/>
      <x:c r="I125" s="83" t="str">
        <x:v>T8629</x:v>
      </x:c>
      <x:c r="J125" s="80" t="str">
        <x:v>Blue</x:v>
      </x:c>
      <x:c r="K125" s="82" t="str">
        <x:v>"24", Yellow &amp; white stripes on sides, Ferrari emblems</x:v>
      </x:c>
      <x:c r="L125" s="82" t="str">
        <x:v>PR5</x:v>
      </x:c>
      <x:c r="M125" s="82" t="str">
        <x:v>Black / / / Plastic</x:v>
      </x:c>
      <x:c r="N125" s="82" t="str">
        <x:v>Clear</x:v>
      </x:c>
      <x:c r="O125" s="82" t="str">
        <x:v>Gray</x:v>
      </x:c>
      <x:c r="P125" s="82" t="str">
        <x:v>Thailand</x:v>
      </x:c>
      <x:c r="Q125" s="82" t="str"/>
      <x:c r="R125" s="82" t="str">
        <x:v>Temática / multipack</x:v>
      </x:c>
      <x:c r="S125" s="82" t="str">
        <x:v>Incomum</x:v>
      </x:c>
      <x:c r="T125" s="82" t="str">
        <x:v>Lançado</x:v>
      </x:c>
      <x:c r="U125" s="82" t="str"/>
      <x:c r="V125" s="80" t="str">
        <x:v>Coleção principal (~1:64)</x:v>
      </x:c>
      <x:c r="W125" s="82" t="str">
        <x:v>https://hotwheels.fandom.com/wiki/Ferrari_F50_Challenge</x:v>
      </x:c>
      <x:c r="X125" s="82" t="str">
        <x:v>https://hotwheels.fandom.com/wiki/Ferrari_F50_Challenge</x:v>
      </x:c>
    </x:row>
    <x:row r="126">
      <x:c r="A126" s="80" t="str">
        <x:v>Não</x:v>
      </x:c>
      <x:c r="B126" s="80" t="str">
        <x:v>2 — Completar aos poucos</x:v>
      </x:c>
      <x:c r="C126" s="81" t="n">
        <x:v>2011</x:v>
      </x:c>
      <x:c r="D126" s="80" t="str">
        <x:v>Ferrari F50 Challenge</x:v>
      </x:c>
      <x:c r="E126" s="80" t="str">
        <x:v>Ferrari F50 Challenge</x:v>
      </x:c>
      <x:c r="F126" s="82" t="str">
        <x:v>Speed Machines</x:v>
      </x:c>
      <x:c r="G126" s="80" t="str"/>
      <x:c r="H126" s="80" t="str"/>
      <x:c r="I126" s="83" t="str">
        <x:v>W2312</x:v>
      </x:c>
      <x:c r="J126" s="80" t="str">
        <x:v>Red</x:v>
      </x:c>
      <x:c r="K126" s="82" t="str">
        <x:v>Ferrari Logo on Side &amp; Hood</x:v>
      </x:c>
      <x:c r="L126" s="82" t="str">
        <x:v>Chrome Rim CM6</x:v>
      </x:c>
      <x:c r="M126" s="82" t="str">
        <x:v>Chrome / / / Plastic</x:v>
      </x:c>
      <x:c r="N126" s="82" t="str">
        <x:v>Clear</x:v>
      </x:c>
      <x:c r="O126" s="82" t="str">
        <x:v>Black</x:v>
      </x:c>
      <x:c r="P126" s="82" t="str">
        <x:v>Thailand</x:v>
      </x:c>
      <x:c r="Q126" s="82" t="str"/>
      <x:c r="R126" s="82" t="str">
        <x:v>Premium</x:v>
      </x:c>
      <x:c r="S126" s="82" t="str">
        <x:v>Incomum</x:v>
      </x:c>
      <x:c r="T126" s="82" t="str">
        <x:v>Lançado</x:v>
      </x:c>
      <x:c r="U126" s="82" t="str"/>
      <x:c r="V126" s="80" t="str">
        <x:v>Coleção principal (~1:64)</x:v>
      </x:c>
      <x:c r="W126" s="82" t="str">
        <x:v>https://hotwheels.fandom.com/wiki/Ferrari_F50_Challenge</x:v>
      </x:c>
      <x:c r="X126" s="82" t="str">
        <x:v>https://hotwheels.fandom.com/wiki/Ferrari_F50_Challenge</x:v>
      </x:c>
    </x:row>
    <x:row r="127">
      <x:c r="A127" s="80" t="str">
        <x:v>Não</x:v>
      </x:c>
      <x:c r="B127" s="80" t="str">
        <x:v>2 — Completar aos poucos</x:v>
      </x:c>
      <x:c r="C127" s="81" t="n">
        <x:v>2011</x:v>
      </x:c>
      <x:c r="D127" s="80" t="str">
        <x:v>Ferrari F512M</x:v>
      </x:c>
      <x:c r="E127" s="80" t="str">
        <x:v>Ferrari F512M</x:v>
      </x:c>
      <x:c r="F127" s="82" t="str">
        <x:v>The Hot Ones</x:v>
      </x:c>
      <x:c r="G127" s="80" t="str"/>
      <x:c r="H127" s="80" t="str"/>
      <x:c r="I127" s="83" t="str">
        <x:v>W1589</x:v>
      </x:c>
      <x:c r="J127" s="80" t="str">
        <x:v>Metalflake Yellow</x:v>
      </x:c>
      <x:c r="K127" s="82" t="str">
        <x:v>Yellow Ferrari Hood Logo, Black and Orange stripes</x:v>
      </x:c>
      <x:c r="L127" s="82" t="str">
        <x:v>BW</x:v>
      </x:c>
      <x:c r="M127" s="82" t="str">
        <x:v>ZAMAC</x:v>
      </x:c>
      <x:c r="N127" s="82" t="str">
        <x:v>Smoke Tinted</x:v>
      </x:c>
      <x:c r="O127" s="82" t="str">
        <x:v>Black</x:v>
      </x:c>
      <x:c r="P127" s="82" t="str">
        <x:v>Thailand</x:v>
      </x:c>
      <x:c r="Q127" s="82" t="str"/>
      <x:c r="R127" s="82" t="str">
        <x:v>Outra linha</x:v>
      </x:c>
      <x:c r="S127" s="82" t="str">
        <x:v>Incomum</x:v>
      </x:c>
      <x:c r="T127" s="82" t="str">
        <x:v>Lançado</x:v>
      </x:c>
      <x:c r="U127" s="82" t="str">
        <x:v>Base code(s): D24</x:v>
      </x:c>
      <x:c r="V127" s="80" t="str">
        <x:v>Coleção principal (~1:64)</x:v>
      </x:c>
      <x:c r="W127" s="82" t="str">
        <x:v>https://hotwheels.fandom.com/wiki/Ferrari_F512M</x:v>
      </x:c>
      <x:c r="X127" s="82" t="str">
        <x:v>https://hotwheels.fandom.com/wiki/Ferrari_F512M</x:v>
      </x:c>
    </x:row>
    <x:row r="128">
      <x:c r="A128" s="80" t="str">
        <x:v>Não</x:v>
      </x:c>
      <x:c r="B128" s="80" t="str">
        <x:v>2 — Completar aos poucos</x:v>
      </x:c>
      <x:c r="C128" s="81" t="n">
        <x:v>2011</x:v>
      </x:c>
      <x:c r="D128" s="80" t="str">
        <x:v>Ferrari F512M</x:v>
      </x:c>
      <x:c r="E128" s="80" t="str">
        <x:v>Ferrari F512M</x:v>
      </x:c>
      <x:c r="F128" s="82" t="str">
        <x:v>The Hot Ones</x:v>
      </x:c>
      <x:c r="G128" s="80" t="str"/>
      <x:c r="H128" s="80" t="str">
        <x:v>RLHO</x:v>
      </x:c>
      <x:c r="I128" s="83" t="str">
        <x:v>W1589</x:v>
      </x:c>
      <x:c r="J128" s="80" t="str">
        <x:v>Metalflake Yellow</x:v>
      </x:c>
      <x:c r="K128" s="82" t="str">
        <x:v>Yellow Ferrari Hood Logo, Black and Orange stripes</x:v>
      </x:c>
      <x:c r="L128" s="82" t="str">
        <x:v>Chase / Base code(s): D24</x:v>
      </x:c>
      <x:c r="M128" s="82" t="str">
        <x:v>ZAMAC</x:v>
      </x:c>
      <x:c r="N128" s="82" t="str">
        <x:v>Smoke Tinted</x:v>
      </x:c>
      <x:c r="O128" s="82" t="str">
        <x:v>Black</x:v>
      </x:c>
      <x:c r="P128" s="82" t="str">
        <x:v>Thailand</x:v>
      </x:c>
      <x:c r="Q128" s="82" t="str"/>
      <x:c r="R128" s="82" t="str">
        <x:v>Mainline</x:v>
      </x:c>
      <x:c r="S128" s="82" t="str">
        <x:v>Incomum</x:v>
      </x:c>
      <x:c r="T128" s="82" t="str">
        <x:v>Lançado</x:v>
      </x:c>
      <x:c r="U128" s="82" t="str"/>
      <x:c r="V128" s="80" t="str">
        <x:v>Coleção principal (~1:64)</x:v>
      </x:c>
      <x:c r="W128" s="82" t="str">
        <x:v>https://hotwheels.fandom.com/wiki/Ferrari_F512M</x:v>
      </x:c>
      <x:c r="X128" s="82" t="str">
        <x:v>https://hotwheels.fandom.com/wiki/Ferrari_F512M</x:v>
      </x:c>
    </x:row>
    <x:row r="129">
      <x:c r="A129" s="80" t="str">
        <x:v>Não</x:v>
      </x:c>
      <x:c r="B129" s="80" t="str">
        <x:v>2 — Completar aos poucos</x:v>
      </x:c>
      <x:c r="C129" s="81" t="n">
        <x:v>2011</x:v>
      </x:c>
      <x:c r="D129" s="80" t="str">
        <x:v>Ferrari FF</x:v>
      </x:c>
      <x:c r="E129" s="80" t="str">
        <x:v>Ferrari FF</x:v>
      </x:c>
      <x:c r="F129" s="82" t="str">
        <x:v>2011 New Models / 45/50</x:v>
      </x:c>
      <x:c r="G129" s="80" t="str"/>
      <x:c r="H129" s="80" t="str">
        <x:v>045/244</x:v>
      </x:c>
      <x:c r="I129" s="83" t="str">
        <x:v>V0022</x:v>
      </x:c>
      <x:c r="J129" s="80" t="str">
        <x:v>Metallic Grey</x:v>
      </x:c>
      <x:c r="K129" s="82" t="str">
        <x:v>Detailed headlights, Ferrari emblems</x:v>
      </x:c>
      <x:c r="L129" s="82" t="str">
        <x:v>PR5</x:v>
      </x:c>
      <x:c r="M129" s="82" t="str">
        <x:v>Grey / / / Plastic</x:v>
      </x:c>
      <x:c r="N129" s="82" t="str">
        <x:v>Clear</x:v>
      </x:c>
      <x:c r="O129" s="82" t="str">
        <x:v>Beige</x:v>
      </x:c>
      <x:c r="P129" s="82" t="str">
        <x:v>Malaysia</x:v>
      </x:c>
      <x:c r="Q129" s="82" t="str"/>
      <x:c r="R129" s="82" t="str">
        <x:v>Mainline</x:v>
      </x:c>
      <x:c r="S129" s="82" t="str">
        <x:v>Incomum</x:v>
      </x:c>
      <x:c r="T129" s="82" t="str">
        <x:v>Lançado</x:v>
      </x:c>
      <x:c r="U129" s="82" t="str"/>
      <x:c r="V129" s="80" t="str">
        <x:v>Coleção principal (~1:64)</x:v>
      </x:c>
      <x:c r="W129" s="82" t="str">
        <x:v>https://hotwheels.fandom.com/wiki/Ferrari_FF</x:v>
      </x:c>
      <x:c r="X129" s="82" t="str">
        <x:v>https://hotwheels.fandom.com/wiki/Ferrari_FF</x:v>
      </x:c>
    </x:row>
    <x:row r="130">
      <x:c r="A130" s="80" t="str">
        <x:v>Não</x:v>
      </x:c>
      <x:c r="B130" s="80" t="str">
        <x:v>2 — Completar aos poucos</x:v>
      </x:c>
      <x:c r="C130" s="81" t="n">
        <x:v>2011</x:v>
      </x:c>
      <x:c r="D130" s="80" t="str">
        <x:v>Ferrari FF</x:v>
      </x:c>
      <x:c r="E130" s="80" t="str">
        <x:v>Ferrari FF</x:v>
      </x:c>
      <x:c r="F130" s="82" t="str">
        <x:v>2011 New Models / 45/50</x:v>
      </x:c>
      <x:c r="G130" s="80" t="str"/>
      <x:c r="H130" s="80" t="str">
        <x:v>045/244</x:v>
      </x:c>
      <x:c r="I130" s="83" t="str">
        <x:v>T9715</x:v>
      </x:c>
      <x:c r="J130" s="80" t="str">
        <x:v>Red</x:v>
      </x:c>
      <x:c r="K130" s="82" t="str">
        <x:v>Detailed headlights, Ferrari emblems, cast with and without Prancing Horse logo in grille.</x:v>
      </x:c>
      <x:c r="L130" s="82" t="str">
        <x:v>PR5</x:v>
      </x:c>
      <x:c r="M130" s="82" t="str">
        <x:v>Grey / / / Plastic</x:v>
      </x:c>
      <x:c r="N130" s="82" t="str">
        <x:v>Clear</x:v>
      </x:c>
      <x:c r="O130" s="82" t="str">
        <x:v>Beige</x:v>
      </x:c>
      <x:c r="P130" s="82" t="str">
        <x:v>Malaysia</x:v>
      </x:c>
      <x:c r="Q130" s="82" t="str"/>
      <x:c r="R130" s="82" t="str">
        <x:v>Mainline</x:v>
      </x:c>
      <x:c r="S130" s="82" t="str">
        <x:v>Incomum</x:v>
      </x:c>
      <x:c r="T130" s="82" t="str">
        <x:v>Lançado</x:v>
      </x:c>
      <x:c r="U130" s="82" t="str"/>
      <x:c r="V130" s="80" t="str">
        <x:v>Coleção principal (~1:64)</x:v>
      </x:c>
      <x:c r="W130" s="82" t="str">
        <x:v>https://hotwheels.fandom.com/wiki/Ferrari_FF</x:v>
      </x:c>
      <x:c r="X130" s="82" t="str">
        <x:v>https://hotwheels.fandom.com/wiki/Ferrari_FF</x:v>
      </x:c>
    </x:row>
    <x:row r="131">
      <x:c r="A131" s="80" t="str">
        <x:v>Não</x:v>
      </x:c>
      <x:c r="B131" s="80" t="str">
        <x:v>2 — Completar aos poucos</x:v>
      </x:c>
      <x:c r="C131" s="81" t="n">
        <x:v>2010</x:v>
      </x:c>
      <x:c r="D131" s="80" t="str">
        <x:v>Ferrari 250 GTO (2009)</x:v>
      </x:c>
      <x:c r="E131" s="80" t="str">
        <x:v>Ferrari 250 GTO</x:v>
      </x:c>
      <x:c r="F131" s="82" t="str">
        <x:v>Ferrari 5 5-Pack</x:v>
      </x:c>
      <x:c r="G131" s="80" t="str"/>
      <x:c r="H131" s="80" t="str"/>
      <x:c r="I131" s="83" t="str">
        <x:v>N4008</x:v>
      </x:c>
      <x:c r="J131" s="80" t="str">
        <x:v>Red</x:v>
      </x:c>
      <x:c r="K131" s="82" t="str">
        <x:v>Ferrari emblem on sides and hood, "19" on doors. Detailed rear lights.</x:v>
      </x:c>
      <x:c r="L131" s="82" t="str">
        <x:v>LW</x:v>
      </x:c>
      <x:c r="M131" s="82" t="str">
        <x:v>Black / / / Plastic</x:v>
      </x:c>
      <x:c r="N131" s="82" t="str">
        <x:v>Clear</x:v>
      </x:c>
      <x:c r="O131" s="82" t="str">
        <x:v>Black</x:v>
      </x:c>
      <x:c r="P131" s="82" t="str">
        <x:v>Thailand</x:v>
      </x:c>
      <x:c r="Q131" s="82" t="str"/>
      <x:c r="R131" s="82" t="str">
        <x:v>Temática / multipack</x:v>
      </x:c>
      <x:c r="S131" s="82" t="str">
        <x:v>Incomum</x:v>
      </x:c>
      <x:c r="T131" s="82" t="str">
        <x:v>Lançado</x:v>
      </x:c>
      <x:c r="U131" s="82" t="str">
        <x:v>Base code(s): C21</x:v>
      </x:c>
      <x:c r="V131" s="80" t="str">
        <x:v>Coleção principal (~1:64)</x:v>
      </x:c>
      <x:c r="W131" s="82" t="str">
        <x:v>https://hotwheels.fandom.com/wiki/Ferrari_250_GTO_(2009)</x:v>
      </x:c>
      <x:c r="X131" s="82" t="str">
        <x:v>https://hotwheels.fandom.com/wiki/Ferrari_250_GTO_(2009)</x:v>
      </x:c>
    </x:row>
    <x:row r="132">
      <x:c r="A132" s="80" t="str">
        <x:v>Não</x:v>
      </x:c>
      <x:c r="B132" s="80" t="str">
        <x:v>2 — Completar aos poucos</x:v>
      </x:c>
      <x:c r="C132" s="81" t="n">
        <x:v>2010</x:v>
      </x:c>
      <x:c r="D132" s="80" t="str">
        <x:v>Ferrari 288 GTO</x:v>
      </x:c>
      <x:c r="E132" s="80" t="str">
        <x:v>Ferrari 288 GTO</x:v>
      </x:c>
      <x:c r="F132" s="82" t="str">
        <x:v>Hot Wheels Garage 30-Car Set</x:v>
      </x:c>
      <x:c r="G132" s="80" t="str"/>
      <x:c r="H132" s="80" t="str"/>
      <x:c r="I132" s="83" t="str"/>
      <x:c r="J132" s="80" t="str">
        <x:v>Metalflake Gray</x:v>
      </x:c>
      <x:c r="K132" s="82" t="str">
        <x:v>Trim &amp; emblem details</x:v>
      </x:c>
      <x:c r="L132" s="82" t="str">
        <x:v>RRE</x:v>
      </x:c>
      <x:c r="M132" s="82" t="str">
        <x:v>Satin Metallic Grey / / / Metal</x:v>
      </x:c>
      <x:c r="N132" s="82" t="str">
        <x:v>Tinted</x:v>
      </x:c>
      <x:c r="O132" s="82" t="str">
        <x:v>Black</x:v>
      </x:c>
      <x:c r="P132" s="82" t="str">
        <x:v>Malaysia</x:v>
      </x:c>
      <x:c r="Q132" s="82" t="str"/>
      <x:c r="R132" s="82" t="str">
        <x:v>Outra linha</x:v>
      </x:c>
      <x:c r="S132" s="82" t="str">
        <x:v>Incomum</x:v>
      </x:c>
      <x:c r="T132" s="82" t="str">
        <x:v>Lançado</x:v>
      </x:c>
      <x:c r="U132" s="82" t="str">
        <x:v>Base code(s):</x:v>
      </x:c>
      <x:c r="V132" s="80" t="str">
        <x:v>Coleção principal (~1:64)</x:v>
      </x:c>
      <x:c r="W132" s="82" t="str">
        <x:v>https://hotwheels.fandom.com/wiki/Ferrari_288_GTO</x:v>
      </x:c>
      <x:c r="X132" s="82" t="str">
        <x:v>https://hotwheels.fandom.com/wiki/Ferrari_288_GTO</x:v>
      </x:c>
    </x:row>
    <x:row r="133">
      <x:c r="A133" s="80" t="str">
        <x:v>Não</x:v>
      </x:c>
      <x:c r="B133" s="80" t="str">
        <x:v>2 — Completar aos poucos</x:v>
      </x:c>
      <x:c r="C133" s="81" t="n">
        <x:v>2010</x:v>
      </x:c>
      <x:c r="D133" s="80" t="str">
        <x:v>Ferrari 288 GTO</x:v>
      </x:c>
      <x:c r="E133" s="80" t="str">
        <x:v>Ferrari 288 GTO</x:v>
      </x:c>
      <x:c r="F133" s="82" t="str">
        <x:v>Hot Wheels Garage: Phil's Garage / 19/39</x:v>
      </x:c>
      <x:c r="G133" s="80" t="str"/>
      <x:c r="H133" s="80" t="str"/>
      <x:c r="I133" s="83" t="str">
        <x:v>R3780</x:v>
      </x:c>
      <x:c r="J133" s="80" t="str">
        <x:v>Metallic Black</x:v>
      </x:c>
      <x:c r="K133" s="82" t="str">
        <x:v>Trim &amp; emblem details</x:v>
      </x:c>
      <x:c r="L133" s="82" t="str">
        <x:v>RRE</x:v>
      </x:c>
      <x:c r="M133" s="82" t="str">
        <x:v>Satin Metallic Grey / / / Metal</x:v>
      </x:c>
      <x:c r="N133" s="82" t="str">
        <x:v>Tinted</x:v>
      </x:c>
      <x:c r="O133" s="82" t="str">
        <x:v>Black</x:v>
      </x:c>
      <x:c r="P133" s="82" t="str">
        <x:v>Malaysia</x:v>
      </x:c>
      <x:c r="Q133" s="82" t="str"/>
      <x:c r="R133" s="82" t="str">
        <x:v>Outra linha</x:v>
      </x:c>
      <x:c r="S133" s="82" t="str">
        <x:v>Incomum</x:v>
      </x:c>
      <x:c r="T133" s="82" t="str">
        <x:v>Lançado</x:v>
      </x:c>
      <x:c r="U133" s="82" t="str">
        <x:v>Named 288 GTO / Base code(s): C28</x:v>
      </x:c>
      <x:c r="V133" s="80" t="str">
        <x:v>Coleção principal (~1:64)</x:v>
      </x:c>
      <x:c r="W133" s="82" t="str">
        <x:v>https://hotwheels.fandom.com/wiki/Ferrari_288_GTO</x:v>
      </x:c>
      <x:c r="X133" s="82" t="str">
        <x:v>https://hotwheels.fandom.com/wiki/Ferrari_288_GTO</x:v>
      </x:c>
    </x:row>
    <x:row r="134">
      <x:c r="A134" s="80" t="str">
        <x:v>Não</x:v>
      </x:c>
      <x:c r="B134" s="80" t="str">
        <x:v>2 — Completar aos poucos</x:v>
      </x:c>
      <x:c r="C134" s="81" t="n">
        <x:v>2010</x:v>
      </x:c>
      <x:c r="D134" s="80" t="str">
        <x:v>Ferrari 288 GTO</x:v>
      </x:c>
      <x:c r="E134" s="80" t="str">
        <x:v>Ferrari 288 GTO</x:v>
      </x:c>
      <x:c r="F134" s="82" t="str">
        <x:v>Hot Wheels Garage: Phil's Garage / 19/39</x:v>
      </x:c>
      <x:c r="G134" s="80" t="str"/>
      <x:c r="H134" s="80" t="str"/>
      <x:c r="I134" s="83" t="str">
        <x:v>R3780</x:v>
      </x:c>
      <x:c r="J134" s="80" t="str">
        <x:v>Red</x:v>
      </x:c>
      <x:c r="K134" s="82" t="str">
        <x:v>Trim &amp; emblem details</x:v>
      </x:c>
      <x:c r="L134" s="82" t="str">
        <x:v>RRE</x:v>
      </x:c>
      <x:c r="M134" s="82" t="str">
        <x:v>Satin Metallic Grey / / / Metal</x:v>
      </x:c>
      <x:c r="N134" s="82" t="str">
        <x:v>Tinted</x:v>
      </x:c>
      <x:c r="O134" s="82" t="str">
        <x:v>Black</x:v>
      </x:c>
      <x:c r="P134" s="82" t="str">
        <x:v>Malaysia</x:v>
      </x:c>
      <x:c r="Q134" s="82" t="str"/>
      <x:c r="R134" s="82" t="str">
        <x:v>Outra linha</x:v>
      </x:c>
      <x:c r="S134" s="82" t="str">
        <x:v>Incomum</x:v>
      </x:c>
      <x:c r="T134" s="82" t="str">
        <x:v>Lançado</x:v>
      </x:c>
      <x:c r="U134" s="82" t="str">
        <x:v>Named 288 GTO / Base code(s): C01</x:v>
      </x:c>
      <x:c r="V134" s="80" t="str">
        <x:v>Coleção principal (~1:64)</x:v>
      </x:c>
      <x:c r="W134" s="82" t="str">
        <x:v>https://hotwheels.fandom.com/wiki/Ferrari_288_GTO</x:v>
      </x:c>
      <x:c r="X134" s="82" t="str">
        <x:v>https://hotwheels.fandom.com/wiki/Ferrari_288_GTO</x:v>
      </x:c>
    </x:row>
    <x:row r="135">
      <x:c r="A135" s="80" t="str">
        <x:v>Não</x:v>
      </x:c>
      <x:c r="B135" s="80" t="str">
        <x:v>2 — Completar aos poucos</x:v>
      </x:c>
      <x:c r="C135" s="81" t="n">
        <x:v>2010</x:v>
      </x:c>
      <x:c r="D135" s="80" t="str">
        <x:v>Ferrari 288 GTO</x:v>
      </x:c>
      <x:c r="E135" s="80" t="str">
        <x:v>Ferrari 288 GTO</x:v>
      </x:c>
      <x:c r="F135" s="82" t="str">
        <x:v>Hot Wheels Garage: Phil's Garage / 19/39</x:v>
      </x:c>
      <x:c r="G135" s="80" t="str"/>
      <x:c r="H135" s="80" t="str"/>
      <x:c r="I135" s="83" t="str">
        <x:v>R3780</x:v>
      </x:c>
      <x:c r="J135" s="80" t="str">
        <x:v>Yellow</x:v>
      </x:c>
      <x:c r="K135" s="82" t="str">
        <x:v>Trim &amp; emblem details</x:v>
      </x:c>
      <x:c r="L135" s="82" t="str">
        <x:v>RRE</x:v>
      </x:c>
      <x:c r="M135" s="82" t="str">
        <x:v>Satin Metallic Grey / / / Metal</x:v>
      </x:c>
      <x:c r="N135" s="82" t="str">
        <x:v>Tinted</x:v>
      </x:c>
      <x:c r="O135" s="82" t="str">
        <x:v>Black</x:v>
      </x:c>
      <x:c r="P135" s="82" t="str">
        <x:v>Malaysia</x:v>
      </x:c>
      <x:c r="Q135" s="82" t="str"/>
      <x:c r="R135" s="82" t="str">
        <x:v>Outra linha</x:v>
      </x:c>
      <x:c r="S135" s="82" t="str">
        <x:v>Incomum</x:v>
      </x:c>
      <x:c r="T135" s="82" t="str">
        <x:v>Lançado</x:v>
      </x:c>
      <x:c r="U135" s="82" t="str">
        <x:v>Named 288 GTO / Base code(s): C10</x:v>
      </x:c>
      <x:c r="V135" s="80" t="str">
        <x:v>Coleção principal (~1:64)</x:v>
      </x:c>
      <x:c r="W135" s="82" t="str">
        <x:v>https://hotwheels.fandom.com/wiki/Ferrari_288_GTO</x:v>
      </x:c>
      <x:c r="X135" s="82" t="str">
        <x:v>https://hotwheels.fandom.com/wiki/Ferrari_288_GTO</x:v>
      </x:c>
    </x:row>
    <x:row r="136">
      <x:c r="A136" s="80" t="str">
        <x:v>Não</x:v>
      </x:c>
      <x:c r="B136" s="80" t="str">
        <x:v>2 — Completar aos poucos</x:v>
      </x:c>
      <x:c r="C136" s="81" t="n">
        <x:v>2010</x:v>
      </x:c>
      <x:c r="D136" s="80" t="str">
        <x:v>Ferrari 308 GTS</x:v>
      </x:c>
      <x:c r="E136" s="80" t="str">
        <x:v>Ferrari 308 GTS</x:v>
      </x:c>
      <x:c r="F136" s="82" t="str">
        <x:v>All Stars / 10/10</x:v>
      </x:c>
      <x:c r="G136" s="80" t="str"/>
      <x:c r="H136" s="80" t="str">
        <x:v>128/240</x:v>
      </x:c>
      <x:c r="I136" s="83" t="str">
        <x:v>R7553</x:v>
      </x:c>
      <x:c r="J136" s="80" t="str">
        <x:v>Metalflake Blue</x:v>
      </x:c>
      <x:c r="K136" s="82" t="str">
        <x:v>Ferrari logo on hood and sides</x:v>
      </x:c>
      <x:c r="L136" s="82" t="str">
        <x:v>5SP</x:v>
      </x:c>
      <x:c r="M136" s="82" t="str">
        <x:v>Black / / / Plastic</x:v>
      </x:c>
      <x:c r="N136" s="82" t="str">
        <x:v>Tinted</x:v>
      </x:c>
      <x:c r="O136" s="82" t="str">
        <x:v>Tan</x:v>
      </x:c>
      <x:c r="P136" s="82" t="str">
        <x:v>Malaysia</x:v>
      </x:c>
      <x:c r="Q136" s="82" t="str"/>
      <x:c r="R136" s="82" t="str">
        <x:v>Mainline</x:v>
      </x:c>
      <x:c r="S136" s="82" t="str">
        <x:v>Incomum</x:v>
      </x:c>
      <x:c r="T136" s="82" t="str">
        <x:v>Lançado</x:v>
      </x:c>
      <x:c r="U136" s="82" t="str"/>
      <x:c r="V136" s="80" t="str">
        <x:v>Coleção principal (~1:64)</x:v>
      </x:c>
      <x:c r="W136" s="82" t="str">
        <x:v>https://hotwheels.fandom.com/wiki/Ferrari_308_GTS</x:v>
      </x:c>
      <x:c r="X136" s="82" t="str">
        <x:v>https://hotwheels.fandom.com/wiki/Ferrari_308_GTS</x:v>
      </x:c>
    </x:row>
    <x:row r="137">
      <x:c r="A137" s="80" t="str">
        <x:v>Não</x:v>
      </x:c>
      <x:c r="B137" s="80" t="str">
        <x:v>2 — Completar aos poucos</x:v>
      </x:c>
      <x:c r="C137" s="81" t="n">
        <x:v>2010</x:v>
      </x:c>
      <x:c r="D137" s="80" t="str">
        <x:v>Ferrari 308 GTS</x:v>
      </x:c>
      <x:c r="E137" s="80" t="str">
        <x:v>Ferrari 308 GTS</x:v>
      </x:c>
      <x:c r="F137" s="82" t="str">
        <x:v>All Stars / 10/10</x:v>
      </x:c>
      <x:c r="G137" s="80" t="str"/>
      <x:c r="H137" s="80" t="str">
        <x:v>128/240</x:v>
      </x:c>
      <x:c r="I137" s="83" t="str">
        <x:v>R7553</x:v>
      </x:c>
      <x:c r="J137" s="80" t="str">
        <x:v>Red</x:v>
      </x:c>
      <x:c r="K137" s="82" t="str">
        <x:v>Ferrari logo on hood and sides</x:v>
      </x:c>
      <x:c r="L137" s="82" t="str">
        <x:v>5SP</x:v>
      </x:c>
      <x:c r="M137" s="82" t="str">
        <x:v>Black / / / Plastic</x:v>
      </x:c>
      <x:c r="N137" s="82" t="str">
        <x:v>Tinted</x:v>
      </x:c>
      <x:c r="O137" s="82" t="str">
        <x:v>Tan</x:v>
      </x:c>
      <x:c r="P137" s="82" t="str">
        <x:v>Malaysia</x:v>
      </x:c>
      <x:c r="Q137" s="82" t="str"/>
      <x:c r="R137" s="82" t="str">
        <x:v>Mainline</x:v>
      </x:c>
      <x:c r="S137" s="82" t="str">
        <x:v>Incomum</x:v>
      </x:c>
      <x:c r="T137" s="82" t="str">
        <x:v>Lançado</x:v>
      </x:c>
      <x:c r="U137" s="82" t="str"/>
      <x:c r="V137" s="80" t="str">
        <x:v>Coleção principal (~1:64)</x:v>
      </x:c>
      <x:c r="W137" s="82" t="str">
        <x:v>https://hotwheels.fandom.com/wiki/Ferrari_308_GTS</x:v>
      </x:c>
      <x:c r="X137" s="82" t="str">
        <x:v>https://hotwheels.fandom.com/wiki/Ferrari_308_GTS</x:v>
      </x:c>
    </x:row>
    <x:row r="138">
      <x:c r="A138" s="80" t="str">
        <x:v>Não</x:v>
      </x:c>
      <x:c r="B138" s="80" t="str">
        <x:v>2 — Completar aos poucos</x:v>
      </x:c>
      <x:c r="C138" s="81" t="n">
        <x:v>2010</x:v>
      </x:c>
      <x:c r="D138" s="80" t="str">
        <x:v>Ferrari 308 GTS</x:v>
      </x:c>
      <x:c r="E138" s="80" t="str">
        <x:v>Ferrari 308 GTS</x:v>
      </x:c>
      <x:c r="F138" s="82" t="str">
        <x:v>All Stars / 10/10</x:v>
      </x:c>
      <x:c r="G138" s="80" t="str"/>
      <x:c r="H138" s="80" t="str">
        <x:v>128/240</x:v>
      </x:c>
      <x:c r="I138" s="83" t="str">
        <x:v>R7553</x:v>
      </x:c>
      <x:c r="J138" s="80" t="str">
        <x:v>Red</x:v>
      </x:c>
      <x:c r="K138" s="82" t="str">
        <x:v>Ferrari logo on hood and sides</x:v>
      </x:c>
      <x:c r="L138" s="82" t="str">
        <x:v>OH5</x:v>
      </x:c>
      <x:c r="M138" s="82" t="str">
        <x:v>Black / / / Plastic</x:v>
      </x:c>
      <x:c r="N138" s="82" t="str">
        <x:v>Tinted</x:v>
      </x:c>
      <x:c r="O138" s="82" t="str">
        <x:v>Tan</x:v>
      </x:c>
      <x:c r="P138" s="82" t="str">
        <x:v>Malaysia</x:v>
      </x:c>
      <x:c r="Q138" s="82" t="str"/>
      <x:c r="R138" s="82" t="str">
        <x:v>Mainline</x:v>
      </x:c>
      <x:c r="S138" s="82" t="str">
        <x:v>Incomum</x:v>
      </x:c>
      <x:c r="T138" s="82" t="str">
        <x:v>Lançado</x:v>
      </x:c>
      <x:c r="U138" s="82" t="str"/>
      <x:c r="V138" s="80" t="str">
        <x:v>Coleção principal (~1:64)</x:v>
      </x:c>
      <x:c r="W138" s="82" t="str">
        <x:v>https://hotwheels.fandom.com/wiki/Ferrari_308_GTS</x:v>
      </x:c>
      <x:c r="X138" s="82" t="str">
        <x:v>https://hotwheels.fandom.com/wiki/Ferrari_308_GTS</x:v>
      </x:c>
    </x:row>
    <x:row r="139">
      <x:c r="A139" s="80" t="str">
        <x:v>Não</x:v>
      </x:c>
      <x:c r="B139" s="80" t="str">
        <x:v>2 — Completar aos poucos</x:v>
      </x:c>
      <x:c r="C139" s="81" t="n">
        <x:v>2010</x:v>
      </x:c>
      <x:c r="D139" s="80" t="str">
        <x:v>Ferrari 330 P4</x:v>
      </x:c>
      <x:c r="E139" s="80" t="str">
        <x:v>Ferrari 330 P4</x:v>
      </x:c>
      <x:c r="F139" s="82" t="str">
        <x:v>HW Garage / 8/10</x:v>
      </x:c>
      <x:c r="G139" s="80" t="str"/>
      <x:c r="H139" s="80" t="str">
        <x:v>076/240</x:v>
      </x:c>
      <x:c r="I139" s="83" t="str">
        <x:v>R7501</x:v>
      </x:c>
      <x:c r="J139" s="80" t="str">
        <x:v>Metallic Dark Blue</x:v>
      </x:c>
      <x:c r="K139" s="82" t="str">
        <x:v>"32" number on hood &amp; sides, white &amp; red stripes on hood, white stripes on sides</x:v>
      </x:c>
      <x:c r="L139" s="82" t="str">
        <x:v>Gold 5SP</x:v>
      </x:c>
      <x:c r="M139" s="82" t="str">
        <x:v>Black / / / Plastic</x:v>
      </x:c>
      <x:c r="N139" s="82" t="str">
        <x:v>Clear</x:v>
      </x:c>
      <x:c r="O139" s="82" t="str">
        <x:v>Dark Chrome</x:v>
      </x:c>
      <x:c r="P139" s="82" t="str">
        <x:v>Malaysia</x:v>
      </x:c>
      <x:c r="Q139" s="82" t="str">
        <x:v>Walmart</x:v>
      </x:c>
      <x:c r="R139" s="82" t="str">
        <x:v>Mainline</x:v>
      </x:c>
      <x:c r="S139" s="82" t="str">
        <x:v>Rara</x:v>
      </x:c>
      <x:c r="T139" s="82" t="str">
        <x:v>Lançado</x:v>
      </x:c>
      <x:c r="U139" s="82" t="str">
        <x:v>Walmart card release includes keychain / Base Code(s): C18, C26, C27, C29</x:v>
      </x:c>
      <x:c r="V139" s="80" t="str">
        <x:v>Coleção principal (~1:64)</x:v>
      </x:c>
      <x:c r="W139" s="82" t="str">
        <x:v>https://hotwheels.fandom.com/wiki/Ferrari_330_P4</x:v>
      </x:c>
      <x:c r="X139" s="82" t="str">
        <x:v>https://hotwheels.fandom.com/wiki/Ferrari_330_P4</x:v>
      </x:c>
    </x:row>
    <x:row r="140">
      <x:c r="A140" s="80" t="str">
        <x:v>Não</x:v>
      </x:c>
      <x:c r="B140" s="80" t="str">
        <x:v>2 — Completar aos poucos</x:v>
      </x:c>
      <x:c r="C140" s="81" t="n">
        <x:v>2010</x:v>
      </x:c>
      <x:c r="D140" s="80" t="str">
        <x:v>Ferrari 330 P4</x:v>
      </x:c>
      <x:c r="E140" s="80" t="str">
        <x:v>Ferrari 330 P4</x:v>
      </x:c>
      <x:c r="F140" s="82" t="str">
        <x:v>HW Garage / 8/10</x:v>
      </x:c>
      <x:c r="G140" s="80" t="str"/>
      <x:c r="H140" s="80" t="str">
        <x:v>076/240</x:v>
      </x:c>
      <x:c r="I140" s="83" t="str">
        <x:v>R7501</x:v>
      </x:c>
      <x:c r="J140" s="80" t="str">
        <x:v>Red</x:v>
      </x:c>
      <x:c r="K140" s="82" t="str">
        <x:v>"32" number on hood &amp; sides, white &amp; blue stripes on hood, white stripes on sides</x:v>
      </x:c>
      <x:c r="L140" s="82" t="str">
        <x:v>5SP</x:v>
      </x:c>
      <x:c r="M140" s="82" t="str">
        <x:v>Black / / / Plastic</x:v>
      </x:c>
      <x:c r="N140" s="82" t="str">
        <x:v>Clear</x:v>
      </x:c>
      <x:c r="O140" s="82" t="str">
        <x:v>Dark Chrome</x:v>
      </x:c>
      <x:c r="P140" s="82" t="str">
        <x:v>Malaysia</x:v>
      </x:c>
      <x:c r="Q140" s="82" t="str"/>
      <x:c r="R140" s="82" t="str">
        <x:v>Mainline</x:v>
      </x:c>
      <x:c r="S140" s="82" t="str">
        <x:v>Incomum</x:v>
      </x:c>
      <x:c r="T140" s="82" t="str">
        <x:v>Lançado</x:v>
      </x:c>
      <x:c r="U140" s="82" t="str">
        <x:v>2011 Card Release / Base Code(s): C44, C51</x:v>
      </x:c>
      <x:c r="V140" s="80" t="str">
        <x:v>Coleção principal (~1:64)</x:v>
      </x:c>
      <x:c r="W140" s="82" t="str">
        <x:v>https://hotwheels.fandom.com/wiki/Ferrari_330_P4</x:v>
      </x:c>
      <x:c r="X140" s="82" t="str">
        <x:v>https://hotwheels.fandom.com/wiki/Ferrari_330_P4</x:v>
      </x:c>
    </x:row>
    <x:row r="141">
      <x:c r="A141" s="80" t="str">
        <x:v>Não</x:v>
      </x:c>
      <x:c r="B141" s="80" t="str">
        <x:v>2 — Completar aos poucos</x:v>
      </x:c>
      <x:c r="C141" s="81" t="n">
        <x:v>2010</x:v>
      </x:c>
      <x:c r="D141" s="80" t="str">
        <x:v>Ferrari 333 SP</x:v>
      </x:c>
      <x:c r="E141" s="80" t="str">
        <x:v>Ferrari 333 SP</x:v>
      </x:c>
      <x:c r="F141" s="82" t="str">
        <x:v>Speed Machines</x:v>
      </x:c>
      <x:c r="G141" s="80" t="str"/>
      <x:c r="H141" s="80" t="str"/>
      <x:c r="I141" s="83" t="str">
        <x:v>R8493</x:v>
      </x:c>
      <x:c r="J141" s="80" t="str">
        <x:v>Dark Red / White</x:v>
      </x:c>
      <x:c r="K141" s="82" t="str">
        <x:v>Ferrari racing deco, "3"</x:v>
      </x:c>
      <x:c r="L141" s="82" t="str">
        <x:v>Chrome Rim, Gold CM6</x:v>
      </x:c>
      <x:c r="M141" s="82" t="str">
        <x:v>Gray / / / Plastic</x:v>
      </x:c>
      <x:c r="N141" s="82" t="str"/>
      <x:c r="O141" s="82" t="str">
        <x:v>Gray</x:v>
      </x:c>
      <x:c r="P141" s="82" t="str">
        <x:v>Malaysia</x:v>
      </x:c>
      <x:c r="Q141" s="82" t="str"/>
      <x:c r="R141" s="82" t="str">
        <x:v>Premium</x:v>
      </x:c>
      <x:c r="S141" s="82" t="str">
        <x:v>Incomum</x:v>
      </x:c>
      <x:c r="T141" s="82" t="str">
        <x:v>Lançado</x:v>
      </x:c>
      <x:c r="U141" s="82" t="str">
        <x:v>Base code(s):</x:v>
      </x:c>
      <x:c r="V141" s="80" t="str">
        <x:v>Coleção principal (~1:64)</x:v>
      </x:c>
      <x:c r="W141" s="82" t="str">
        <x:v>https://hotwheels.fandom.com/wiki/Ferrari_333_SP</x:v>
      </x:c>
      <x:c r="X141" s="82" t="str">
        <x:v>https://hotwheels.fandom.com/wiki/Ferrari_333_SP</x:v>
      </x:c>
    </x:row>
    <x:row r="142">
      <x:c r="A142" s="80" t="str">
        <x:v>Não</x:v>
      </x:c>
      <x:c r="B142" s="80" t="str">
        <x:v>2 — Completar aos poucos</x:v>
      </x:c>
      <x:c r="C142" s="81" t="n">
        <x:v>2010</x:v>
      </x:c>
      <x:c r="D142" s="80" t="str">
        <x:v>Ferrari 333 SP</x:v>
      </x:c>
      <x:c r="E142" s="80" t="str">
        <x:v>Ferrari 333 SP</x:v>
      </x:c>
      <x:c r="F142" s="82" t="str">
        <x:v>Speed Machines</x:v>
      </x:c>
      <x:c r="G142" s="80" t="str"/>
      <x:c r="H142" s="80" t="str"/>
      <x:c r="I142" s="83" t="str">
        <x:v>T4424</x:v>
      </x:c>
      <x:c r="J142" s="80" t="str">
        <x:v>Metallic Dark Blue</x:v>
      </x:c>
      <x:c r="K142" s="82" t="str">
        <x:v>Red panel on front, Yellow stripes, "33"</x:v>
      </x:c>
      <x:c r="L142" s="82" t="str">
        <x:v>Red Chrome rim, White CM6</x:v>
      </x:c>
      <x:c r="M142" s="82" t="str">
        <x:v>Black / / / Plastic</x:v>
      </x:c>
      <x:c r="N142" s="82" t="str"/>
      <x:c r="O142" s="82" t="str">
        <x:v>Black</x:v>
      </x:c>
      <x:c r="P142" s="82" t="str">
        <x:v>Malaysia</x:v>
      </x:c>
      <x:c r="Q142" s="82" t="str"/>
      <x:c r="R142" s="82" t="str">
        <x:v>Premium</x:v>
      </x:c>
      <x:c r="S142" s="82" t="str">
        <x:v>Incomum</x:v>
      </x:c>
      <x:c r="T142" s="82" t="str">
        <x:v>Lançado</x:v>
      </x:c>
      <x:c r="U142" s="82" t="str">
        <x:v>Base code(s):</x:v>
      </x:c>
      <x:c r="V142" s="80" t="str">
        <x:v>Coleção principal (~1:64)</x:v>
      </x:c>
      <x:c r="W142" s="82" t="str">
        <x:v>https://hotwheels.fandom.com/wiki/Ferrari_333_SP</x:v>
      </x:c>
      <x:c r="X142" s="82" t="str">
        <x:v>https://hotwheels.fandom.com/wiki/Ferrari_333_SP</x:v>
      </x:c>
    </x:row>
    <x:row r="143">
      <x:c r="A143" s="80" t="str">
        <x:v>Não</x:v>
      </x:c>
      <x:c r="B143" s="80" t="str">
        <x:v>2 — Completar aos poucos</x:v>
      </x:c>
      <x:c r="C143" s="81" t="n">
        <x:v>2010</x:v>
      </x:c>
      <x:c r="D143" s="80" t="str">
        <x:v>Ferrari 360 Modena</x:v>
      </x:c>
      <x:c r="E143" s="80" t="str">
        <x:v>Ferrari 360 Modena</x:v>
      </x:c>
      <x:c r="F143" s="82" t="str">
        <x:v>Ferrari 5 5-Pack</x:v>
      </x:c>
      <x:c r="G143" s="80" t="str"/>
      <x:c r="H143" s="80" t="str"/>
      <x:c r="I143" s="83" t="str">
        <x:v>R0961</x:v>
      </x:c>
      <x:c r="J143" s="80" t="str">
        <x:v>White</x:v>
      </x:c>
      <x:c r="K143" s="82" t="str">
        <x:v>Red stripes outlined in Black on front. "360" on doors</x:v>
      </x:c>
      <x:c r="L143" s="82" t="str">
        <x:v>Black PR5</x:v>
      </x:c>
      <x:c r="M143" s="82" t="str">
        <x:v>Black / / / Metal</x:v>
      </x:c>
      <x:c r="N143" s="82" t="str">
        <x:v>Clear</x:v>
      </x:c>
      <x:c r="O143" s="82" t="str">
        <x:v>Black</x:v>
      </x:c>
      <x:c r="P143" s="82" t="str">
        <x:v>Thailand</x:v>
      </x:c>
      <x:c r="Q143" s="82" t="str"/>
      <x:c r="R143" s="82" t="str">
        <x:v>Temática / multipack</x:v>
      </x:c>
      <x:c r="S143" s="82" t="str">
        <x:v>Incomum</x:v>
      </x:c>
      <x:c r="T143" s="82" t="str">
        <x:v>Lançado</x:v>
      </x:c>
      <x:c r="U143" s="82" t="str">
        <x:v>Base code(s): C21</x:v>
      </x:c>
      <x:c r="V143" s="80" t="str">
        <x:v>Coleção principal (~1:64)</x:v>
      </x:c>
      <x:c r="W143" s="82" t="str">
        <x:v>https://hotwheels.fandom.com/wiki/Ferrari_360_Modena</x:v>
      </x:c>
      <x:c r="X143" s="82" t="str">
        <x:v>https://hotwheels.fandom.com/wiki/Ferrari_360_Modena</x:v>
      </x:c>
    </x:row>
    <x:row r="144">
      <x:c r="A144" s="80" t="str">
        <x:v>Não</x:v>
      </x:c>
      <x:c r="B144" s="80" t="str">
        <x:v>2 — Completar aos poucos</x:v>
      </x:c>
      <x:c r="C144" s="81" t="n">
        <x:v>2010</x:v>
      </x:c>
      <x:c r="D144" s="80" t="str">
        <x:v>Ferrari 365 GTS4</x:v>
      </x:c>
      <x:c r="E144" s="80" t="str">
        <x:v>Ferrari 365 GTS4</x:v>
      </x:c>
      <x:c r="F144" s="82" t="str">
        <x:v>Valentine's</x:v>
      </x:c>
      <x:c r="G144" s="80" t="str"/>
      <x:c r="H144" s="80" t="str"/>
      <x:c r="I144" s="83" t="str">
        <x:v>R7902</x:v>
      </x:c>
      <x:c r="J144" s="80" t="str">
        <x:v>Metallic Grey</x:v>
      </x:c>
      <x:c r="K144" s="82" t="str">
        <x:v>Detailed lights &amp; Ferrari emblem on hood</x:v>
      </x:c>
      <x:c r="L144" s="82" t="str">
        <x:v>5SP</x:v>
      </x:c>
      <x:c r="M144" s="82" t="str">
        <x:v>Chrome / / / Plastic</x:v>
      </x:c>
      <x:c r="N144" s="82" t="str">
        <x:v>Clear</x:v>
      </x:c>
      <x:c r="O144" s="82" t="str">
        <x:v>Dark Red</x:v>
      </x:c>
      <x:c r="P144" s="82" t="str">
        <x:v>Malaysia</x:v>
      </x:c>
      <x:c r="Q144" s="82" t="str"/>
      <x:c r="R144" s="82" t="str">
        <x:v>Outra linha</x:v>
      </x:c>
      <x:c r="S144" s="82" t="str">
        <x:v>Incomum</x:v>
      </x:c>
      <x:c r="T144" s="82" t="str">
        <x:v>Lançado</x:v>
      </x:c>
      <x:c r="U144" s="82" t="str">
        <x:v>Named 365 GTS4 Daytona Spider / Base code(s):</x:v>
      </x:c>
      <x:c r="V144" s="80" t="str">
        <x:v>Coleção principal (~1:64)</x:v>
      </x:c>
      <x:c r="W144" s="82" t="str">
        <x:v>https://hotwheels.fandom.com/wiki/Ferrari_365_GTS4</x:v>
      </x:c>
      <x:c r="X144" s="82" t="str">
        <x:v>https://hotwheels.fandom.com/wiki/Ferrari_365_GTS4</x:v>
      </x:c>
    </x:row>
    <x:row r="145">
      <x:c r="A145" s="80" t="str">
        <x:v>Não</x:v>
      </x:c>
      <x:c r="B145" s="80" t="str">
        <x:v>2 — Completar aos poucos</x:v>
      </x:c>
      <x:c r="C145" s="81" t="n">
        <x:v>2010</x:v>
      </x:c>
      <x:c r="D145" s="80" t="str">
        <x:v>Ferrari 365 GTS4</x:v>
      </x:c>
      <x:c r="E145" s="80" t="str">
        <x:v>Ferrari 365 GTS4</x:v>
      </x:c>
      <x:c r="F145" s="82" t="str">
        <x:v>Valentine's</x:v>
      </x:c>
      <x:c r="G145" s="80" t="str"/>
      <x:c r="H145" s="80" t="str"/>
      <x:c r="I145" s="83" t="str">
        <x:v>R7902</x:v>
      </x:c>
      <x:c r="J145" s="80" t="str">
        <x:v>Metallic Grey</x:v>
      </x:c>
      <x:c r="K145" s="82" t="str">
        <x:v>Detailed lights &amp; Ferrari emblem on hood</x:v>
      </x:c>
      <x:c r="L145" s="82" t="str">
        <x:v>5SP</x:v>
      </x:c>
      <x:c r="M145" s="82" t="str">
        <x:v>Chrome / / / Plastic</x:v>
      </x:c>
      <x:c r="N145" s="82" t="str">
        <x:v>Red tint</x:v>
      </x:c>
      <x:c r="O145" s="82" t="str">
        <x:v>Dark Red</x:v>
      </x:c>
      <x:c r="P145" s="82" t="str">
        <x:v>Malaysia</x:v>
      </x:c>
      <x:c r="Q145" s="82" t="str"/>
      <x:c r="R145" s="82" t="str">
        <x:v>Outra linha</x:v>
      </x:c>
      <x:c r="S145" s="82" t="str">
        <x:v>Incomum</x:v>
      </x:c>
      <x:c r="T145" s="82" t="str">
        <x:v>Lançado</x:v>
      </x:c>
      <x:c r="U145" s="82" t="str">
        <x:v>Named 365 GTS4 Daytona Spider / Base code(s): B40</x:v>
      </x:c>
      <x:c r="V145" s="80" t="str">
        <x:v>Coleção principal (~1:64)</x:v>
      </x:c>
      <x:c r="W145" s="82" t="str">
        <x:v>https://hotwheels.fandom.com/wiki/Ferrari_365_GTS4</x:v>
      </x:c>
      <x:c r="X145" s="82" t="str">
        <x:v>https://hotwheels.fandom.com/wiki/Ferrari_365_GTS4</x:v>
      </x:c>
    </x:row>
    <x:row r="146">
      <x:c r="A146" s="80" t="str">
        <x:v>Não</x:v>
      </x:c>
      <x:c r="B146" s="80" t="str">
        <x:v>2 — Completar aos poucos</x:v>
      </x:c>
      <x:c r="C146" s="81" t="n">
        <x:v>2010</x:v>
      </x:c>
      <x:c r="D146" s="80" t="str">
        <x:v>Ferrari 430 Scuderia</x:v>
      </x:c>
      <x:c r="E146" s="80" t="str">
        <x:v>Ferrari 430 Scuderia</x:v>
      </x:c>
      <x:c r="F146" s="82" t="str">
        <x:v>All Stars / 9/10</x:v>
      </x:c>
      <x:c r="G146" s="80" t="str"/>
      <x:c r="H146" s="80" t="str">
        <x:v>127/240</x:v>
      </x:c>
      <x:c r="I146" s="83" t="str">
        <x:v>R7552</x:v>
      </x:c>
      <x:c r="J146" s="80" t="str">
        <x:v>Red</x:v>
      </x:c>
      <x:c r="K146" s="82" t="str">
        <x:v>Thin Black stripe, Ferrari logos.</x:v>
      </x:c>
      <x:c r="L146" s="82" t="str">
        <x:v>Red rim, Black PR5</x:v>
      </x:c>
      <x:c r="M146" s="82" t="str">
        <x:v>Black / / / Plastic</x:v>
      </x:c>
      <x:c r="N146" s="82" t="str">
        <x:v>Clear</x:v>
      </x:c>
      <x:c r="O146" s="82" t="str">
        <x:v>Black</x:v>
      </x:c>
      <x:c r="P146" s="82" t="str">
        <x:v>Malaysia</x:v>
      </x:c>
      <x:c r="Q146" s="82" t="str">
        <x:v>Walmart</x:v>
      </x:c>
      <x:c r="R146" s="82" t="str">
        <x:v>Mainline</x:v>
      </x:c>
      <x:c r="S146" s="82" t="str">
        <x:v>Rara</x:v>
      </x:c>
      <x:c r="T146" s="82" t="str">
        <x:v>Lançado</x:v>
      </x:c>
      <x:c r="U146" s="82" t="str">
        <x:v>New in Mainline / Walmart Exclusive / Base code(s):</x:v>
      </x:c>
      <x:c r="V146" s="80" t="str">
        <x:v>Coleção principal (~1:64)</x:v>
      </x:c>
      <x:c r="W146" s="82" t="str">
        <x:v>https://hotwheels.fandom.com/wiki/Ferrari_430_Scuderia</x:v>
      </x:c>
      <x:c r="X146" s="82" t="str">
        <x:v>https://hotwheels.fandom.com/wiki/Ferrari_430_Scuderia</x:v>
      </x:c>
    </x:row>
    <x:row r="147">
      <x:c r="A147" s="80" t="str">
        <x:v>Não</x:v>
      </x:c>
      <x:c r="B147" s="80" t="str">
        <x:v>2 — Completar aos poucos</x:v>
      </x:c>
      <x:c r="C147" s="81" t="n">
        <x:v>2010</x:v>
      </x:c>
      <x:c r="D147" s="80" t="str">
        <x:v>Ferrari 430 Scuderia</x:v>
      </x:c>
      <x:c r="E147" s="80" t="str">
        <x:v>Ferrari 430 Scuderia</x:v>
      </x:c>
      <x:c r="F147" s="82" t="str">
        <x:v>All Stars / 9/10</x:v>
      </x:c>
      <x:c r="G147" s="80" t="str"/>
      <x:c r="H147" s="80" t="str">
        <x:v>127/240</x:v>
      </x:c>
      <x:c r="I147" s="83" t="str">
        <x:v>R7552</x:v>
      </x:c>
      <x:c r="J147" s="80" t="str">
        <x:v>Yellow</x:v>
      </x:c>
      <x:c r="K147" s="82" t="str">
        <x:v>Thin Black stripe, Ferrari logos.</x:v>
      </x:c>
      <x:c r="L147" s="82" t="str">
        <x:v>Yellow rim, Black PR5</x:v>
      </x:c>
      <x:c r="M147" s="82" t="str">
        <x:v>Black / / / Plastic</x:v>
      </x:c>
      <x:c r="N147" s="82" t="str">
        <x:v>Clear</x:v>
      </x:c>
      <x:c r="O147" s="82" t="str">
        <x:v>Black</x:v>
      </x:c>
      <x:c r="P147" s="82" t="str">
        <x:v>Malaysia</x:v>
      </x:c>
      <x:c r="Q147" s="82" t="str"/>
      <x:c r="R147" s="82" t="str">
        <x:v>Mainline</x:v>
      </x:c>
      <x:c r="S147" s="82" t="str">
        <x:v>Incomum</x:v>
      </x:c>
      <x:c r="T147" s="82" t="str">
        <x:v>Lançado</x:v>
      </x:c>
      <x:c r="U147" s="82" t="str">
        <x:v>New in Mainline / Base code(s): B34</x:v>
      </x:c>
      <x:c r="V147" s="80" t="str">
        <x:v>Coleção principal (~1:64)</x:v>
      </x:c>
      <x:c r="W147" s="82" t="str">
        <x:v>https://hotwheels.fandom.com/wiki/Ferrari_430_Scuderia</x:v>
      </x:c>
      <x:c r="X147" s="82" t="str">
        <x:v>https://hotwheels.fandom.com/wiki/Ferrari_430_Scuderia</x:v>
      </x:c>
    </x:row>
    <x:row r="148">
      <x:c r="A148" s="80" t="str">
        <x:v>Não</x:v>
      </x:c>
      <x:c r="B148" s="80" t="str">
        <x:v>2 — Completar aos poucos</x:v>
      </x:c>
      <x:c r="C148" s="81" t="n">
        <x:v>2010</x:v>
      </x:c>
      <x:c r="D148" s="80" t="str">
        <x:v>Ferrari 430 Scuderia</x:v>
      </x:c>
      <x:c r="E148" s="80" t="str">
        <x:v>Ferrari 430 Scuderia</x:v>
      </x:c>
      <x:c r="F148" s="82" t="str">
        <x:v>All Stars / 9/10</x:v>
      </x:c>
      <x:c r="G148" s="80" t="str"/>
      <x:c r="H148" s="80" t="str">
        <x:v>127/240</x:v>
      </x:c>
      <x:c r="I148" s="83" t="str">
        <x:v>R7552</x:v>
      </x:c>
      <x:c r="J148" s="80" t="str">
        <x:v>Yellow</x:v>
      </x:c>
      <x:c r="K148" s="82" t="str">
        <x:v>Thin Black stripe, Ferrari logos.</x:v>
      </x:c>
      <x:c r="L148" s="82" t="str">
        <x:v>Yellow rim, Black PR5</x:v>
      </x:c>
      <x:c r="M148" s="82" t="str">
        <x:v>Black / / / Plastic</x:v>
      </x:c>
      <x:c r="N148" s="82" t="str">
        <x:v>Tinted (Pink)</x:v>
      </x:c>
      <x:c r="O148" s="82" t="str">
        <x:v>Black</x:v>
      </x:c>
      <x:c r="P148" s="82" t="str">
        <x:v>Malaysia</x:v>
      </x:c>
      <x:c r="Q148" s="82" t="str"/>
      <x:c r="R148" s="82" t="str">
        <x:v>Mainline</x:v>
      </x:c>
      <x:c r="S148" s="82" t="str">
        <x:v>Incomum</x:v>
      </x:c>
      <x:c r="T148" s="82" t="str">
        <x:v>Lançado</x:v>
      </x:c>
      <x:c r="U148" s="82" t="str">
        <x:v>New in Mainline / Base code(s): B34</x:v>
      </x:c>
      <x:c r="V148" s="80" t="str">
        <x:v>Coleção principal (~1:64)</x:v>
      </x:c>
      <x:c r="W148" s="82" t="str">
        <x:v>https://hotwheels.fandom.com/wiki/Ferrari_430_Scuderia</x:v>
      </x:c>
      <x:c r="X148" s="82" t="str">
        <x:v>https://hotwheels.fandom.com/wiki/Ferrari_430_Scuderia</x:v>
      </x:c>
    </x:row>
    <x:row r="149">
      <x:c r="A149" s="80" t="str">
        <x:v>Não</x:v>
      </x:c>
      <x:c r="B149" s="80" t="str">
        <x:v>2 — Completar aos poucos</x:v>
      </x:c>
      <x:c r="C149" s="81" t="n">
        <x:v>2010</x:v>
      </x:c>
      <x:c r="D149" s="80" t="str">
        <x:v>Ferrari 458 Italia</x:v>
      </x:c>
      <x:c r="E149" s="80" t="str">
        <x:v>Ferrari 458 Italia</x:v>
      </x:c>
      <x:c r="F149" s="82" t="str">
        <x:v>2010 New Models / 34/44</x:v>
      </x:c>
      <x:c r="G149" s="80" t="str"/>
      <x:c r="H149" s="80" t="str">
        <x:v>034/240</x:v>
      </x:c>
      <x:c r="I149" s="83" t="str">
        <x:v>R0954</x:v>
      </x:c>
      <x:c r="J149" s="80" t="str">
        <x:v>Red</x:v>
      </x:c>
      <x:c r="K149" s="82" t="str">
        <x:v>Painted headlights, Ferrari badges &amp; Pininfarina logo on sides and roof</x:v>
      </x:c>
      <x:c r="L149" s="82" t="str">
        <x:v>OH5</x:v>
      </x:c>
      <x:c r="M149" s="82" t="str">
        <x:v>Black / / / Plastic</x:v>
      </x:c>
      <x:c r="N149" s="82" t="str">
        <x:v>Clear</x:v>
      </x:c>
      <x:c r="O149" s="82" t="str">
        <x:v>Black</x:v>
      </x:c>
      <x:c r="P149" s="82" t="str">
        <x:v>Malaysia</x:v>
      </x:c>
      <x:c r="Q149" s="82" t="str"/>
      <x:c r="R149" s="82" t="str">
        <x:v>Mainline</x:v>
      </x:c>
      <x:c r="S149" s="82" t="str">
        <x:v>Incomum</x:v>
      </x:c>
      <x:c r="T149" s="82" t="str">
        <x:v>Lançado</x:v>
      </x:c>
      <x:c r="U149" s="82" t="str">
        <x:v>Base code(s): C29, C30, C33</x:v>
      </x:c>
      <x:c r="V149" s="80" t="str">
        <x:v>Coleção principal (~1:64)</x:v>
      </x:c>
      <x:c r="W149" s="82" t="str">
        <x:v>https://hotwheels.fandom.com/wiki/Ferrari_458_Italia</x:v>
      </x:c>
      <x:c r="X149" s="82" t="str">
        <x:v>https://hotwheels.fandom.com/wiki/Ferrari_458_Italia</x:v>
      </x:c>
    </x:row>
    <x:row r="150">
      <x:c r="A150" s="80" t="str">
        <x:v>Não</x:v>
      </x:c>
      <x:c r="B150" s="80" t="str">
        <x:v>2 — Completar aos poucos</x:v>
      </x:c>
      <x:c r="C150" s="81" t="n">
        <x:v>2010</x:v>
      </x:c>
      <x:c r="D150" s="80" t="str">
        <x:v>Ferrari 458 Italia</x:v>
      </x:c>
      <x:c r="E150" s="80" t="str">
        <x:v>Ferrari 458 Italia</x:v>
      </x:c>
      <x:c r="F150" s="82" t="str">
        <x:v>2010 New Models / 34/44</x:v>
      </x:c>
      <x:c r="G150" s="80" t="str"/>
      <x:c r="H150" s="80" t="str">
        <x:v>034/240</x:v>
      </x:c>
      <x:c r="I150" s="83" t="str">
        <x:v>R0954</x:v>
      </x:c>
      <x:c r="J150" s="80" t="str">
        <x:v>Yellow</x:v>
      </x:c>
      <x:c r="K150" s="82" t="str">
        <x:v>Painted headlights, Ferrari badges &amp; Pininfarina logo on sides</x:v>
      </x:c>
      <x:c r="L150" s="82" t="str">
        <x:v>OH5</x:v>
      </x:c>
      <x:c r="M150" s="82" t="str">
        <x:v>Black / / / Plastic</x:v>
      </x:c>
      <x:c r="N150" s="82" t="str">
        <x:v>Tinted (Black)</x:v>
      </x:c>
      <x:c r="O150" s="82" t="str">
        <x:v>Black</x:v>
      </x:c>
      <x:c r="P150" s="82" t="str">
        <x:v>Malaysia</x:v>
      </x:c>
      <x:c r="Q150" s="82" t="str"/>
      <x:c r="R150" s="82" t="str">
        <x:v>Mainline</x:v>
      </x:c>
      <x:c r="S150" s="82" t="str">
        <x:v>Incomum</x:v>
      </x:c>
      <x:c r="T150" s="82" t="str">
        <x:v>Lançado</x:v>
      </x:c>
      <x:c r="U150" s="82" t="str">
        <x:v>Base code(s): C35, C37, C38, C43, C45, C46</x:v>
      </x:c>
      <x:c r="V150" s="80" t="str">
        <x:v>Coleção principal (~1:64)</x:v>
      </x:c>
      <x:c r="W150" s="82" t="str">
        <x:v>https://hotwheels.fandom.com/wiki/Ferrari_458_Italia</x:v>
      </x:c>
      <x:c r="X150" s="82" t="str">
        <x:v>https://hotwheels.fandom.com/wiki/Ferrari_458_Italia</x:v>
      </x:c>
    </x:row>
    <x:row r="151">
      <x:c r="A151" s="80" t="str">
        <x:v>Não</x:v>
      </x:c>
      <x:c r="B151" s="80" t="str">
        <x:v>2 — Completar aos poucos</x:v>
      </x:c>
      <x:c r="C151" s="81" t="n">
        <x:v>2010</x:v>
      </x:c>
      <x:c r="D151" s="80" t="str">
        <x:v>Ferrari 575 GTC</x:v>
      </x:c>
      <x:c r="E151" s="80" t="str">
        <x:v>Ferrari 575 GTC</x:v>
      </x:c>
      <x:c r="F151" s="82" t="str">
        <x:v>Speed Machines</x:v>
      </x:c>
      <x:c r="G151" s="80" t="str"/>
      <x:c r="H151" s="80" t="str"/>
      <x:c r="I151" s="83" t="str">
        <x:v>R8496</x:v>
      </x:c>
      <x:c r="J151" s="80" t="str">
        <x:v>Red</x:v>
      </x:c>
      <x:c r="K151" s="82" t="str">
        <x:v>White &amp; Blue lines,"575" on both sides &amp; hood,Ferrari Logo on rear wing</x:v>
      </x:c>
      <x:c r="L151" s="82" t="str">
        <x:v>Grey CM6</x:v>
      </x:c>
      <x:c r="M151" s="82" t="str">
        <x:v>Black / / / Metal</x:v>
      </x:c>
      <x:c r="N151" s="82" t="str">
        <x:v>Tinted</x:v>
      </x:c>
      <x:c r="O151" s="82" t="str">
        <x:v>Black</x:v>
      </x:c>
      <x:c r="P151" s="82" t="str">
        <x:v>Malaysia</x:v>
      </x:c>
      <x:c r="Q151" s="82" t="str"/>
      <x:c r="R151" s="82" t="str">
        <x:v>Premium</x:v>
      </x:c>
      <x:c r="S151" s="82" t="str">
        <x:v>Incomum</x:v>
      </x:c>
      <x:c r="T151" s="82" t="str">
        <x:v>Lançado</x:v>
      </x:c>
      <x:c r="U151" s="82" t="str">
        <x:v>Base code(s):</x:v>
      </x:c>
      <x:c r="V151" s="80" t="str">
        <x:v>Coleção principal (~1:64)</x:v>
      </x:c>
      <x:c r="W151" s="82" t="str">
        <x:v>https://hotwheels.fandom.com/wiki/Ferrari_575_GTC</x:v>
      </x:c>
      <x:c r="X151" s="82" t="str">
        <x:v>https://hotwheels.fandom.com/wiki/Ferrari_575_GTC</x:v>
      </x:c>
    </x:row>
    <x:row r="152">
      <x:c r="A152" s="80" t="str">
        <x:v>Não</x:v>
      </x:c>
      <x:c r="B152" s="80" t="str">
        <x:v>2 — Completar aos poucos</x:v>
      </x:c>
      <x:c r="C152" s="81" t="n">
        <x:v>2010</x:v>
      </x:c>
      <x:c r="D152" s="80" t="str">
        <x:v>Ferrari 599 GTB Fiorano</x:v>
      </x:c>
      <x:c r="E152" s="80" t="str">
        <x:v>Ferrari 599 GTB Fiorano</x:v>
      </x:c>
      <x:c r="F152" s="82" t="str">
        <x:v>Speed Machines</x:v>
      </x:c>
      <x:c r="G152" s="80" t="str"/>
      <x:c r="H152" s="80" t="str"/>
      <x:c r="I152" s="83" t="str">
        <x:v>T4418</x:v>
      </x:c>
      <x:c r="J152" s="80" t="str">
        <x:v>Metallic Black</x:v>
      </x:c>
      <x:c r="K152" s="82" t="str">
        <x:v>Light and trim details. Italy licence plate on rear</x:v>
      </x:c>
      <x:c r="L152" s="82" t="str">
        <x:v>Chrome rim, Gray CM6</x:v>
      </x:c>
      <x:c r="M152" s="82" t="str">
        <x:v>Black / / / Plastic</x:v>
      </x:c>
      <x:c r="N152" s="82" t="str">
        <x:v>Tinted</x:v>
      </x:c>
      <x:c r="O152" s="82" t="str">
        <x:v>Red</x:v>
      </x:c>
      <x:c r="P152" s="82" t="str">
        <x:v>Malaysia</x:v>
      </x:c>
      <x:c r="Q152" s="82" t="str"/>
      <x:c r="R152" s="82" t="str">
        <x:v>Premium</x:v>
      </x:c>
      <x:c r="S152" s="82" t="str">
        <x:v>Incomum</x:v>
      </x:c>
      <x:c r="T152" s="82" t="str">
        <x:v>Lançado</x:v>
      </x:c>
      <x:c r="U152" s="82" t="str">
        <x:v>Named 599 GTB Fiorano / Base code(s):</x:v>
      </x:c>
      <x:c r="V152" s="80" t="str">
        <x:v>Coleção principal (~1:64)</x:v>
      </x:c>
      <x:c r="W152" s="82" t="str">
        <x:v>https://hotwheels.fandom.com/wiki/Ferrari_599_GTB_Fiorano</x:v>
      </x:c>
      <x:c r="X152" s="82" t="str">
        <x:v>https://hotwheels.fandom.com/wiki/Ferrari_599_GTB_Fiorano</x:v>
      </x:c>
    </x:row>
    <x:row r="153">
      <x:c r="A153" s="80" t="str">
        <x:v>Não</x:v>
      </x:c>
      <x:c r="B153" s="80" t="str">
        <x:v>2 — Completar aos poucos</x:v>
      </x:c>
      <x:c r="C153" s="81" t="n">
        <x:v>2010</x:v>
      </x:c>
      <x:c r="D153" s="80" t="str">
        <x:v>Ferrari 599 GTB Fiorano</x:v>
      </x:c>
      <x:c r="E153" s="80" t="str">
        <x:v>Ferrari 599 GTB Fiorano</x:v>
      </x:c>
      <x:c r="F153" s="82" t="str">
        <x:v>Speed Machines</x:v>
      </x:c>
      <x:c r="G153" s="80" t="str"/>
      <x:c r="H153" s="80" t="str"/>
      <x:c r="I153" s="83" t="str">
        <x:v>R8487</x:v>
      </x:c>
      <x:c r="J153" s="80" t="str">
        <x:v>Metallic Steel Blue</x:v>
      </x:c>
      <x:c r="K153" s="82" t="str">
        <x:v>Flat Black roof, Light and trim details. Italy licence plate on rear</x:v>
      </x:c>
      <x:c r="L153" s="82" t="str">
        <x:v>Black CM6</x:v>
      </x:c>
      <x:c r="M153" s="82" t="str">
        <x:v>Black / / / Plastic</x:v>
      </x:c>
      <x:c r="N153" s="82" t="str">
        <x:v>Clear</x:v>
      </x:c>
      <x:c r="O153" s="82" t="str">
        <x:v>Black</x:v>
      </x:c>
      <x:c r="P153" s="82" t="str">
        <x:v>Malaysia</x:v>
      </x:c>
      <x:c r="Q153" s="82" t="str"/>
      <x:c r="R153" s="82" t="str">
        <x:v>Premium</x:v>
      </x:c>
      <x:c r="S153" s="82" t="str">
        <x:v>Incomum</x:v>
      </x:c>
      <x:c r="T153" s="82" t="str">
        <x:v>Lançado</x:v>
      </x:c>
      <x:c r="U153" s="82" t="str">
        <x:v>Named 599 GTB Fiorano / Base code(s): B51</x:v>
      </x:c>
      <x:c r="V153" s="80" t="str">
        <x:v>Coleção principal (~1:64)</x:v>
      </x:c>
      <x:c r="W153" s="82" t="str">
        <x:v>https://hotwheels.fandom.com/wiki/Ferrari_599_GTB_Fiorano</x:v>
      </x:c>
      <x:c r="X153" s="82" t="str">
        <x:v>https://hotwheels.fandom.com/wiki/Ferrari_599_GTB_Fiorano</x:v>
      </x:c>
    </x:row>
    <x:row r="154">
      <x:c r="A154" s="80" t="str">
        <x:v>Não</x:v>
      </x:c>
      <x:c r="B154" s="80" t="str">
        <x:v>2 — Completar aos poucos</x:v>
      </x:c>
      <x:c r="C154" s="81" t="n">
        <x:v>2010</x:v>
      </x:c>
      <x:c r="D154" s="80" t="str">
        <x:v>Ferrari 599 GTB Fiorano</x:v>
      </x:c>
      <x:c r="E154" s="80" t="str">
        <x:v>Ferrari 599 GTB Fiorano</x:v>
      </x:c>
      <x:c r="F154" s="82" t="str">
        <x:v>Speed Machines</x:v>
      </x:c>
      <x:c r="G154" s="80" t="str"/>
      <x:c r="H154" s="80" t="str"/>
      <x:c r="I154" s="83" t="str">
        <x:v>R8487</x:v>
      </x:c>
      <x:c r="J154" s="80" t="str">
        <x:v>Metallic Steel Blue</x:v>
      </x:c>
      <x:c r="K154" s="82" t="str">
        <x:v>Flat Black roof, Light and trim details. Italy licence plate on rear</x:v>
      </x:c>
      <x:c r="L154" s="82" t="str">
        <x:v>Black CM6</x:v>
      </x:c>
      <x:c r="M154" s="82" t="str">
        <x:v>Black / / / Plastic</x:v>
      </x:c>
      <x:c r="N154" s="82" t="str">
        <x:v>Pink (Tinted)</x:v>
      </x:c>
      <x:c r="O154" s="82" t="str">
        <x:v>Black</x:v>
      </x:c>
      <x:c r="P154" s="82" t="str">
        <x:v>Malaysia</x:v>
      </x:c>
      <x:c r="Q154" s="82" t="str"/>
      <x:c r="R154" s="82" t="str">
        <x:v>Premium</x:v>
      </x:c>
      <x:c r="S154" s="82" t="str">
        <x:v>Incomum</x:v>
      </x:c>
      <x:c r="T154" s="82" t="str">
        <x:v>Lançado</x:v>
      </x:c>
      <x:c r="U154" s="82" t="str">
        <x:v>Named 599 GTB Fiorano / Base code(s):</x:v>
      </x:c>
      <x:c r="V154" s="80" t="str">
        <x:v>Coleção principal (~1:64)</x:v>
      </x:c>
      <x:c r="W154" s="82" t="str">
        <x:v>https://hotwheels.fandom.com/wiki/Ferrari_599_GTB_Fiorano</x:v>
      </x:c>
      <x:c r="X154" s="82" t="str">
        <x:v>https://hotwheels.fandom.com/wiki/Ferrari_599_GTB_Fiorano</x:v>
      </x:c>
    </x:row>
    <x:row r="155">
      <x:c r="A155" s="80" t="str">
        <x:v>Não</x:v>
      </x:c>
      <x:c r="B155" s="80" t="str">
        <x:v>2 — Completar aos poucos</x:v>
      </x:c>
      <x:c r="C155" s="81" t="n">
        <x:v>2010</x:v>
      </x:c>
      <x:c r="D155" s="80" t="str">
        <x:v>Ferrari 599XX</x:v>
      </x:c>
      <x:c r="E155" s="80" t="str">
        <x:v>Ferrari 599XX</x:v>
      </x:c>
      <x:c r="F155" s="82" t="str">
        <x:v>Speed Machines</x:v>
      </x:c>
      <x:c r="G155" s="80" t="str"/>
      <x:c r="H155" s="80" t="str"/>
      <x:c r="I155" s="83" t="str">
        <x:v>T4413</x:v>
      </x:c>
      <x:c r="J155" s="80" t="str">
        <x:v>Black</x:v>
      </x:c>
      <x:c r="K155" s="82" t="str">
        <x:v>Ferrari emblems, and trim details, Red and Yellow stripes, "599"</x:v>
      </x:c>
      <x:c r="L155" s="82" t="str">
        <x:v>Gold Chrome rim, Black CM6</x:v>
      </x:c>
      <x:c r="M155" s="82" t="str">
        <x:v>Black / / / Plastic</x:v>
      </x:c>
      <x:c r="N155" s="82" t="str">
        <x:v>Clear</x:v>
      </x:c>
      <x:c r="O155" s="82" t="str">
        <x:v>Tan</x:v>
      </x:c>
      <x:c r="P155" s="82" t="str">
        <x:v>Malaysia</x:v>
      </x:c>
      <x:c r="Q155" s="82" t="str"/>
      <x:c r="R155" s="82" t="str">
        <x:v>Premium</x:v>
      </x:c>
      <x:c r="S155" s="82" t="str">
        <x:v>Incomum</x:v>
      </x:c>
      <x:c r="T155" s="82" t="str">
        <x:v>Lançado</x:v>
      </x:c>
      <x:c r="U155" s="82" t="str">
        <x:v>Named Ferrari 599 XX / Base code(s):</x:v>
      </x:c>
      <x:c r="V155" s="80" t="str">
        <x:v>Coleção principal (~1:64)</x:v>
      </x:c>
      <x:c r="W155" s="82" t="str">
        <x:v>https://hotwheels.fandom.com/wiki/Ferrari_599XX</x:v>
      </x:c>
      <x:c r="X155" s="82" t="str">
        <x:v>https://hotwheels.fandom.com/wiki/Ferrari_599XX</x:v>
      </x:c>
    </x:row>
    <x:row r="156">
      <x:c r="A156" s="80" t="str">
        <x:v>Não</x:v>
      </x:c>
      <x:c r="B156" s="80" t="str">
        <x:v>2 — Completar aos poucos</x:v>
      </x:c>
      <x:c r="C156" s="81" t="n">
        <x:v>2010</x:v>
      </x:c>
      <x:c r="D156" s="80" t="str">
        <x:v>Ferrari 599XX</x:v>
      </x:c>
      <x:c r="E156" s="80" t="str">
        <x:v>Ferrari 599XX</x:v>
      </x:c>
      <x:c r="F156" s="82" t="str">
        <x:v>Speed Machines</x:v>
      </x:c>
      <x:c r="G156" s="80" t="str"/>
      <x:c r="H156" s="80" t="str"/>
      <x:c r="I156" s="83" t="str">
        <x:v>R8477</x:v>
      </x:c>
      <x:c r="J156" s="80" t="str">
        <x:v>Red and Black</x:v>
      </x:c>
      <x:c r="K156" s="82" t="str">
        <x:v>Ferrari emblems, and trim details, "3"</x:v>
      </x:c>
      <x:c r="L156" s="82" t="str">
        <x:v>Red Chrome rim, Black CM6</x:v>
      </x:c>
      <x:c r="M156" s="82" t="str">
        <x:v>Black / / / Plastic</x:v>
      </x:c>
      <x:c r="N156" s="82" t="str">
        <x:v>Clear</x:v>
      </x:c>
      <x:c r="O156" s="82" t="str">
        <x:v>Black</x:v>
      </x:c>
      <x:c r="P156" s="82" t="str">
        <x:v>Malaysia</x:v>
      </x:c>
      <x:c r="Q156" s="82" t="str"/>
      <x:c r="R156" s="82" t="str">
        <x:v>Premium</x:v>
      </x:c>
      <x:c r="S156" s="82" t="str">
        <x:v>Incomum</x:v>
      </x:c>
      <x:c r="T156" s="82" t="str">
        <x:v>Lançado</x:v>
      </x:c>
      <x:c r="U156" s="82" t="str">
        <x:v>Base code(s): C12</x:v>
      </x:c>
      <x:c r="V156" s="80" t="str">
        <x:v>Coleção principal (~1:64)</x:v>
      </x:c>
      <x:c r="W156" s="82" t="str">
        <x:v>https://hotwheels.fandom.com/wiki/Ferrari_599XX</x:v>
      </x:c>
      <x:c r="X156" s="82" t="str">
        <x:v>https://hotwheels.fandom.com/wiki/Ferrari_599XX</x:v>
      </x:c>
    </x:row>
    <x:row r="157">
      <x:c r="A157" s="80" t="str">
        <x:v>Não</x:v>
      </x:c>
      <x:c r="B157" s="80" t="str">
        <x:v>2 — Completar aos poucos</x:v>
      </x:c>
      <x:c r="C157" s="81" t="n">
        <x:v>2010</x:v>
      </x:c>
      <x:c r="D157" s="80" t="str">
        <x:v>Ferrari 599XX</x:v>
      </x:c>
      <x:c r="E157" s="80" t="str">
        <x:v>Ferrari 599XX</x:v>
      </x:c>
      <x:c r="F157" s="82" t="str">
        <x:v>Speed Machines</x:v>
      </x:c>
      <x:c r="G157" s="80" t="str"/>
      <x:c r="H157" s="80" t="str"/>
      <x:c r="I157" s="83" t="str">
        <x:v>T4408</x:v>
      </x:c>
      <x:c r="J157" s="80" t="str">
        <x:v>Yellow and Black</x:v>
      </x:c>
      <x:c r="K157" s="82" t="str">
        <x:v>Ferrari emblems, and trim details, Red and Black stripes, "599"</x:v>
      </x:c>
      <x:c r="L157" s="82" t="str">
        <x:v>Red Chrome rim, Black CM6</x:v>
      </x:c>
      <x:c r="M157" s="82" t="str">
        <x:v>Black / / / Plastic</x:v>
      </x:c>
      <x:c r="N157" s="82" t="str">
        <x:v>Clear</x:v>
      </x:c>
      <x:c r="O157" s="82" t="str">
        <x:v>Black</x:v>
      </x:c>
      <x:c r="P157" s="82" t="str">
        <x:v>Malaysia</x:v>
      </x:c>
      <x:c r="Q157" s="82" t="str"/>
      <x:c r="R157" s="82" t="str">
        <x:v>Premium</x:v>
      </x:c>
      <x:c r="S157" s="82" t="str">
        <x:v>Incomum</x:v>
      </x:c>
      <x:c r="T157" s="82" t="str">
        <x:v>Lançado</x:v>
      </x:c>
      <x:c r="U157" s="82" t="str">
        <x:v>Base code(s):</x:v>
      </x:c>
      <x:c r="V157" s="80" t="str">
        <x:v>Coleção principal (~1:64)</x:v>
      </x:c>
      <x:c r="W157" s="82" t="str">
        <x:v>https://hotwheels.fandom.com/wiki/Ferrari_599XX</x:v>
      </x:c>
      <x:c r="X157" s="82" t="str">
        <x:v>https://hotwheels.fandom.com/wiki/Ferrari_599XX</x:v>
      </x:c>
    </x:row>
    <x:row r="158">
      <x:c r="A158" s="80" t="str">
        <x:v>Não</x:v>
      </x:c>
      <x:c r="B158" s="80" t="str">
        <x:v>2 — Completar aos poucos</x:v>
      </x:c>
      <x:c r="C158" s="81" t="n">
        <x:v>2010</x:v>
      </x:c>
      <x:c r="D158" s="80" t="str">
        <x:v>Ferrari 612 Scaglietti</x:v>
      </x:c>
      <x:c r="E158" s="80" t="str">
        <x:v>Ferrari 612 Scaglietti</x:v>
      </x:c>
      <x:c r="F158" s="82" t="str">
        <x:v>Ferrari 5 5-Pack</x:v>
      </x:c>
      <x:c r="G158" s="80" t="str"/>
      <x:c r="H158" s="80" t="str"/>
      <x:c r="I158" s="83" t="str">
        <x:v>R0961</x:v>
      </x:c>
      <x:c r="J158" s="80" t="str">
        <x:v>Metalflake Rosso Monza</x:v>
      </x:c>
      <x:c r="K158" s="82" t="str">
        <x:v>White outline stripe on front. Ferrari badges.</x:v>
      </x:c>
      <x:c r="L158" s="82" t="str">
        <x:v>10SP</x:v>
      </x:c>
      <x:c r="M158" s="82" t="str">
        <x:v>Black / / / Plastic</x:v>
      </x:c>
      <x:c r="N158" s="82" t="str">
        <x:v>Clear</x:v>
      </x:c>
      <x:c r="O158" s="82" t="str">
        <x:v>Tan</x:v>
      </x:c>
      <x:c r="P158" s="82" t="str">
        <x:v>Thailand</x:v>
      </x:c>
      <x:c r="Q158" s="82" t="str"/>
      <x:c r="R158" s="82" t="str">
        <x:v>Temática / multipack</x:v>
      </x:c>
      <x:c r="S158" s="82" t="str">
        <x:v>Incomum</x:v>
      </x:c>
      <x:c r="T158" s="82" t="str">
        <x:v>Lançado</x:v>
      </x:c>
      <x:c r="U158" s="82" t="str"/>
      <x:c r="V158" s="80" t="str">
        <x:v>Coleção principal (~1:64)</x:v>
      </x:c>
      <x:c r="W158" s="82" t="str">
        <x:v>https://hotwheels.fandom.com/wiki/Ferrari_612_Scaglietti</x:v>
      </x:c>
      <x:c r="X158" s="82" t="str">
        <x:v>https://hotwheels.fandom.com/wiki/Ferrari_612_Scaglietti</x:v>
      </x:c>
    </x:row>
    <x:row r="159">
      <x:c r="A159" s="80" t="str">
        <x:v>Não</x:v>
      </x:c>
      <x:c r="B159" s="80" t="str">
        <x:v>2 — Completar aos poucos</x:v>
      </x:c>
      <x:c r="C159" s="81" t="n">
        <x:v>2010</x:v>
      </x:c>
      <x:c r="D159" s="80" t="str">
        <x:v>Ferrari California</x:v>
      </x:c>
      <x:c r="E159" s="80" t="str">
        <x:v>Ferrari California</x:v>
      </x:c>
      <x:c r="F159" s="82" t="str">
        <x:v>Ferrari 5-Pack</x:v>
      </x:c>
      <x:c r="G159" s="80" t="str"/>
      <x:c r="H159" s="80" t="str"/>
      <x:c r="I159" s="83" t="str">
        <x:v>R0961</x:v>
      </x:c>
      <x:c r="J159" s="80" t="str">
        <x:v>Yellow</x:v>
      </x:c>
      <x:c r="K159" s="82" t="str">
        <x:v>Ferrari logos on front and sides</x:v>
      </x:c>
      <x:c r="L159" s="82" t="str">
        <x:v>10SP</x:v>
      </x:c>
      <x:c r="M159" s="82" t="str">
        <x:v>Black / / / Plastic</x:v>
      </x:c>
      <x:c r="N159" s="82" t="str">
        <x:v>Clear</x:v>
      </x:c>
      <x:c r="O159" s="82" t="str">
        <x:v>Black</x:v>
      </x:c>
      <x:c r="P159" s="82" t="str">
        <x:v>Thailand</x:v>
      </x:c>
      <x:c r="Q159" s="82" t="str"/>
      <x:c r="R159" s="82" t="str">
        <x:v>Temática / multipack</x:v>
      </x:c>
      <x:c r="S159" s="82" t="str">
        <x:v>Incomum</x:v>
      </x:c>
      <x:c r="T159" s="82" t="str">
        <x:v>Lançado</x:v>
      </x:c>
      <x:c r="U159" s="82" t="str">
        <x:v>Base code(s): B45, C33</x:v>
      </x:c>
      <x:c r="V159" s="80" t="str">
        <x:v>Coleção principal (~1:64)</x:v>
      </x:c>
      <x:c r="W159" s="82" t="str">
        <x:v>https://hotwheels.fandom.com/wiki/Ferrari_California</x:v>
      </x:c>
      <x:c r="X159" s="82" t="str">
        <x:v>https://hotwheels.fandom.com/wiki/Ferrari_California</x:v>
      </x:c>
    </x:row>
    <x:row r="160">
      <x:c r="A160" s="80" t="str">
        <x:v>Não</x:v>
      </x:c>
      <x:c r="B160" s="80" t="str">
        <x:v>2 — Completar aos poucos</x:v>
      </x:c>
      <x:c r="C160" s="81" t="n">
        <x:v>2010</x:v>
      </x:c>
      <x:c r="D160" s="80" t="str">
        <x:v>Ferrari California</x:v>
      </x:c>
      <x:c r="E160" s="80" t="str">
        <x:v>Ferrari California</x:v>
      </x:c>
      <x:c r="F160" s="82" t="str">
        <x:v>Speed Machines</x:v>
      </x:c>
      <x:c r="G160" s="80" t="str"/>
      <x:c r="H160" s="80" t="str"/>
      <x:c r="I160" s="83" t="str">
        <x:v>T4416</x:v>
      </x:c>
      <x:c r="J160" s="80" t="str">
        <x:v>Metalflake Blue</x:v>
      </x:c>
      <x:c r="K160" s="82" t="str">
        <x:v>Trim, Emblem and Light Details</x:v>
      </x:c>
      <x:c r="L160" s="82" t="str">
        <x:v>Chrome rim, Gray CM6</x:v>
      </x:c>
      <x:c r="M160" s="82" t="str">
        <x:v>Black / / / Plastic</x:v>
      </x:c>
      <x:c r="N160" s="82" t="str">
        <x:v>Clear</x:v>
      </x:c>
      <x:c r="O160" s="82" t="str">
        <x:v>Light Tan</x:v>
      </x:c>
      <x:c r="P160" s="82" t="str">
        <x:v>Malaysia</x:v>
      </x:c>
      <x:c r="Q160" s="82" t="str"/>
      <x:c r="R160" s="82" t="str">
        <x:v>Premium</x:v>
      </x:c>
      <x:c r="S160" s="82" t="str">
        <x:v>Incomum</x:v>
      </x:c>
      <x:c r="T160" s="82" t="str">
        <x:v>Lançado</x:v>
      </x:c>
      <x:c r="U160" s="82" t="str">
        <x:v>Base code(s):</x:v>
      </x:c>
      <x:c r="V160" s="80" t="str">
        <x:v>Coleção principal (~1:64)</x:v>
      </x:c>
      <x:c r="W160" s="82" t="str">
        <x:v>https://hotwheels.fandom.com/wiki/Ferrari_California</x:v>
      </x:c>
      <x:c r="X160" s="82" t="str">
        <x:v>https://hotwheels.fandom.com/wiki/Ferrari_California</x:v>
      </x:c>
    </x:row>
    <x:row r="161">
      <x:c r="A161" s="80" t="str">
        <x:v>Não</x:v>
      </x:c>
      <x:c r="B161" s="80" t="str">
        <x:v>2 — Completar aos poucos</x:v>
      </x:c>
      <x:c r="C161" s="81" t="n">
        <x:v>2010</x:v>
      </x:c>
      <x:c r="D161" s="80" t="str">
        <x:v>Ferrari California</x:v>
      </x:c>
      <x:c r="E161" s="80" t="str">
        <x:v>Ferrari California</x:v>
      </x:c>
      <x:c r="F161" s="82" t="str">
        <x:v>Speed Machines</x:v>
      </x:c>
      <x:c r="G161" s="80" t="str"/>
      <x:c r="H161" s="80" t="str"/>
      <x:c r="I161" s="83" t="str">
        <x:v>R8485</x:v>
      </x:c>
      <x:c r="J161" s="80" t="str">
        <x:v>Metalflake Gray</x:v>
      </x:c>
      <x:c r="K161" s="82" t="str">
        <x:v>Trim, Emblem and Light Details</x:v>
      </x:c>
      <x:c r="L161" s="82" t="str">
        <x:v>Gray CM6</x:v>
      </x:c>
      <x:c r="M161" s="82" t="str">
        <x:v>Black / / / Plastic</x:v>
      </x:c>
      <x:c r="N161" s="82" t="str">
        <x:v>Clear</x:v>
      </x:c>
      <x:c r="O161" s="82" t="str">
        <x:v>Dark Red</x:v>
      </x:c>
      <x:c r="P161" s="82" t="str">
        <x:v>Malaysia</x:v>
      </x:c>
      <x:c r="Q161" s="82" t="str"/>
      <x:c r="R161" s="82" t="str">
        <x:v>Premium</x:v>
      </x:c>
      <x:c r="S161" s="82" t="str">
        <x:v>Incomum</x:v>
      </x:c>
      <x:c r="T161" s="82" t="str">
        <x:v>Lançado</x:v>
      </x:c>
      <x:c r="U161" s="82" t="str">
        <x:v>Base code(s): B51</x:v>
      </x:c>
      <x:c r="V161" s="80" t="str">
        <x:v>Coleção principal (~1:64)</x:v>
      </x:c>
      <x:c r="W161" s="82" t="str">
        <x:v>https://hotwheels.fandom.com/wiki/Ferrari_California</x:v>
      </x:c>
      <x:c r="X161" s="82" t="str">
        <x:v>https://hotwheels.fandom.com/wiki/Ferrari_California</x:v>
      </x:c>
    </x:row>
    <x:row r="162">
      <x:c r="A162" s="80" t="str">
        <x:v>Não</x:v>
      </x:c>
      <x:c r="B162" s="80" t="str">
        <x:v>2 — Completar aos poucos</x:v>
      </x:c>
      <x:c r="C162" s="81" t="n">
        <x:v>2010</x:v>
      </x:c>
      <x:c r="D162" s="80" t="str">
        <x:v>Ferrari F355 Challenge</x:v>
      </x:c>
      <x:c r="E162" s="80" t="str">
        <x:v>Ferrari F355 Challenge</x:v>
      </x:c>
      <x:c r="F162" s="82" t="str">
        <x:v>Ferrari 5 5-Pack</x:v>
      </x:c>
      <x:c r="G162" s="80" t="str"/>
      <x:c r="H162" s="80" t="str"/>
      <x:c r="I162" s="83" t="str">
        <x:v>R0961</x:v>
      </x:c>
      <x:c r="J162" s="80" t="str">
        <x:v>Red</x:v>
      </x:c>
      <x:c r="K162" s="82" t="str">
        <x:v>White and Grey flames, Yellow "355"</x:v>
      </x:c>
      <x:c r="L162" s="82" t="str">
        <x:v>PR5</x:v>
      </x:c>
      <x:c r="M162" s="82" t="str">
        <x:v>Black / Plastic</x:v>
      </x:c>
      <x:c r="N162" s="82" t="str">
        <x:v>Clear</x:v>
      </x:c>
      <x:c r="O162" s="82" t="str">
        <x:v>Black</x:v>
      </x:c>
      <x:c r="P162" s="82" t="str">
        <x:v>Thailand</x:v>
      </x:c>
      <x:c r="Q162" s="82" t="str"/>
      <x:c r="R162" s="82" t="str">
        <x:v>Temática / multipack</x:v>
      </x:c>
      <x:c r="S162" s="82" t="str">
        <x:v>Incomum</x:v>
      </x:c>
      <x:c r="T162" s="82" t="str">
        <x:v>Lançado</x:v>
      </x:c>
      <x:c r="U162" s="82" t="str">
        <x:v>Base Codes(s): C14, C23, C33</x:v>
      </x:c>
      <x:c r="V162" s="80" t="str">
        <x:v>Coleção principal (~1:64)</x:v>
      </x:c>
      <x:c r="W162" s="82" t="str">
        <x:v>https://hotwheels.fandom.com/wiki/Ferrari_F355_Challenge</x:v>
      </x:c>
      <x:c r="X162" s="82" t="str">
        <x:v>https://hotwheels.fandom.com/wiki/Ferrari_F355_Challenge</x:v>
      </x:c>
    </x:row>
    <x:row r="163">
      <x:c r="A163" s="80" t="str">
        <x:v>Não</x:v>
      </x:c>
      <x:c r="B163" s="80" t="str">
        <x:v>2 — Completar aos poucos</x:v>
      </x:c>
      <x:c r="C163" s="81" t="n">
        <x:v>2010</x:v>
      </x:c>
      <x:c r="D163" s="80" t="str">
        <x:v>Ferrari F430 Challenge</x:v>
      </x:c>
      <x:c r="E163" s="80" t="str">
        <x:v>Ferrari F430 Challenge</x:v>
      </x:c>
      <x:c r="F163" s="82" t="str">
        <x:v>HW Racing / 6/10</x:v>
      </x:c>
      <x:c r="G163" s="80" t="str"/>
      <x:c r="H163" s="80" t="str">
        <x:v>154/240</x:v>
      </x:c>
      <x:c r="I163" s="83" t="str">
        <x:v>R7579</x:v>
      </x:c>
      <x:c r="J163" s="80" t="str">
        <x:v>Blue</x:v>
      </x:c>
      <x:c r="K163" s="82" t="str">
        <x:v>White stripes on sides, "14" on sides, hood, and roof</x:v>
      </x:c>
      <x:c r="L163" s="82" t="str">
        <x:v>White Y5</x:v>
      </x:c>
      <x:c r="M163" s="82" t="str">
        <x:v>Black / / / Plastic</x:v>
      </x:c>
      <x:c r="N163" s="82" t="str">
        <x:v>Tinted</x:v>
      </x:c>
      <x:c r="O163" s="82" t="str">
        <x:v>Gray</x:v>
      </x:c>
      <x:c r="P163" s="82" t="str">
        <x:v>Malaysia</x:v>
      </x:c>
      <x:c r="Q163" s="82" t="str"/>
      <x:c r="R163" s="82" t="str">
        <x:v>Mainline</x:v>
      </x:c>
      <x:c r="S163" s="82" t="str">
        <x:v>Incomum</x:v>
      </x:c>
      <x:c r="T163" s="82" t="str">
        <x:v>Lançado</x:v>
      </x:c>
      <x:c r="U163" s="82" t="str"/>
      <x:c r="V163" s="80" t="str">
        <x:v>Coleção principal (~1:64)</x:v>
      </x:c>
      <x:c r="W163" s="82" t="str">
        <x:v>https://hotwheels.fandom.com/wiki/Ferrari_F430_Challenge</x:v>
      </x:c>
      <x:c r="X163" s="82" t="str">
        <x:v>https://hotwheels.fandom.com/wiki/Ferrari_F430_Challenge</x:v>
      </x:c>
    </x:row>
    <x:row r="164">
      <x:c r="A164" s="80" t="str">
        <x:v>Não</x:v>
      </x:c>
      <x:c r="B164" s="80" t="str">
        <x:v>2 — Completar aos poucos</x:v>
      </x:c>
      <x:c r="C164" s="81" t="n">
        <x:v>2010</x:v>
      </x:c>
      <x:c r="D164" s="80" t="str">
        <x:v>Ferrari F430 Challenge</x:v>
      </x:c>
      <x:c r="E164" s="80" t="str">
        <x:v>Ferrari F430 Challenge</x:v>
      </x:c>
      <x:c r="F164" s="82" t="str">
        <x:v>HW Racing / 6/10</x:v>
      </x:c>
      <x:c r="G164" s="80" t="str"/>
      <x:c r="H164" s="80" t="str">
        <x:v>154/240</x:v>
      </x:c>
      <x:c r="I164" s="83" t="str">
        <x:v>R7579</x:v>
      </x:c>
      <x:c r="J164" s="80" t="str">
        <x:v>Red</x:v>
      </x:c>
      <x:c r="K164" s="82" t="str">
        <x:v>White stripes on sides, "14" on sides, hood, and roof</x:v>
      </x:c>
      <x:c r="L164" s="82" t="str">
        <x:v>White Y5</x:v>
      </x:c>
      <x:c r="M164" s="82" t="str">
        <x:v>Black / / / Plastic</x:v>
      </x:c>
      <x:c r="N164" s="82" t="str">
        <x:v>Tinted</x:v>
      </x:c>
      <x:c r="O164" s="82" t="str">
        <x:v>Gray</x:v>
      </x:c>
      <x:c r="P164" s="82" t="str">
        <x:v>Malaysia</x:v>
      </x:c>
      <x:c r="Q164" s="82" t="str"/>
      <x:c r="R164" s="82" t="str">
        <x:v>Mainline</x:v>
      </x:c>
      <x:c r="S164" s="82" t="str">
        <x:v>Incomum</x:v>
      </x:c>
      <x:c r="T164" s="82" t="str">
        <x:v>Lançado</x:v>
      </x:c>
      <x:c r="U164" s="82" t="str"/>
      <x:c r="V164" s="80" t="str">
        <x:v>Coleção principal (~1:64)</x:v>
      </x:c>
      <x:c r="W164" s="82" t="str">
        <x:v>https://hotwheels.fandom.com/wiki/Ferrari_F430_Challenge</x:v>
      </x:c>
      <x:c r="X164" s="82" t="str">
        <x:v>https://hotwheels.fandom.com/wiki/Ferrari_F430_Challenge</x:v>
      </x:c>
    </x:row>
    <x:row r="165">
      <x:c r="A165" s="80" t="str">
        <x:v>Não</x:v>
      </x:c>
      <x:c r="B165" s="80" t="str">
        <x:v>2 — Completar aos poucos</x:v>
      </x:c>
      <x:c r="C165" s="81" t="n">
        <x:v>2010</x:v>
      </x:c>
      <x:c r="D165" s="80" t="str">
        <x:v>Ferrari F430 Challenge</x:v>
      </x:c>
      <x:c r="E165" s="80" t="str">
        <x:v>Ferrari F430 Challenge</x:v>
      </x:c>
      <x:c r="F165" s="82" t="str">
        <x:v>HW Racing / 6/10</x:v>
      </x:c>
      <x:c r="G165" s="80" t="str"/>
      <x:c r="H165" s="80" t="str">
        <x:v>154/240</x:v>
      </x:c>
      <x:c r="I165" s="83" t="str">
        <x:v>R7579</x:v>
      </x:c>
      <x:c r="J165" s="80" t="str">
        <x:v>Yellow</x:v>
      </x:c>
      <x:c r="K165" s="82" t="str">
        <x:v>White stripes on sides, "14" on sides, hood, and roof</x:v>
      </x:c>
      <x:c r="L165" s="82" t="str">
        <x:v>White Y5</x:v>
      </x:c>
      <x:c r="M165" s="82" t="str">
        <x:v>Black / / / Plastic</x:v>
      </x:c>
      <x:c r="N165" s="82" t="str">
        <x:v>Tinted</x:v>
      </x:c>
      <x:c r="O165" s="82" t="str">
        <x:v>Gray</x:v>
      </x:c>
      <x:c r="P165" s="82" t="str">
        <x:v>Malaysia</x:v>
      </x:c>
      <x:c r="Q165" s="82" t="str"/>
      <x:c r="R165" s="82" t="str">
        <x:v>Mainline</x:v>
      </x:c>
      <x:c r="S165" s="82" t="str">
        <x:v>Incomum</x:v>
      </x:c>
      <x:c r="T165" s="82" t="str">
        <x:v>Lançado</x:v>
      </x:c>
      <x:c r="U165" s="82" t="str"/>
      <x:c r="V165" s="80" t="str">
        <x:v>Coleção principal (~1:64)</x:v>
      </x:c>
      <x:c r="W165" s="82" t="str">
        <x:v>https://hotwheels.fandom.com/wiki/Ferrari_F430_Challenge</x:v>
      </x:c>
      <x:c r="X165" s="82" t="str">
        <x:v>https://hotwheels.fandom.com/wiki/Ferrari_F430_Challenge</x:v>
      </x:c>
    </x:row>
    <x:row r="166">
      <x:c r="A166" s="80" t="str">
        <x:v>Não</x:v>
      </x:c>
      <x:c r="B166" s="80" t="str">
        <x:v>2 — Completar aos poucos</x:v>
      </x:c>
      <x:c r="C166" s="81" t="n">
        <x:v>2010</x:v>
      </x:c>
      <x:c r="D166" s="80" t="str">
        <x:v>Ferrari F430 Challenge</x:v>
      </x:c>
      <x:c r="E166" s="80" t="str">
        <x:v>Ferrari F430 Challenge</x:v>
      </x:c>
      <x:c r="F166" s="82" t="str">
        <x:v>Speed Machines</x:v>
      </x:c>
      <x:c r="G166" s="80" t="str"/>
      <x:c r="H166" s="80" t="str"/>
      <x:c r="I166" s="83" t="str">
        <x:v>W2321</x:v>
      </x:c>
      <x:c r="J166" s="80" t="str">
        <x:v>Red/White</x:v>
      </x:c>
      <x:c r="K166" s="82" t="str">
        <x:v>"430"</x:v>
      </x:c>
      <x:c r="L166" s="82" t="str">
        <x:v>CM6</x:v>
      </x:c>
      <x:c r="M166" s="82" t="str">
        <x:v>Black / / / Plastic</x:v>
      </x:c>
      <x:c r="N166" s="82" t="str">
        <x:v>Tinted</x:v>
      </x:c>
      <x:c r="O166" s="82" t="str">
        <x:v>Black</x:v>
      </x:c>
      <x:c r="P166" s="82" t="str">
        <x:v>Thailand</x:v>
      </x:c>
      <x:c r="Q166" s="82" t="str"/>
      <x:c r="R166" s="82" t="str">
        <x:v>Premium</x:v>
      </x:c>
      <x:c r="S166" s="82" t="str">
        <x:v>Incomum</x:v>
      </x:c>
      <x:c r="T166" s="82" t="str">
        <x:v>Lançado</x:v>
      </x:c>
      <x:c r="U166" s="82" t="str"/>
      <x:c r="V166" s="80" t="str">
        <x:v>Coleção principal (~1:64)</x:v>
      </x:c>
      <x:c r="W166" s="82" t="str">
        <x:v>https://hotwheels.fandom.com/wiki/Ferrari_F430_Challenge</x:v>
      </x:c>
      <x:c r="X166" s="82" t="str">
        <x:v>https://hotwheels.fandom.com/wiki/Ferrari_F430_Challenge</x:v>
      </x:c>
    </x:row>
    <x:row r="167">
      <x:c r="A167" s="80" t="str">
        <x:v>Não</x:v>
      </x:c>
      <x:c r="B167" s="80" t="str">
        <x:v>2 — Completar aos poucos</x:v>
      </x:c>
      <x:c r="C167" s="81" t="n">
        <x:v>2009</x:v>
      </x:c>
      <x:c r="D167" s="80" t="str">
        <x:v>Ferrari 156</x:v>
      </x:c>
      <x:c r="E167" s="80" t="str">
        <x:v>Ferrari 156</x:v>
      </x:c>
      <x:c r="F167" s="82" t="str">
        <x:v>Ferrari 5-Pack</x:v>
      </x:c>
      <x:c r="G167" s="80" t="str"/>
      <x:c r="H167" s="80" t="str"/>
      <x:c r="I167" s="83" t="str">
        <x:v>L4269</x:v>
      </x:c>
      <x:c r="J167" s="80" t="str">
        <x:v>Black</x:v>
      </x:c>
      <x:c r="K167" s="82" t="str">
        <x:v>Yellow '3' on sides and front and Ferrari logo on front</x:v>
      </x:c>
      <x:c r="L167" s="82" t="str">
        <x:v>SK5</x:v>
      </x:c>
      <x:c r="M167" s="82" t="str">
        <x:v>Unpainted / / / Metal</x:v>
      </x:c>
      <x:c r="N167" s="82" t="str">
        <x:v>Tinted</x:v>
      </x:c>
      <x:c r="O167" s="82" t="str">
        <x:v>Unpainted / / / Metal</x:v>
      </x:c>
      <x:c r="P167" s="82" t="str">
        <x:v>Thailand</x:v>
      </x:c>
      <x:c r="Q167" s="82" t="str"/>
      <x:c r="R167" s="82" t="str">
        <x:v>Temática / multipack</x:v>
      </x:c>
      <x:c r="S167" s="82" t="str">
        <x:v>Incomum</x:v>
      </x:c>
      <x:c r="T167" s="82" t="str">
        <x:v>Lançado</x:v>
      </x:c>
      <x:c r="U167" s="82" t="str"/>
      <x:c r="V167" s="80" t="str">
        <x:v>Coleção principal (~1:64)</x:v>
      </x:c>
      <x:c r="W167" s="82" t="str">
        <x:v>https://hotwheels.fandom.com/wiki/Ferrari_156</x:v>
      </x:c>
      <x:c r="X167" s="82" t="str">
        <x:v>https://hotwheels.fandom.com/wiki/Ferrari_156</x:v>
      </x:c>
    </x:row>
    <x:row r="168">
      <x:c r="A168" s="80" t="str">
        <x:v>Não</x:v>
      </x:c>
      <x:c r="B168" s="80" t="str">
        <x:v>2 — Completar aos poucos</x:v>
      </x:c>
      <x:c r="C168" s="81" t="n">
        <x:v>2009</x:v>
      </x:c>
      <x:c r="D168" s="80" t="str">
        <x:v>Ferrari 250</x:v>
      </x:c>
      <x:c r="E168" s="80" t="str">
        <x:v>Ferrari 250</x:v>
      </x:c>
      <x:c r="F168" s="82" t="str">
        <x:v>Ferrari Racer / 11/24</x:v>
      </x:c>
      <x:c r="G168" s="80" t="str"/>
      <x:c r="H168" s="80" t="str"/>
      <x:c r="I168" s="83" t="str">
        <x:v>N8100</x:v>
      </x:c>
      <x:c r="J168" s="80" t="str">
        <x:v>White</x:v>
      </x:c>
      <x:c r="K168" s="82" t="str">
        <x:v>Blue rally stripes "22"</x:v>
      </x:c>
      <x:c r="L168" s="82" t="str">
        <x:v>Chrome Rim, Grey CM6</x:v>
      </x:c>
      <x:c r="M168" s="82" t="str">
        <x:v>Black / / Plastic</x:v>
      </x:c>
      <x:c r="N168" s="82" t="str">
        <x:v>Clear</x:v>
      </x:c>
      <x:c r="O168" s="82" t="str">
        <x:v>Red</x:v>
      </x:c>
      <x:c r="P168" s="82" t="str">
        <x:v>Malaysia</x:v>
      </x:c>
      <x:c r="Q168" s="82" t="str"/>
      <x:c r="R168" s="82" t="str">
        <x:v>Outra linha</x:v>
      </x:c>
      <x:c r="S168" s="82" t="str">
        <x:v>Incomum</x:v>
      </x:c>
      <x:c r="T168" s="82" t="str">
        <x:v>Lançado</x:v>
      </x:c>
      <x:c r="U168" s="82" t="str">
        <x:v>Base Code(s):</x:v>
      </x:c>
      <x:c r="V168" s="80" t="str">
        <x:v>Coleção principal (~1:64)</x:v>
      </x:c>
      <x:c r="W168" s="82" t="str">
        <x:v>https://hotwheels.fandom.com/wiki/Ferrari_250</x:v>
      </x:c>
      <x:c r="X168" s="82" t="str">
        <x:v>https://hotwheels.fandom.com/wiki/Ferrari_250</x:v>
      </x:c>
    </x:row>
    <x:row r="169">
      <x:c r="A169" s="80" t="str">
        <x:v>Não</x:v>
      </x:c>
      <x:c r="B169" s="80" t="str">
        <x:v>2 — Completar aos poucos</x:v>
      </x:c>
      <x:c r="C169" s="81" t="n">
        <x:v>2009</x:v>
      </x:c>
      <x:c r="D169" s="80" t="str">
        <x:v>Ferrari 250</x:v>
      </x:c>
      <x:c r="E169" s="80" t="str">
        <x:v>Ferrari 250</x:v>
      </x:c>
      <x:c r="F169" s="82" t="str">
        <x:v>Mystery Car / 8/24</x:v>
      </x:c>
      <x:c r="G169" s="80" t="str"/>
      <x:c r="H169" s="80" t="str">
        <x:v>174/190</x:v>
      </x:c>
      <x:c r="I169" s="83" t="str">
        <x:v>P2494</x:v>
      </x:c>
      <x:c r="J169" s="80" t="str">
        <x:v>Black</x:v>
      </x:c>
      <x:c r="K169" s="82" t="str">
        <x:v>Black 58 with white circle, Ferrari logo on hood and sides</x:v>
      </x:c>
      <x:c r="L169" s="82" t="str">
        <x:v>10SP</x:v>
      </x:c>
      <x:c r="M169" s="82" t="str">
        <x:v>Black / / / Plastic</x:v>
      </x:c>
      <x:c r="N169" s="82" t="str">
        <x:v>Clear</x:v>
      </x:c>
      <x:c r="O169" s="82" t="str">
        <x:v>Tan</x:v>
      </x:c>
      <x:c r="P169" s="82" t="str">
        <x:v>Malaysia</x:v>
      </x:c>
      <x:c r="Q169" s="82" t="str"/>
      <x:c r="R169" s="82" t="str">
        <x:v>Mainline</x:v>
      </x:c>
      <x:c r="S169" s="82" t="str">
        <x:v>Incomum</x:v>
      </x:c>
      <x:c r="T169" s="82" t="str">
        <x:v>Lançado</x:v>
      </x:c>
      <x:c r="U169" s="82" t="str">
        <x:v>Base Code(s):</x:v>
      </x:c>
      <x:c r="V169" s="80" t="str">
        <x:v>Coleção principal (~1:64)</x:v>
      </x:c>
      <x:c r="W169" s="82" t="str">
        <x:v>https://hotwheels.fandom.com/wiki/Ferrari_250</x:v>
      </x:c>
      <x:c r="X169" s="82" t="str">
        <x:v>https://hotwheels.fandom.com/wiki/Ferrari_250</x:v>
      </x:c>
    </x:row>
    <x:row r="170">
      <x:c r="A170" s="80" t="str">
        <x:v>Não</x:v>
      </x:c>
      <x:c r="B170" s="80" t="str">
        <x:v>2 — Completar aos poucos</x:v>
      </x:c>
      <x:c r="C170" s="81" t="n">
        <x:v>2009</x:v>
      </x:c>
      <x:c r="D170" s="80" t="str">
        <x:v>Ferrari 250 GTO (2009)</x:v>
      </x:c>
      <x:c r="E170" s="80" t="str">
        <x:v>Ferrari 250 GTO</x:v>
      </x:c>
      <x:c r="F170" s="82" t="str">
        <x:v>2009 New Models / 5/42</x:v>
      </x:c>
      <x:c r="G170" s="80" t="str"/>
      <x:c r="H170" s="80" t="str">
        <x:v>005/190</x:v>
      </x:c>
      <x:c r="I170" s="83" t="str">
        <x:v>N4008</x:v>
      </x:c>
      <x:c r="J170" s="80" t="str">
        <x:v>Black</x:v>
      </x:c>
      <x:c r="K170" s="82" t="str">
        <x:v>Ferrari emblem on sides and hood</x:v>
      </x:c>
      <x:c r="L170" s="82" t="str">
        <x:v>LW</x:v>
      </x:c>
      <x:c r="M170" s="82" t="str">
        <x:v>Black / / / Plastic</x:v>
      </x:c>
      <x:c r="N170" s="82" t="str">
        <x:v>Clear</x:v>
      </x:c>
      <x:c r="O170" s="82" t="str">
        <x:v>Beige</x:v>
      </x:c>
      <x:c r="P170" s="82" t="str">
        <x:v>Malaysia</x:v>
      </x:c>
      <x:c r="Q170" s="82" t="str">
        <x:v>Target / Red Edition</x:v>
      </x:c>
      <x:c r="R170" s="82" t="str">
        <x:v>Mainline</x:v>
      </x:c>
      <x:c r="S170" s="82" t="str">
        <x:v>Rara</x:v>
      </x:c>
      <x:c r="T170" s="82" t="str">
        <x:v>Lançado</x:v>
      </x:c>
      <x:c r="U170" s="82" t="str">
        <x:v>Also released on Target exclusive snowflake card / Base code(s): A51, B02, B07, B10</x:v>
      </x:c>
      <x:c r="V170" s="80" t="str">
        <x:v>Coleção principal (~1:64)</x:v>
      </x:c>
      <x:c r="W170" s="82" t="str">
        <x:v>https://hotwheels.fandom.com/wiki/Ferrari_250_GTO_(2009)</x:v>
      </x:c>
      <x:c r="X170" s="82" t="str">
        <x:v>https://hotwheels.fandom.com/wiki/Ferrari_250_GTO_(2009)</x:v>
      </x:c>
    </x:row>
    <x:row r="171">
      <x:c r="A171" s="80" t="str">
        <x:v>Não</x:v>
      </x:c>
      <x:c r="B171" s="80" t="str">
        <x:v>2 — Completar aos poucos</x:v>
      </x:c>
      <x:c r="C171" s="81" t="n">
        <x:v>2009</x:v>
      </x:c>
      <x:c r="D171" s="80" t="str">
        <x:v>Ferrari 250 GTO (2009)</x:v>
      </x:c>
      <x:c r="E171" s="80" t="str">
        <x:v>Ferrari 250 GTO</x:v>
      </x:c>
      <x:c r="F171" s="82" t="str">
        <x:v>2009 New Models / 5/42</x:v>
      </x:c>
      <x:c r="G171" s="80" t="str"/>
      <x:c r="H171" s="80" t="str">
        <x:v>005/190</x:v>
      </x:c>
      <x:c r="I171" s="83" t="str">
        <x:v>N4008</x:v>
      </x:c>
      <x:c r="J171" s="80" t="str">
        <x:v>Red</x:v>
      </x:c>
      <x:c r="K171" s="82" t="str">
        <x:v>Ferrari emblem on sides and hood</x:v>
      </x:c>
      <x:c r="L171" s="82" t="str">
        <x:v>LW</x:v>
      </x:c>
      <x:c r="M171" s="82" t="str">
        <x:v>Black / / / Plastic</x:v>
      </x:c>
      <x:c r="N171" s="82" t="str">
        <x:v>Clear</x:v>
      </x:c>
      <x:c r="O171" s="82" t="str">
        <x:v>Black</x:v>
      </x:c>
      <x:c r="P171" s="82" t="str">
        <x:v>Malaysia</x:v>
      </x:c>
      <x:c r="Q171" s="82" t="str"/>
      <x:c r="R171" s="82" t="str">
        <x:v>Mainline</x:v>
      </x:c>
      <x:c r="S171" s="82" t="str">
        <x:v>Incomum</x:v>
      </x:c>
      <x:c r="T171" s="82" t="str">
        <x:v>Lançado</x:v>
      </x:c>
      <x:c r="U171" s="82" t="str">
        <x:v>Large and small license plate on rear -painted side vents / Base code(s): A32, A34, A43</x:v>
      </x:c>
      <x:c r="V171" s="80" t="str">
        <x:v>Coleção principal (~1:64)</x:v>
      </x:c>
      <x:c r="W171" s="82" t="str">
        <x:v>https://hotwheels.fandom.com/wiki/Ferrari_250_GTO_(2009)</x:v>
      </x:c>
      <x:c r="X171" s="82" t="str">
        <x:v>https://hotwheels.fandom.com/wiki/Ferrari_250_GTO_(2009)</x:v>
      </x:c>
    </x:row>
    <x:row r="172">
      <x:c r="A172" s="80" t="str">
        <x:v>Não</x:v>
      </x:c>
      <x:c r="B172" s="80" t="str">
        <x:v>2 — Completar aos poucos</x:v>
      </x:c>
      <x:c r="C172" s="81" t="n">
        <x:v>2009</x:v>
      </x:c>
      <x:c r="D172" s="80" t="str">
        <x:v>Ferrari 250 GTO (2009)</x:v>
      </x:c>
      <x:c r="E172" s="80" t="str">
        <x:v>Ferrari 250 GTO</x:v>
      </x:c>
      <x:c r="F172" s="82" t="str">
        <x:v>2009 New Models / 5/42</x:v>
      </x:c>
      <x:c r="G172" s="80" t="str"/>
      <x:c r="H172" s="80" t="str">
        <x:v>005/190</x:v>
      </x:c>
      <x:c r="I172" s="83" t="str">
        <x:v>N4008</x:v>
      </x:c>
      <x:c r="J172" s="80" t="str">
        <x:v>Yellow</x:v>
      </x:c>
      <x:c r="K172" s="82" t="str">
        <x:v>Ferrari emblem on sides and hood</x:v>
      </x:c>
      <x:c r="L172" s="82" t="str">
        <x:v>LW</x:v>
      </x:c>
      <x:c r="M172" s="82" t="str">
        <x:v>Black / / / Plastic</x:v>
      </x:c>
      <x:c r="N172" s="82" t="str">
        <x:v>Clear</x:v>
      </x:c>
      <x:c r="O172" s="82" t="str">
        <x:v>Black</x:v>
      </x:c>
      <x:c r="P172" s="82" t="str">
        <x:v>Malaysia</x:v>
      </x:c>
      <x:c r="Q172" s="82" t="str"/>
      <x:c r="R172" s="82" t="str">
        <x:v>Mainline</x:v>
      </x:c>
      <x:c r="S172" s="82" t="str">
        <x:v>Incomum</x:v>
      </x:c>
      <x:c r="T172" s="82" t="str">
        <x:v>Lançado</x:v>
      </x:c>
      <x:c r="U172" s="82" t="str">
        <x:v>Base code(s): B15, B19, B22</x:v>
      </x:c>
      <x:c r="V172" s="80" t="str">
        <x:v>Coleção principal (~1:64)</x:v>
      </x:c>
      <x:c r="W172" s="82" t="str">
        <x:v>https://hotwheels.fandom.com/wiki/Ferrari_250_GTO_(2009)</x:v>
      </x:c>
      <x:c r="X172" s="82" t="str">
        <x:v>https://hotwheels.fandom.com/wiki/Ferrari_250_GTO_(2009)</x:v>
      </x:c>
    </x:row>
    <x:row r="173">
      <x:c r="A173" s="80" t="str">
        <x:v>Não</x:v>
      </x:c>
      <x:c r="B173" s="80" t="str">
        <x:v>2 — Completar aos poucos</x:v>
      </x:c>
      <x:c r="C173" s="81" t="n">
        <x:v>2009</x:v>
      </x:c>
      <x:c r="D173" s="80" t="str">
        <x:v>Ferrari 250 LM</x:v>
      </x:c>
      <x:c r="E173" s="80" t="str">
        <x:v>Ferrari 250 LM</x:v>
      </x:c>
      <x:c r="F173" s="82" t="str">
        <x:v>Ferrari Racer / 9/24</x:v>
      </x:c>
      <x:c r="G173" s="80" t="str"/>
      <x:c r="H173" s="80" t="str"/>
      <x:c r="I173" s="83" t="str">
        <x:v>N8097</x:v>
      </x:c>
      <x:c r="J173" s="80" t="str">
        <x:v>Metallic Dark Red</x:v>
      </x:c>
      <x:c r="K173" s="82" t="str">
        <x:v>White 23 on hood and sides, Blue and White Stripe, Ferrari logos</x:v>
      </x:c>
      <x:c r="L173" s="82" t="str">
        <x:v>Chrome, Grey CM6</x:v>
      </x:c>
      <x:c r="M173" s="82" t="str">
        <x:v>Chrome / / / Plastic</x:v>
      </x:c>
      <x:c r="N173" s="82" t="str">
        <x:v>Clear</x:v>
      </x:c>
      <x:c r="O173" s="82" t="str">
        <x:v>Black</x:v>
      </x:c>
      <x:c r="P173" s="82" t="str">
        <x:v>Malaysia</x:v>
      </x:c>
      <x:c r="Q173" s="82" t="str"/>
      <x:c r="R173" s="82" t="str">
        <x:v>Outra linha</x:v>
      </x:c>
      <x:c r="S173" s="82" t="str">
        <x:v>Incomum</x:v>
      </x:c>
      <x:c r="T173" s="82" t="str">
        <x:v>Lançado</x:v>
      </x:c>
      <x:c r="U173" s="82" t="str">
        <x:v>Base code(s):</x:v>
      </x:c>
      <x:c r="V173" s="80" t="str">
        <x:v>Coleção principal (~1:64)</x:v>
      </x:c>
      <x:c r="W173" s="82" t="str">
        <x:v>https://hotwheels.fandom.com/wiki/Ferrari_250_LM</x:v>
      </x:c>
      <x:c r="X173" s="82" t="str">
        <x:v>https://hotwheels.fandom.com/wiki/Ferrari_250_LM</x:v>
      </x:c>
    </x:row>
    <x:row r="174">
      <x:c r="A174" s="80" t="str">
        <x:v>Não</x:v>
      </x:c>
      <x:c r="B174" s="80" t="str">
        <x:v>2 — Completar aos poucos</x:v>
      </x:c>
      <x:c r="C174" s="81" t="n">
        <x:v>2009</x:v>
      </x:c>
      <x:c r="D174" s="80" t="str">
        <x:v>Ferrari 288 GTO</x:v>
      </x:c>
      <x:c r="E174" s="80" t="str">
        <x:v>Ferrari 288 GTO</x:v>
      </x:c>
      <x:c r="F174" s="82" t="str">
        <x:v>Ferrari Racer / 12/24</x:v>
      </x:c>
      <x:c r="G174" s="80" t="str"/>
      <x:c r="H174" s="80" t="str"/>
      <x:c r="I174" s="83" t="str">
        <x:v>N8094</x:v>
      </x:c>
      <x:c r="J174" s="80" t="str">
        <x:v>Metalflake Burgundy</x:v>
      </x:c>
      <x:c r="K174" s="82" t="str">
        <x:v>Ferrari emblem on sides &amp; hood</x:v>
      </x:c>
      <x:c r="L174" s="82" t="str">
        <x:v>Grey CM6</x:v>
      </x:c>
      <x:c r="M174" s="82" t="str">
        <x:v>Black / / / Plastic</x:v>
      </x:c>
      <x:c r="N174" s="82" t="str">
        <x:v>Tinted</x:v>
      </x:c>
      <x:c r="O174" s="82" t="str">
        <x:v>Black</x:v>
      </x:c>
      <x:c r="P174" s="82" t="str">
        <x:v>Malaysia</x:v>
      </x:c>
      <x:c r="Q174" s="82" t="str"/>
      <x:c r="R174" s="82" t="str">
        <x:v>Outra linha</x:v>
      </x:c>
      <x:c r="S174" s="82" t="str">
        <x:v>Incomum</x:v>
      </x:c>
      <x:c r="T174" s="82" t="str">
        <x:v>Lançado</x:v>
      </x:c>
      <x:c r="U174" s="82" t="str">
        <x:v>Base code(s):</x:v>
      </x:c>
      <x:c r="V174" s="80" t="str">
        <x:v>Coleção principal (~1:64)</x:v>
      </x:c>
      <x:c r="W174" s="82" t="str">
        <x:v>https://hotwheels.fandom.com/wiki/Ferrari_288_GTO</x:v>
      </x:c>
      <x:c r="X174" s="82" t="str">
        <x:v>https://hotwheels.fandom.com/wiki/Ferrari_288_GTO</x:v>
      </x:c>
    </x:row>
    <x:row r="175">
      <x:c r="A175" s="80" t="str">
        <x:v>Não</x:v>
      </x:c>
      <x:c r="B175" s="80" t="str">
        <x:v>2 — Completar aos poucos</x:v>
      </x:c>
      <x:c r="C175" s="81" t="n">
        <x:v>2009</x:v>
      </x:c>
      <x:c r="D175" s="80" t="str">
        <x:v>Ferrari 288 GTO</x:v>
      </x:c>
      <x:c r="E175" s="80" t="str">
        <x:v>Ferrari 288 GTO</x:v>
      </x:c>
      <x:c r="F175" s="82" t="str">
        <x:v>Ferrari Racer / 22/24</x:v>
      </x:c>
      <x:c r="G175" s="80" t="str"/>
      <x:c r="H175" s="80" t="str"/>
      <x:c r="I175" s="83" t="str">
        <x:v>N8102</x:v>
      </x:c>
      <x:c r="J175" s="80" t="str">
        <x:v>Metalflake Red</x:v>
      </x:c>
      <x:c r="K175" s="82" t="str">
        <x:v>White &amp; Green stripes on sides, roof, &amp; hood, "88" &amp; Ferrari emblems on sides &amp; hood</x:v>
      </x:c>
      <x:c r="L175" s="82" t="str">
        <x:v>White CM6</x:v>
      </x:c>
      <x:c r="M175" s="82" t="str">
        <x:v>Black / / / Plastic</x:v>
      </x:c>
      <x:c r="N175" s="82" t="str">
        <x:v>Tinted</x:v>
      </x:c>
      <x:c r="O175" s="82" t="str">
        <x:v>Black</x:v>
      </x:c>
      <x:c r="P175" s="82" t="str">
        <x:v>Malaysia</x:v>
      </x:c>
      <x:c r="Q175" s="82" t="str"/>
      <x:c r="R175" s="82" t="str">
        <x:v>Outra linha</x:v>
      </x:c>
      <x:c r="S175" s="82" t="str">
        <x:v>Incomum</x:v>
      </x:c>
      <x:c r="T175" s="82" t="str">
        <x:v>Lançado</x:v>
      </x:c>
      <x:c r="U175" s="82" t="str">
        <x:v>Base code(s):</x:v>
      </x:c>
      <x:c r="V175" s="80" t="str">
        <x:v>Coleção principal (~1:64)</x:v>
      </x:c>
      <x:c r="W175" s="82" t="str">
        <x:v>https://hotwheels.fandom.com/wiki/Ferrari_288_GTO</x:v>
      </x:c>
      <x:c r="X175" s="82" t="str">
        <x:v>https://hotwheels.fandom.com/wiki/Ferrari_288_GTO</x:v>
      </x:c>
    </x:row>
    <x:row r="176">
      <x:c r="A176" s="80" t="str">
        <x:v>Não</x:v>
      </x:c>
      <x:c r="B176" s="80" t="str">
        <x:v>2 — Completar aos poucos</x:v>
      </x:c>
      <x:c r="C176" s="81" t="n">
        <x:v>2009</x:v>
      </x:c>
      <x:c r="D176" s="80" t="str">
        <x:v>Ferrari 308 GTS</x:v>
      </x:c>
      <x:c r="E176" s="80" t="str">
        <x:v>Ferrari 308 GTS</x:v>
      </x:c>
      <x:c r="F176" s="82" t="str">
        <x:v>Ferrari Racer / 17/24</x:v>
      </x:c>
      <x:c r="G176" s="80" t="str"/>
      <x:c r="H176" s="80" t="str"/>
      <x:c r="I176" s="83" t="str">
        <x:v>N5560</x:v>
      </x:c>
      <x:c r="J176" s="80" t="str">
        <x:v>Metalflake Burgundy</x:v>
      </x:c>
      <x:c r="K176" s="82" t="str">
        <x:v>Ferrari logos on sides, trunk, and hood</x:v>
      </x:c>
      <x:c r="L176" s="82" t="str">
        <x:v>Gold CM6</x:v>
      </x:c>
      <x:c r="M176" s="82" t="str">
        <x:v>Black / / / Plastic</x:v>
      </x:c>
      <x:c r="N176" s="82" t="str">
        <x:v>Tinted</x:v>
      </x:c>
      <x:c r="O176" s="82" t="str">
        <x:v>Tan</x:v>
      </x:c>
      <x:c r="P176" s="82" t="str">
        <x:v>Malaysia</x:v>
      </x:c>
      <x:c r="Q176" s="82" t="str"/>
      <x:c r="R176" s="82" t="str">
        <x:v>Outra linha</x:v>
      </x:c>
      <x:c r="S176" s="82" t="str">
        <x:v>Incomum</x:v>
      </x:c>
      <x:c r="T176" s="82" t="str">
        <x:v>Lançado</x:v>
      </x:c>
      <x:c r="U176" s="82" t="str"/>
      <x:c r="V176" s="80" t="str">
        <x:v>Coleção principal (~1:64)</x:v>
      </x:c>
      <x:c r="W176" s="82" t="str">
        <x:v>https://hotwheels.fandom.com/wiki/Ferrari_308_GTS</x:v>
      </x:c>
      <x:c r="X176" s="82" t="str">
        <x:v>https://hotwheels.fandom.com/wiki/Ferrari_308_GTS</x:v>
      </x:c>
    </x:row>
    <x:row r="177">
      <x:c r="A177" s="80" t="str">
        <x:v>Não</x:v>
      </x:c>
      <x:c r="B177" s="80" t="str">
        <x:v>2 — Completar aos poucos</x:v>
      </x:c>
      <x:c r="C177" s="81" t="n">
        <x:v>2009</x:v>
      </x:c>
      <x:c r="D177" s="80" t="str">
        <x:v>Ferrari 308 GTS</x:v>
      </x:c>
      <x:c r="E177" s="80" t="str">
        <x:v>Ferrari 308 GTS</x:v>
      </x:c>
      <x:c r="F177" s="82" t="str">
        <x:v>Ferrari Racer / 2/24</x:v>
      </x:c>
      <x:c r="G177" s="80" t="str"/>
      <x:c r="H177" s="80" t="str"/>
      <x:c r="I177" s="83" t="str">
        <x:v>N5555</x:v>
      </x:c>
      <x:c r="J177" s="80" t="str">
        <x:v>Red</x:v>
      </x:c>
      <x:c r="K177" s="82" t="str">
        <x:v>Ferrari logos on sides and hood, "Ferrari" on trunk</x:v>
      </x:c>
      <x:c r="L177" s="82" t="str">
        <x:v>Grey CM6</x:v>
      </x:c>
      <x:c r="M177" s="82" t="str">
        <x:v>Black / / / Plastic</x:v>
      </x:c>
      <x:c r="N177" s="82" t="str">
        <x:v>Tinted</x:v>
      </x:c>
      <x:c r="O177" s="82" t="str">
        <x:v>Black</x:v>
      </x:c>
      <x:c r="P177" s="82" t="str">
        <x:v>Malaysia</x:v>
      </x:c>
      <x:c r="Q177" s="82" t="str"/>
      <x:c r="R177" s="82" t="str">
        <x:v>Outra linha</x:v>
      </x:c>
      <x:c r="S177" s="82" t="str">
        <x:v>Incomum</x:v>
      </x:c>
      <x:c r="T177" s="82" t="str">
        <x:v>Lançado</x:v>
      </x:c>
      <x:c r="U177" s="82" t="str"/>
      <x:c r="V177" s="80" t="str">
        <x:v>Coleção principal (~1:64)</x:v>
      </x:c>
      <x:c r="W177" s="82" t="str">
        <x:v>https://hotwheels.fandom.com/wiki/Ferrari_308_GTS</x:v>
      </x:c>
      <x:c r="X177" s="82" t="str">
        <x:v>https://hotwheels.fandom.com/wiki/Ferrari_308_GTS</x:v>
      </x:c>
    </x:row>
    <x:row r="178">
      <x:c r="A178" s="80" t="str">
        <x:v>Não</x:v>
      </x:c>
      <x:c r="B178" s="80" t="str">
        <x:v>2 — Completar aos poucos</x:v>
      </x:c>
      <x:c r="C178" s="81" t="n">
        <x:v>2009</x:v>
      </x:c>
      <x:c r="D178" s="80" t="str">
        <x:v>Ferrari 330 P4</x:v>
      </x:c>
      <x:c r="E178" s="80" t="str">
        <x:v>Ferrari 330 P4</x:v>
      </x:c>
      <x:c r="F178" s="82" t="str">
        <x:v>Ferrari Racer / 10/24</x:v>
      </x:c>
      <x:c r="G178" s="80" t="str"/>
      <x:c r="H178" s="80" t="str"/>
      <x:c r="I178" s="83" t="str">
        <x:v>N5561</x:v>
      </x:c>
      <x:c r="J178" s="80" t="str">
        <x:v>Yellow/ Aqua Blue</x:v>
      </x:c>
      <x:c r="K178" s="82" t="str">
        <x:v>"4" Number</x:v>
      </x:c>
      <x:c r="L178" s="82" t="str">
        <x:v>Grey CM6</x:v>
      </x:c>
      <x:c r="M178" s="82" t="str">
        <x:v>Black / / / Plastic</x:v>
      </x:c>
      <x:c r="N178" s="82" t="str">
        <x:v>black</x:v>
      </x:c>
      <x:c r="O178" s="82" t="str">
        <x:v>black</x:v>
      </x:c>
      <x:c r="P178" s="82" t="str">
        <x:v>Malaysia</x:v>
      </x:c>
      <x:c r="Q178" s="82" t="str"/>
      <x:c r="R178" s="82" t="str">
        <x:v>Outra linha</x:v>
      </x:c>
      <x:c r="S178" s="82" t="str">
        <x:v>Incomum</x:v>
      </x:c>
      <x:c r="T178" s="82" t="str">
        <x:v>Lançado</x:v>
      </x:c>
      <x:c r="U178" s="82" t="str">
        <x:v>Base Code(s):</x:v>
      </x:c>
      <x:c r="V178" s="80" t="str">
        <x:v>Coleção principal (~1:64)</x:v>
      </x:c>
      <x:c r="W178" s="82" t="str">
        <x:v>https://hotwheels.fandom.com/wiki/Ferrari_330_P4</x:v>
      </x:c>
      <x:c r="X178" s="82" t="str">
        <x:v>https://hotwheels.fandom.com/wiki/Ferrari_330_P4</x:v>
      </x:c>
    </x:row>
    <x:row r="179">
      <x:c r="A179" s="80" t="str">
        <x:v>Não</x:v>
      </x:c>
      <x:c r="B179" s="80" t="str">
        <x:v>2 — Completar aos poucos</x:v>
      </x:c>
      <x:c r="C179" s="81" t="n">
        <x:v>2009</x:v>
      </x:c>
      <x:c r="D179" s="80" t="str">
        <x:v>Ferrari 333 SP</x:v>
      </x:c>
      <x:c r="E179" s="80" t="str">
        <x:v>Ferrari 333 SP</x:v>
      </x:c>
      <x:c r="F179" s="82" t="str">
        <x:v>Ferrari Racer / 16/24</x:v>
      </x:c>
      <x:c r="G179" s="80" t="str"/>
      <x:c r="H179" s="80" t="str"/>
      <x:c r="I179" s="83" t="str">
        <x:v>N8098</x:v>
      </x:c>
      <x:c r="J179" s="80" t="str">
        <x:v>Metallic Burnt Orange / Black</x:v>
      </x:c>
      <x:c r="K179" s="82" t="str">
        <x:v>Ferrari emblems on front and sides, Yellow "Ferrari" on rear wing</x:v>
      </x:c>
      <x:c r="L179" s="82" t="str">
        <x:v>Red Chrome rim, Black CM6</x:v>
      </x:c>
      <x:c r="M179" s="82" t="str">
        <x:v>Black / / / Plastic</x:v>
      </x:c>
      <x:c r="N179" s="82" t="str"/>
      <x:c r="O179" s="82" t="str">
        <x:v>Black</x:v>
      </x:c>
      <x:c r="P179" s="82" t="str">
        <x:v>Malaysia</x:v>
      </x:c>
      <x:c r="Q179" s="82" t="str"/>
      <x:c r="R179" s="82" t="str">
        <x:v>Outra linha</x:v>
      </x:c>
      <x:c r="S179" s="82" t="str">
        <x:v>Incomum</x:v>
      </x:c>
      <x:c r="T179" s="82" t="str">
        <x:v>Lançado</x:v>
      </x:c>
      <x:c r="U179" s="82" t="str">
        <x:v>Base code(s):</x:v>
      </x:c>
      <x:c r="V179" s="80" t="str">
        <x:v>Coleção principal (~1:64)</x:v>
      </x:c>
      <x:c r="W179" s="82" t="str">
        <x:v>https://hotwheels.fandom.com/wiki/Ferrari_333_SP</x:v>
      </x:c>
      <x:c r="X179" s="82" t="str">
        <x:v>https://hotwheels.fandom.com/wiki/Ferrari_333_SP</x:v>
      </x:c>
    </x:row>
    <x:row r="180">
      <x:c r="A180" s="80" t="str">
        <x:v>Não</x:v>
      </x:c>
      <x:c r="B180" s="80" t="str">
        <x:v>2 — Completar aos poucos</x:v>
      </x:c>
      <x:c r="C180" s="81" t="n">
        <x:v>2009</x:v>
      </x:c>
      <x:c r="D180" s="80" t="str">
        <x:v>Ferrari 333 SP</x:v>
      </x:c>
      <x:c r="E180" s="80" t="str">
        <x:v>Ferrari 333 SP</x:v>
      </x:c>
      <x:c r="F180" s="82" t="str">
        <x:v>Ferrari Racer / 5/24</x:v>
      </x:c>
      <x:c r="G180" s="80" t="str"/>
      <x:c r="H180" s="80" t="str"/>
      <x:c r="I180" s="83" t="str">
        <x:v>N5559</x:v>
      </x:c>
      <x:c r="J180" s="80" t="str">
        <x:v>Satin Red</x:v>
      </x:c>
      <x:c r="K180" s="82" t="str">
        <x:v>Gold lines, "333" number on sides &amp; hood, Ferrari logo in rear wing</x:v>
      </x:c>
      <x:c r="L180" s="82" t="str">
        <x:v>CM6</x:v>
      </x:c>
      <x:c r="M180" s="82" t="str">
        <x:v>Black / / / Plastic</x:v>
      </x:c>
      <x:c r="N180" s="82" t="str"/>
      <x:c r="O180" s="82" t="str">
        <x:v>Black</x:v>
      </x:c>
      <x:c r="P180" s="82" t="str">
        <x:v>Thailand</x:v>
      </x:c>
      <x:c r="Q180" s="82" t="str"/>
      <x:c r="R180" s="82" t="str">
        <x:v>Outra linha</x:v>
      </x:c>
      <x:c r="S180" s="82" t="str">
        <x:v>Incomum</x:v>
      </x:c>
      <x:c r="T180" s="82" t="str">
        <x:v>Lançado</x:v>
      </x:c>
      <x:c r="U180" s="82" t="str">
        <x:v>Base code(s):</x:v>
      </x:c>
      <x:c r="V180" s="80" t="str">
        <x:v>Coleção principal (~1:64)</x:v>
      </x:c>
      <x:c r="W180" s="82" t="str">
        <x:v>https://hotwheels.fandom.com/wiki/Ferrari_333_SP</x:v>
      </x:c>
      <x:c r="X180" s="82" t="str">
        <x:v>https://hotwheels.fandom.com/wiki/Ferrari_333_SP</x:v>
      </x:c>
    </x:row>
    <x:row r="181">
      <x:c r="A181" s="80" t="str">
        <x:v>Não</x:v>
      </x:c>
      <x:c r="B181" s="80" t="str">
        <x:v>2 — Completar aos poucos</x:v>
      </x:c>
      <x:c r="C181" s="81" t="n">
        <x:v>2009</x:v>
      </x:c>
      <x:c r="D181" s="80" t="str">
        <x:v>Ferrari 348</x:v>
      </x:c>
      <x:c r="E181" s="80" t="str">
        <x:v>Ferrari 348</x:v>
      </x:c>
      <x:c r="F181" s="82" t="str">
        <x:v>Ferrari 5-Pack</x:v>
      </x:c>
      <x:c r="G181" s="80" t="str"/>
      <x:c r="H181" s="80" t="str"/>
      <x:c r="I181" s="83" t="str">
        <x:v>L4269</x:v>
      </x:c>
      <x:c r="J181" s="80" t="str">
        <x:v>Dark Red</x:v>
      </x:c>
      <x:c r="K181" s="82" t="str">
        <x:v>Yellow '348' on sides and white stripes on sides</x:v>
      </x:c>
      <x:c r="L181" s="82" t="str">
        <x:v>Red line, Black PR5</x:v>
      </x:c>
      <x:c r="M181" s="82" t="str">
        <x:v>Black / / / Plastic</x:v>
      </x:c>
      <x:c r="N181" s="82" t="str">
        <x:v>Tinted</x:v>
      </x:c>
      <x:c r="O181" s="82" t="str">
        <x:v>Black</x:v>
      </x:c>
      <x:c r="P181" s="82" t="str">
        <x:v>Thailand</x:v>
      </x:c>
      <x:c r="Q181" s="82" t="str"/>
      <x:c r="R181" s="82" t="str">
        <x:v>Temática / multipack</x:v>
      </x:c>
      <x:c r="S181" s="82" t="str">
        <x:v>Incomum</x:v>
      </x:c>
      <x:c r="T181" s="82" t="str">
        <x:v>Lançado</x:v>
      </x:c>
      <x:c r="U181" s="82" t="str">
        <x:v>Base code(s):</x:v>
      </x:c>
      <x:c r="V181" s="80" t="str">
        <x:v>Coleção principal (~1:64)</x:v>
      </x:c>
      <x:c r="W181" s="82" t="str">
        <x:v>https://hotwheels.fandom.com/wiki/Ferrari_348</x:v>
      </x:c>
      <x:c r="X181" s="82" t="str">
        <x:v>https://hotwheels.fandom.com/wiki/Ferrari_348</x:v>
      </x:c>
    </x:row>
    <x:row r="182">
      <x:c r="A182" s="80" t="str">
        <x:v>Não</x:v>
      </x:c>
      <x:c r="B182" s="80" t="str">
        <x:v>2 — Completar aos poucos</x:v>
      </x:c>
      <x:c r="C182" s="81" t="n">
        <x:v>2009</x:v>
      </x:c>
      <x:c r="D182" s="80" t="str">
        <x:v>Ferrari 360 Modena (X-Raycers)</x:v>
      </x:c>
      <x:c r="E182" s="80" t="str">
        <x:v>Ferrari 360 Modena</x:v>
      </x:c>
      <x:c r="F182" s="82" t="str">
        <x:v>Color Shifters</x:v>
      </x:c>
      <x:c r="G182" s="80" t="str"/>
      <x:c r="H182" s="80" t="str"/>
      <x:c r="I182" s="83" t="str">
        <x:v>P7769</x:v>
      </x:c>
      <x:c r="J182" s="80" t="str">
        <x:v>Yellow to Orange</x:v>
      </x:c>
      <x:c r="K182" s="82" t="str">
        <x:v>Ferrari emblem on sides, stripes across top</x:v>
      </x:c>
      <x:c r="L182" s="82" t="str">
        <x:v>PR5</x:v>
      </x:c>
      <x:c r="M182" s="82" t="str">
        <x:v>Unpainted / / / Metal</x:v>
      </x:c>
      <x:c r="N182" s="82" t="str">
        <x:v>Tinted</x:v>
      </x:c>
      <x:c r="O182" s="82" t="str">
        <x:v>Chrome</x:v>
      </x:c>
      <x:c r="P182" s="82" t="str">
        <x:v>Thailand</x:v>
      </x:c>
      <x:c r="Q182" s="82" t="str"/>
      <x:c r="R182" s="82" t="str">
        <x:v>Outra linha</x:v>
      </x:c>
      <x:c r="S182" s="82" t="str">
        <x:v>Incomum</x:v>
      </x:c>
      <x:c r="T182" s="82" t="str">
        <x:v>Lançado</x:v>
      </x:c>
      <x:c r="U182" s="82" t="str">
        <x:v>Base code(s):</x:v>
      </x:c>
      <x:c r="V182" s="80" t="str">
        <x:v>Coleção principal (~1:64)</x:v>
      </x:c>
      <x:c r="W182" s="82" t="str">
        <x:v>https://hotwheels.fandom.com/wiki/Ferrari_360_Modena_(X-Raycers)</x:v>
      </x:c>
      <x:c r="X182" s="82" t="str">
        <x:v>https://hotwheels.fandom.com/wiki/Ferrari_360_Modena_(X-Raycers)</x:v>
      </x:c>
    </x:row>
    <x:row r="183">
      <x:c r="A183" s="80" t="str">
        <x:v>Não</x:v>
      </x:c>
      <x:c r="B183" s="80" t="str">
        <x:v>2 — Completar aos poucos</x:v>
      </x:c>
      <x:c r="C183" s="81" t="n">
        <x:v>2009</x:v>
      </x:c>
      <x:c r="D183" s="80" t="str">
        <x:v>Ferrari 365 GTB/4</x:v>
      </x:c>
      <x:c r="E183" s="80" t="str">
        <x:v>Ferrari 365 GTB/4</x:v>
      </x:c>
      <x:c r="F183" s="82" t="str">
        <x:v>Ferrari 5-Pack</x:v>
      </x:c>
      <x:c r="G183" s="80" t="str"/>
      <x:c r="H183" s="80" t="str"/>
      <x:c r="I183" s="83" t="str">
        <x:v>L4269</x:v>
      </x:c>
      <x:c r="J183" s="80" t="str">
        <x:v>Yellow</x:v>
      </x:c>
      <x:c r="K183" s="82" t="str">
        <x:v>Black &amp; Yellow stripes with "188"</x:v>
      </x:c>
      <x:c r="L183" s="82" t="str">
        <x:v>5SP</x:v>
      </x:c>
      <x:c r="M183" s="82" t="str">
        <x:v>Chrome / / / Plastic</x:v>
      </x:c>
      <x:c r="N183" s="82" t="str">
        <x:v>Clear</x:v>
      </x:c>
      <x:c r="O183" s="82" t="str">
        <x:v>Black</x:v>
      </x:c>
      <x:c r="P183" s="82" t="str">
        <x:v>Thailand</x:v>
      </x:c>
      <x:c r="Q183" s="82" t="str"/>
      <x:c r="R183" s="82" t="str">
        <x:v>Temática / multipack</x:v>
      </x:c>
      <x:c r="S183" s="82" t="str">
        <x:v>Incomum</x:v>
      </x:c>
      <x:c r="T183" s="82" t="str">
        <x:v>Lançado</x:v>
      </x:c>
      <x:c r="U183" s="82" t="str">
        <x:v>Base code(s): A51</x:v>
      </x:c>
      <x:c r="V183" s="80" t="str">
        <x:v>Coleção principal (~1:64)</x:v>
      </x:c>
      <x:c r="W183" s="82" t="str">
        <x:v>https://hotwheels.fandom.com/wiki/Ferrari_365_GTB/4</x:v>
      </x:c>
      <x:c r="X183" s="82" t="str">
        <x:v>https://hotwheels.fandom.com/wiki/Ferrari_365_GTB/4</x:v>
      </x:c>
    </x:row>
    <x:row r="184">
      <x:c r="A184" s="80" t="str">
        <x:v>Não</x:v>
      </x:c>
      <x:c r="B184" s="80" t="str">
        <x:v>2 — Completar aos poucos</x:v>
      </x:c>
      <x:c r="C184" s="81" t="n">
        <x:v>2009</x:v>
      </x:c>
      <x:c r="D184" s="80" t="str">
        <x:v>Ferrari 365 GTB/4</x:v>
      </x:c>
      <x:c r="E184" s="80" t="str">
        <x:v>Ferrari 365 GTB/4</x:v>
      </x:c>
      <x:c r="F184" s="82" t="str">
        <x:v>Ferrari Racer / 20/24</x:v>
      </x:c>
      <x:c r="G184" s="80" t="str"/>
      <x:c r="H184" s="80" t="str"/>
      <x:c r="I184" s="83" t="str">
        <x:v>N8106</x:v>
      </x:c>
      <x:c r="J184" s="80" t="str">
        <x:v>Dark Blue</x:v>
      </x:c>
      <x:c r="K184" s="82" t="str">
        <x:v>Yellow &amp; Red stripes, Black &amp; White "03"</x:v>
      </x:c>
      <x:c r="L184" s="82" t="str">
        <x:v>Yellow CM6</x:v>
      </x:c>
      <x:c r="M184" s="82" t="str">
        <x:v>Chrome / / / Plastic</x:v>
      </x:c>
      <x:c r="N184" s="82" t="str">
        <x:v>Smoke</x:v>
      </x:c>
      <x:c r="O184" s="82" t="str">
        <x:v>Black</x:v>
      </x:c>
      <x:c r="P184" s="82" t="str">
        <x:v>Malaysia</x:v>
      </x:c>
      <x:c r="Q184" s="82" t="str"/>
      <x:c r="R184" s="82" t="str">
        <x:v>Outra linha</x:v>
      </x:c>
      <x:c r="S184" s="82" t="str">
        <x:v>Incomum</x:v>
      </x:c>
      <x:c r="T184" s="82" t="str">
        <x:v>Lançado</x:v>
      </x:c>
      <x:c r="U184" s="82" t="str">
        <x:v>Base code(s):</x:v>
      </x:c>
      <x:c r="V184" s="80" t="str">
        <x:v>Coleção principal (~1:64)</x:v>
      </x:c>
      <x:c r="W184" s="82" t="str">
        <x:v>https://hotwheels.fandom.com/wiki/Ferrari_365_GTB/4</x:v>
      </x:c>
      <x:c r="X184" s="82" t="str">
        <x:v>https://hotwheels.fandom.com/wiki/Ferrari_365_GTB/4</x:v>
      </x:c>
    </x:row>
    <x:row r="185">
      <x:c r="A185" s="80" t="str">
        <x:v>Não</x:v>
      </x:c>
      <x:c r="B185" s="80" t="str">
        <x:v>2 — Completar aos poucos</x:v>
      </x:c>
      <x:c r="C185" s="81" t="n">
        <x:v>2009</x:v>
      </x:c>
      <x:c r="D185" s="80" t="str">
        <x:v>Ferrari 365 GTS4</x:v>
      </x:c>
      <x:c r="E185" s="80" t="str">
        <x:v>Ferrari 365 GTS4</x:v>
      </x:c>
      <x:c r="F185" s="82" t="str">
        <x:v>Ferrari Racer / 7/24</x:v>
      </x:c>
      <x:c r="G185" s="80" t="str"/>
      <x:c r="H185" s="80" t="str"/>
      <x:c r="I185" s="83" t="str">
        <x:v>N5557</x:v>
      </x:c>
      <x:c r="J185" s="80" t="str">
        <x:v>Red</x:v>
      </x:c>
      <x:c r="K185" s="82" t="str">
        <x:v>Detailed lights &amp; Ferrari emblem on hood</x:v>
      </x:c>
      <x:c r="L185" s="82" t="str">
        <x:v>Grey CM6</x:v>
      </x:c>
      <x:c r="M185" s="82" t="str">
        <x:v>Chrome / / / Plastic</x:v>
      </x:c>
      <x:c r="N185" s="82" t="str">
        <x:v>Clear</x:v>
      </x:c>
      <x:c r="O185" s="82" t="str">
        <x:v>Black</x:v>
      </x:c>
      <x:c r="P185" s="82" t="str"/>
      <x:c r="Q185" s="82" t="str"/>
      <x:c r="R185" s="82" t="str">
        <x:v>Outra linha</x:v>
      </x:c>
      <x:c r="S185" s="82" t="str">
        <x:v>Incomum</x:v>
      </x:c>
      <x:c r="T185" s="82" t="str">
        <x:v>Lançado</x:v>
      </x:c>
      <x:c r="U185" s="82" t="str">
        <x:v>Base code(s):</x:v>
      </x:c>
      <x:c r="V185" s="80" t="str">
        <x:v>Coleção principal (~1:64)</x:v>
      </x:c>
      <x:c r="W185" s="82" t="str">
        <x:v>https://hotwheels.fandom.com/wiki/Ferrari_365_GTS4</x:v>
      </x:c>
      <x:c r="X185" s="82" t="str">
        <x:v>https://hotwheels.fandom.com/wiki/Ferrari_365_GTS4</x:v>
      </x:c>
    </x:row>
    <x:row r="186">
      <x:c r="A186" s="80" t="str">
        <x:v>Não</x:v>
      </x:c>
      <x:c r="B186" s="80" t="str">
        <x:v>2 — Completar aos poucos</x:v>
      </x:c>
      <x:c r="C186" s="81" t="n">
        <x:v>2009</x:v>
      </x:c>
      <x:c r="D186" s="80" t="str">
        <x:v>Ferrari 430 Scuderia</x:v>
      </x:c>
      <x:c r="E186" s="80" t="str">
        <x:v>Ferrari 430 Scuderia</x:v>
      </x:c>
      <x:c r="F186" s="82" t="str">
        <x:v>Ferrari Racer / 1/24</x:v>
      </x:c>
      <x:c r="G186" s="80" t="str"/>
      <x:c r="H186" s="80" t="str"/>
      <x:c r="I186" s="83" t="str">
        <x:v>N5554</x:v>
      </x:c>
      <x:c r="J186" s="80" t="str">
        <x:v>Metalflake Red</x:v>
      </x:c>
      <x:c r="K186" s="82" t="str">
        <x:v>White Stripes</x:v>
      </x:c>
      <x:c r="L186" s="82" t="str">
        <x:v>Dark Grey CM6</x:v>
      </x:c>
      <x:c r="M186" s="82" t="str">
        <x:v>Black / / / Plastic</x:v>
      </x:c>
      <x:c r="N186" s="82" t="str">
        <x:v>Black</x:v>
      </x:c>
      <x:c r="O186" s="82" t="str">
        <x:v>Black</x:v>
      </x:c>
      <x:c r="P186" s="82" t="str">
        <x:v>Malaysia</x:v>
      </x:c>
      <x:c r="Q186" s="82" t="str"/>
      <x:c r="R186" s="82" t="str">
        <x:v>Outra linha</x:v>
      </x:c>
      <x:c r="S186" s="82" t="str">
        <x:v>Incomum</x:v>
      </x:c>
      <x:c r="T186" s="82" t="str">
        <x:v>Lançado</x:v>
      </x:c>
      <x:c r="U186" s="82" t="str">
        <x:v>Named 430 Scuderia / Base code(s):</x:v>
      </x:c>
      <x:c r="V186" s="80" t="str">
        <x:v>Coleção principal (~1:64)</x:v>
      </x:c>
      <x:c r="W186" s="82" t="str">
        <x:v>https://hotwheels.fandom.com/wiki/Ferrari_430_Scuderia</x:v>
      </x:c>
      <x:c r="X186" s="82" t="str">
        <x:v>https://hotwheels.fandom.com/wiki/Ferrari_430_Scuderia</x:v>
      </x:c>
    </x:row>
    <x:row r="187">
      <x:c r="A187" s="80" t="str">
        <x:v>Não</x:v>
      </x:c>
      <x:c r="B187" s="80" t="str">
        <x:v>2 — Completar aos poucos</x:v>
      </x:c>
      <x:c r="C187" s="81" t="n">
        <x:v>2009</x:v>
      </x:c>
      <x:c r="D187" s="80" t="str">
        <x:v>Ferrari 430 Scuderia</x:v>
      </x:c>
      <x:c r="E187" s="80" t="str">
        <x:v>Ferrari 430 Scuderia</x:v>
      </x:c>
      <x:c r="F187" s="82" t="str">
        <x:v>Ferrari Racer / 23/24</x:v>
      </x:c>
      <x:c r="G187" s="80" t="str"/>
      <x:c r="H187" s="80" t="str"/>
      <x:c r="I187" s="83" t="str">
        <x:v>N8103</x:v>
      </x:c>
      <x:c r="J187" s="80" t="str">
        <x:v>Metalflake Dark Red</x:v>
      </x:c>
      <x:c r="K187" s="82" t="str">
        <x:v>Black "43" on yellow field on sides &amp; hood, Ferrari emblem on sides &amp; hood, White &amp; green stripes on sides &amp; top.</x:v>
      </x:c>
      <x:c r="L187" s="82" t="str">
        <x:v>Chrome Rim, Grey CM6</x:v>
      </x:c>
      <x:c r="M187" s="82" t="str">
        <x:v>Black / / / Plastic</x:v>
      </x:c>
      <x:c r="N187" s="82" t="str">
        <x:v>Tinted</x:v>
      </x:c>
      <x:c r="O187" s="82" t="str">
        <x:v>Black</x:v>
      </x:c>
      <x:c r="P187" s="82" t="str">
        <x:v>Malaysia</x:v>
      </x:c>
      <x:c r="Q187" s="82" t="str"/>
      <x:c r="R187" s="82" t="str">
        <x:v>Outra linha</x:v>
      </x:c>
      <x:c r="S187" s="82" t="str">
        <x:v>Incomum</x:v>
      </x:c>
      <x:c r="T187" s="82" t="str">
        <x:v>Lançado</x:v>
      </x:c>
      <x:c r="U187" s="82" t="str">
        <x:v>Named 430 Scuderia / Base code(s):</x:v>
      </x:c>
      <x:c r="V187" s="80" t="str">
        <x:v>Coleção principal (~1:64)</x:v>
      </x:c>
      <x:c r="W187" s="82" t="str">
        <x:v>https://hotwheels.fandom.com/wiki/Ferrari_430_Scuderia</x:v>
      </x:c>
      <x:c r="X187" s="82" t="str">
        <x:v>https://hotwheels.fandom.com/wiki/Ferrari_430_Scuderia</x:v>
      </x:c>
    </x:row>
    <x:row r="188">
      <x:c r="A188" s="80" t="str">
        <x:v>Não</x:v>
      </x:c>
      <x:c r="B188" s="80" t="str">
        <x:v>2 — Completar aos poucos</x:v>
      </x:c>
      <x:c r="C188" s="81" t="n">
        <x:v>2009</x:v>
      </x:c>
      <x:c r="D188" s="80" t="str">
        <x:v>Ferrari 456M</x:v>
      </x:c>
      <x:c r="E188" s="80" t="str">
        <x:v>Ferrari 456M</x:v>
      </x:c>
      <x:c r="F188" s="82" t="str">
        <x:v>Ferrari 5 5-Pack</x:v>
      </x:c>
      <x:c r="G188" s="80" t="str"/>
      <x:c r="H188" s="80" t="str"/>
      <x:c r="I188" s="83" t="str">
        <x:v>L4269</x:v>
      </x:c>
      <x:c r="J188" s="80" t="str">
        <x:v>Red</x:v>
      </x:c>
      <x:c r="K188" s="82" t="str">
        <x:v>Ferrari logo on bonnet &amp; boot</x:v>
      </x:c>
      <x:c r="L188" s="82" t="str">
        <x:v>PR5</x:v>
      </x:c>
      <x:c r="M188" s="82" t="str">
        <x:v>Black / / / Plastic</x:v>
      </x:c>
      <x:c r="N188" s="82" t="str">
        <x:v>Clear</x:v>
      </x:c>
      <x:c r="O188" s="82" t="str">
        <x:v>Black</x:v>
      </x:c>
      <x:c r="P188" s="82" t="str">
        <x:v>Thailand</x:v>
      </x:c>
      <x:c r="Q188" s="82" t="str"/>
      <x:c r="R188" s="82" t="str">
        <x:v>Temática / multipack</x:v>
      </x:c>
      <x:c r="S188" s="82" t="str">
        <x:v>Incomum</x:v>
      </x:c>
      <x:c r="T188" s="82" t="str">
        <x:v>Lançado</x:v>
      </x:c>
      <x:c r="U188" s="82" t="str">
        <x:v>Base code(s): A46, A51, A52, B09</x:v>
      </x:c>
      <x:c r="V188" s="80" t="str">
        <x:v>Coleção principal (~1:64)</x:v>
      </x:c>
      <x:c r="W188" s="82" t="str">
        <x:v>https://hotwheels.fandom.com/wiki/Ferrari_456M</x:v>
      </x:c>
      <x:c r="X188" s="82" t="str">
        <x:v>https://hotwheels.fandom.com/wiki/Ferrari_456M</x:v>
      </x:c>
    </x:row>
    <x:row r="189">
      <x:c r="A189" s="80" t="str">
        <x:v>Não</x:v>
      </x:c>
      <x:c r="B189" s="80" t="str">
        <x:v>2 — Completar aos poucos</x:v>
      </x:c>
      <x:c r="C189" s="81" t="n">
        <x:v>2009</x:v>
      </x:c>
      <x:c r="D189" s="80" t="str">
        <x:v>Ferrari 512 M</x:v>
      </x:c>
      <x:c r="E189" s="80" t="str">
        <x:v>Ferrari 512 M</x:v>
      </x:c>
      <x:c r="F189" s="82" t="str">
        <x:v>HW Special Features / 9/10</x:v>
      </x:c>
      <x:c r="G189" s="80" t="str"/>
      <x:c r="H189" s="80" t="str">
        <x:v>095/190</x:v>
      </x:c>
      <x:c r="I189" s="83" t="str">
        <x:v>P2415</x:v>
      </x:c>
      <x:c r="J189" s="80" t="str">
        <x:v>Dark Blue</x:v>
      </x:c>
      <x:c r="K189" s="82" t="str">
        <x:v>White &amp; Silver tampos w/ "Ferrari" on sides</x:v>
      </x:c>
      <x:c r="L189" s="82" t="str">
        <x:v>PR5</x:v>
      </x:c>
      <x:c r="M189" s="82" t="str">
        <x:v>Chrome / / / Plastic</x:v>
      </x:c>
      <x:c r="N189" s="82" t="str">
        <x:v>Tinted</x:v>
      </x:c>
      <x:c r="O189" s="82" t="str">
        <x:v>Black</x:v>
      </x:c>
      <x:c r="P189" s="82" t="str">
        <x:v>Malaysia</x:v>
      </x:c>
      <x:c r="Q189" s="82" t="str"/>
      <x:c r="R189" s="82" t="str">
        <x:v>Mainline</x:v>
      </x:c>
      <x:c r="S189" s="82" t="str">
        <x:v>Incomum</x:v>
      </x:c>
      <x:c r="T189" s="82" t="str">
        <x:v>Lançado</x:v>
      </x:c>
      <x:c r="U189" s="82" t="str">
        <x:v>Base code(s): A30, A33, A47</x:v>
      </x:c>
      <x:c r="V189" s="80" t="str">
        <x:v>Coleção principal (~1:64)</x:v>
      </x:c>
      <x:c r="W189" s="82" t="str">
        <x:v>https://hotwheels.fandom.com/wiki/Ferrari_512_M</x:v>
      </x:c>
      <x:c r="X189" s="82" t="str">
        <x:v>https://hotwheels.fandom.com/wiki/Ferrari_512_M</x:v>
      </x:c>
    </x:row>
    <x:row r="190">
      <x:c r="A190" s="80" t="str">
        <x:v>Não</x:v>
      </x:c>
      <x:c r="B190" s="80" t="str">
        <x:v>2 — Completar aos poucos</x:v>
      </x:c>
      <x:c r="C190" s="81" t="n">
        <x:v>2009</x:v>
      </x:c>
      <x:c r="D190" s="80" t="str">
        <x:v>Ferrari 512 M</x:v>
      </x:c>
      <x:c r="E190" s="80" t="str">
        <x:v>Ferrari 512 M</x:v>
      </x:c>
      <x:c r="F190" s="82" t="str">
        <x:v>HW Special Features / 9/10</x:v>
      </x:c>
      <x:c r="G190" s="80" t="str"/>
      <x:c r="H190" s="80" t="str">
        <x:v>095/190</x:v>
      </x:c>
      <x:c r="I190" s="83" t="str">
        <x:v>P2415</x:v>
      </x:c>
      <x:c r="J190" s="80" t="str">
        <x:v>Red enamel</x:v>
      </x:c>
      <x:c r="K190" s="82" t="str">
        <x:v>White &amp; Silver tampos w/ "Ferrari" on sides</x:v>
      </x:c>
      <x:c r="L190" s="82" t="str">
        <x:v>PR5</x:v>
      </x:c>
      <x:c r="M190" s="82" t="str">
        <x:v>Chrome / / / Plastic</x:v>
      </x:c>
      <x:c r="N190" s="82" t="str">
        <x:v>Tinted</x:v>
      </x:c>
      <x:c r="O190" s="82" t="str">
        <x:v>Black</x:v>
      </x:c>
      <x:c r="P190" s="82" t="str">
        <x:v>Malaysia</x:v>
      </x:c>
      <x:c r="Q190" s="82" t="str"/>
      <x:c r="R190" s="82" t="str">
        <x:v>Mainline</x:v>
      </x:c>
      <x:c r="S190" s="82" t="str">
        <x:v>Incomum</x:v>
      </x:c>
      <x:c r="T190" s="82" t="str">
        <x:v>Lançado</x:v>
      </x:c>
      <x:c r="U190" s="82" t="str">
        <x:v>Base codes: B24, B29</x:v>
      </x:c>
      <x:c r="V190" s="80" t="str">
        <x:v>Coleção principal (~1:64)</x:v>
      </x:c>
      <x:c r="W190" s="82" t="str">
        <x:v>https://hotwheels.fandom.com/wiki/Ferrari_512_M</x:v>
      </x:c>
      <x:c r="X190" s="82" t="str">
        <x:v>https://hotwheels.fandom.com/wiki/Ferrari_512_M</x:v>
      </x:c>
    </x:row>
    <x:row r="191">
      <x:c r="A191" s="80" t="str">
        <x:v>Não</x:v>
      </x:c>
      <x:c r="B191" s="80" t="str">
        <x:v>2 — Completar aos poucos</x:v>
      </x:c>
      <x:c r="C191" s="81" t="n">
        <x:v>2009</x:v>
      </x:c>
      <x:c r="D191" s="80" t="str">
        <x:v>Ferrari 512 M</x:v>
      </x:c>
      <x:c r="E191" s="80" t="str">
        <x:v>Ferrari 512 M</x:v>
      </x:c>
      <x:c r="F191" s="82" t="str">
        <x:v>HW Special Features / 9/10</x:v>
      </x:c>
      <x:c r="G191" s="80" t="str"/>
      <x:c r="H191" s="80" t="str">
        <x:v>095/190</x:v>
      </x:c>
      <x:c r="I191" s="83" t="str">
        <x:v>P2415</x:v>
      </x:c>
      <x:c r="J191" s="80" t="str">
        <x:v>Yellow</x:v>
      </x:c>
      <x:c r="K191" s="82" t="str">
        <x:v>Blue &amp; Silver tampos w/ "Ferrari" on sides</x:v>
      </x:c>
      <x:c r="L191" s="82" t="str">
        <x:v>PR5</x:v>
      </x:c>
      <x:c r="M191" s="82" t="str">
        <x:v>Chrome / / / Plastic</x:v>
      </x:c>
      <x:c r="N191" s="82" t="str">
        <x:v>Tinted</x:v>
      </x:c>
      <x:c r="O191" s="82" t="str">
        <x:v>Black w/ Yellow seats</x:v>
      </x:c>
      <x:c r="P191" s="82" t="str">
        <x:v>Malaysia</x:v>
      </x:c>
      <x:c r="Q191" s="82" t="str"/>
      <x:c r="R191" s="82" t="str">
        <x:v>Mainline</x:v>
      </x:c>
      <x:c r="S191" s="82" t="str">
        <x:v>Incomum</x:v>
      </x:c>
      <x:c r="T191" s="82" t="str">
        <x:v>Lançado</x:v>
      </x:c>
      <x:c r="U191" s="82" t="str">
        <x:v>Base code(s): B45</x:v>
      </x:c>
      <x:c r="V191" s="80" t="str">
        <x:v>Coleção principal (~1:64)</x:v>
      </x:c>
      <x:c r="W191" s="82" t="str">
        <x:v>https://hotwheels.fandom.com/wiki/Ferrari_512_M</x:v>
      </x:c>
      <x:c r="X191" s="82" t="str">
        <x:v>https://hotwheels.fandom.com/wiki/Ferrari_512_M</x:v>
      </x:c>
    </x:row>
    <x:row r="192">
      <x:c r="A192" s="80" t="str">
        <x:v>Não</x:v>
      </x:c>
      <x:c r="B192" s="80" t="str">
        <x:v>2 — Completar aos poucos</x:v>
      </x:c>
      <x:c r="C192" s="81" t="n">
        <x:v>2009</x:v>
      </x:c>
      <x:c r="D192" s="80" t="str">
        <x:v>Ferrari 550 Maranello</x:v>
      </x:c>
      <x:c r="E192" s="80" t="str">
        <x:v>Ferrari 550 Maranello</x:v>
      </x:c>
      <x:c r="F192" s="82" t="str">
        <x:v>Ferrari 5 5-Pack</x:v>
      </x:c>
      <x:c r="G192" s="80" t="str"/>
      <x:c r="H192" s="80" t="str"/>
      <x:c r="I192" s="83" t="str">
        <x:v>L4269</x:v>
      </x:c>
      <x:c r="J192" s="80" t="str">
        <x:v>Red</x:v>
      </x:c>
      <x:c r="K192" s="82" t="str">
        <x:v>Detailed headlights and taillights with Ferrari logo on hood and back</x:v>
      </x:c>
      <x:c r="L192" s="82" t="str">
        <x:v>PR5</x:v>
      </x:c>
      <x:c r="M192" s="82" t="str">
        <x:v>Black / / / Plastic</x:v>
      </x:c>
      <x:c r="N192" s="82" t="str">
        <x:v>Clear</x:v>
      </x:c>
      <x:c r="O192" s="82" t="str">
        <x:v>Tan</x:v>
      </x:c>
      <x:c r="P192" s="82" t="str">
        <x:v>Thailand</x:v>
      </x:c>
      <x:c r="Q192" s="82" t="str"/>
      <x:c r="R192" s="82" t="str">
        <x:v>Temática / multipack</x:v>
      </x:c>
      <x:c r="S192" s="82" t="str">
        <x:v>Incomum</x:v>
      </x:c>
      <x:c r="T192" s="82" t="str">
        <x:v>Lançado</x:v>
      </x:c>
      <x:c r="U192" s="82" t="str"/>
      <x:c r="V192" s="80" t="str">
        <x:v>Coleção principal (~1:64)</x:v>
      </x:c>
      <x:c r="W192" s="82" t="str">
        <x:v>https://hotwheels.fandom.com/wiki/Ferrari_550_Maranello</x:v>
      </x:c>
      <x:c r="X192" s="82" t="str">
        <x:v>https://hotwheels.fandom.com/wiki/Ferrari_550_Maranello</x:v>
      </x:c>
    </x:row>
    <x:row r="193">
      <x:c r="A193" s="80" t="str">
        <x:v>Não</x:v>
      </x:c>
      <x:c r="B193" s="80" t="str">
        <x:v>2 — Completar aos poucos</x:v>
      </x:c>
      <x:c r="C193" s="81" t="n">
        <x:v>2009</x:v>
      </x:c>
      <x:c r="D193" s="80" t="str">
        <x:v>Ferrari 550 Maranello</x:v>
      </x:c>
      <x:c r="E193" s="80" t="str">
        <x:v>Ferrari 550 Maranello</x:v>
      </x:c>
      <x:c r="F193" s="82" t="str">
        <x:v>Ferrari Racer / 21/24</x:v>
      </x:c>
      <x:c r="G193" s="80" t="str"/>
      <x:c r="H193" s="80" t="str"/>
      <x:c r="I193" s="83" t="str">
        <x:v>N8107</x:v>
      </x:c>
      <x:c r="J193" s="80" t="str">
        <x:v>Red</x:v>
      </x:c>
      <x:c r="K193" s="82" t="str">
        <x:v>Yellow racing stripes, Black and White "550"</x:v>
      </x:c>
      <x:c r="L193" s="82" t="str">
        <x:v>Red Rim, Gray CM6</x:v>
      </x:c>
      <x:c r="M193" s="82" t="str">
        <x:v>Black / / / Metal</x:v>
      </x:c>
      <x:c r="N193" s="82" t="str">
        <x:v>Tinted</x:v>
      </x:c>
      <x:c r="O193" s="82" t="str">
        <x:v>Black</x:v>
      </x:c>
      <x:c r="P193" s="82" t="str">
        <x:v>Malaysia</x:v>
      </x:c>
      <x:c r="Q193" s="82" t="str"/>
      <x:c r="R193" s="82" t="str">
        <x:v>Outra linha</x:v>
      </x:c>
      <x:c r="S193" s="82" t="str">
        <x:v>Incomum</x:v>
      </x:c>
      <x:c r="T193" s="82" t="str">
        <x:v>Lançado</x:v>
      </x:c>
      <x:c r="U193" s="82" t="str"/>
      <x:c r="V193" s="80" t="str">
        <x:v>Coleção principal (~1:64)</x:v>
      </x:c>
      <x:c r="W193" s="82" t="str">
        <x:v>https://hotwheels.fandom.com/wiki/Ferrari_550_Maranello</x:v>
      </x:c>
      <x:c r="X193" s="82" t="str">
        <x:v>https://hotwheels.fandom.com/wiki/Ferrari_550_Maranello</x:v>
      </x:c>
    </x:row>
    <x:row r="194">
      <x:c r="A194" s="80" t="str">
        <x:v>Não</x:v>
      </x:c>
      <x:c r="B194" s="80" t="str">
        <x:v>2 — Completar aos poucos</x:v>
      </x:c>
      <x:c r="C194" s="81" t="n">
        <x:v>2009</x:v>
      </x:c>
      <x:c r="D194" s="80" t="str">
        <x:v>Ferrari 575 GTC</x:v>
      </x:c>
      <x:c r="E194" s="80" t="str">
        <x:v>Ferrari 575 GTC</x:v>
      </x:c>
      <x:c r="F194" s="82" t="str">
        <x:v>Ferrari Racer / 8/24</x:v>
      </x:c>
      <x:c r="G194" s="80" t="str"/>
      <x:c r="H194" s="80" t="str"/>
      <x:c r="I194" s="83" t="str">
        <x:v>N8095</x:v>
      </x:c>
      <x:c r="J194" s="80" t="str">
        <x:v>Black</x:v>
      </x:c>
      <x:c r="K194" s="82" t="str">
        <x:v>Red lines, "575", Italian flag on hood, &amp; Ferrari logo on rear wing</x:v>
      </x:c>
      <x:c r="L194" s="82" t="str">
        <x:v>Black CM6 with red rims</x:v>
      </x:c>
      <x:c r="M194" s="82" t="str">
        <x:v>White</x:v>
      </x:c>
      <x:c r="N194" s="82" t="str">
        <x:v>Red tint</x:v>
      </x:c>
      <x:c r="O194" s="82" t="str">
        <x:v>Black</x:v>
      </x:c>
      <x:c r="P194" s="82" t="str">
        <x:v>Malaysia</x:v>
      </x:c>
      <x:c r="Q194" s="82" t="str"/>
      <x:c r="R194" s="82" t="str">
        <x:v>Outra linha</x:v>
      </x:c>
      <x:c r="S194" s="82" t="str">
        <x:v>Incomum</x:v>
      </x:c>
      <x:c r="T194" s="82" t="str">
        <x:v>Lançado</x:v>
      </x:c>
      <x:c r="U194" s="82" t="str">
        <x:v>Base code(s):</x:v>
      </x:c>
      <x:c r="V194" s="80" t="str">
        <x:v>Coleção principal (~1:64)</x:v>
      </x:c>
      <x:c r="W194" s="82" t="str">
        <x:v>https://hotwheels.fandom.com/wiki/Ferrari_575_GTC</x:v>
      </x:c>
      <x:c r="X194" s="82" t="str">
        <x:v>https://hotwheels.fandom.com/wiki/Ferrari_575_GTC</x:v>
      </x:c>
    </x:row>
    <x:row r="195">
      <x:c r="A195" s="80" t="str">
        <x:v>Não</x:v>
      </x:c>
      <x:c r="B195" s="80" t="str">
        <x:v>2 — Completar aos poucos</x:v>
      </x:c>
      <x:c r="C195" s="81" t="n">
        <x:v>2009</x:v>
      </x:c>
      <x:c r="D195" s="80" t="str">
        <x:v>Ferrari 599 GTB Fiorano</x:v>
      </x:c>
      <x:c r="E195" s="80" t="str">
        <x:v>Ferrari 599 GTB Fiorano</x:v>
      </x:c>
      <x:c r="F195" s="82" t="str">
        <x:v>Ferrari 5-Pack</x:v>
      </x:c>
      <x:c r="G195" s="80" t="str"/>
      <x:c r="H195" s="80" t="str"/>
      <x:c r="I195" s="83" t="str">
        <x:v>L4269</x:v>
      </x:c>
      <x:c r="J195" s="80" t="str">
        <x:v>Red</x:v>
      </x:c>
      <x:c r="K195" s="82" t="str">
        <x:v>Ferrari emblems on sides, hood, and rear</x:v>
      </x:c>
      <x:c r="L195" s="82" t="str">
        <x:v>Y5</x:v>
      </x:c>
      <x:c r="M195" s="82" t="str">
        <x:v>Black / / / Plastic</x:v>
      </x:c>
      <x:c r="N195" s="82" t="str">
        <x:v>Clear</x:v>
      </x:c>
      <x:c r="O195" s="82" t="str">
        <x:v>Beige</x:v>
      </x:c>
      <x:c r="P195" s="82" t="str">
        <x:v>Thailand</x:v>
      </x:c>
      <x:c r="Q195" s="82" t="str"/>
      <x:c r="R195" s="82" t="str">
        <x:v>Temática / multipack</x:v>
      </x:c>
      <x:c r="S195" s="82" t="str">
        <x:v>Incomum</x:v>
      </x:c>
      <x:c r="T195" s="82" t="str">
        <x:v>Lançado</x:v>
      </x:c>
      <x:c r="U195" s="82" t="str">
        <x:v>Base code(s): A51, B0</x:v>
      </x:c>
      <x:c r="V195" s="80" t="str">
        <x:v>Coleção principal (~1:64)</x:v>
      </x:c>
      <x:c r="W195" s="82" t="str">
        <x:v>https://hotwheels.fandom.com/wiki/Ferrari_599_GTB_Fiorano</x:v>
      </x:c>
      <x:c r="X195" s="82" t="str">
        <x:v>https://hotwheels.fandom.com/wiki/Ferrari_599_GTB_Fiorano</x:v>
      </x:c>
    </x:row>
    <x:row r="196">
      <x:c r="A196" s="80" t="str">
        <x:v>Não</x:v>
      </x:c>
      <x:c r="B196" s="80" t="str">
        <x:v>2 — Completar aos poucos</x:v>
      </x:c>
      <x:c r="C196" s="81" t="n">
        <x:v>2009</x:v>
      </x:c>
      <x:c r="D196" s="80" t="str">
        <x:v>Ferrari 599 GTB Fiorano</x:v>
      </x:c>
      <x:c r="E196" s="80" t="str">
        <x:v>Ferrari 599 GTB Fiorano</x:v>
      </x:c>
      <x:c r="F196" s="82" t="str">
        <x:v>Ferrari Circuit</x:v>
      </x:c>
      <x:c r="G196" s="80" t="str"/>
      <x:c r="H196" s="80" t="str"/>
      <x:c r="I196" s="83" t="str">
        <x:v>P7967</x:v>
      </x:c>
      <x:c r="J196" s="80" t="str">
        <x:v>Dark Red</x:v>
      </x:c>
      <x:c r="K196" s="82" t="str">
        <x:v>Black Stripes, '599', &amp; Ferrari emblems on sides &amp; hood</x:v>
      </x:c>
      <x:c r="L196" s="82" t="str">
        <x:v>PR5</x:v>
      </x:c>
      <x:c r="M196" s="82" t="str">
        <x:v>Black / / / Plastic</x:v>
      </x:c>
      <x:c r="N196" s="82" t="str">
        <x:v>Tinted</x:v>
      </x:c>
      <x:c r="O196" s="82" t="str">
        <x:v>Black</x:v>
      </x:c>
      <x:c r="P196" s="82" t="str">
        <x:v>Thailand</x:v>
      </x:c>
      <x:c r="Q196" s="82" t="str"/>
      <x:c r="R196" s="82" t="str">
        <x:v>Outra linha</x:v>
      </x:c>
      <x:c r="S196" s="82" t="str">
        <x:v>Incomum</x:v>
      </x:c>
      <x:c r="T196" s="82" t="str">
        <x:v>Lançado</x:v>
      </x:c>
      <x:c r="U196" s="82" t="str">
        <x:v>Base code(s): B22</x:v>
      </x:c>
      <x:c r="V196" s="80" t="str">
        <x:v>Coleção principal (~1:64)</x:v>
      </x:c>
      <x:c r="W196" s="82" t="str">
        <x:v>https://hotwheels.fandom.com/wiki/Ferrari_599_GTB_Fiorano</x:v>
      </x:c>
      <x:c r="X196" s="82" t="str">
        <x:v>https://hotwheels.fandom.com/wiki/Ferrari_599_GTB_Fiorano</x:v>
      </x:c>
    </x:row>
    <x:row r="197">
      <x:c r="A197" s="80" t="str">
        <x:v>Não</x:v>
      </x:c>
      <x:c r="B197" s="80" t="str">
        <x:v>2 — Completar aos poucos</x:v>
      </x:c>
      <x:c r="C197" s="81" t="n">
        <x:v>2009</x:v>
      </x:c>
      <x:c r="D197" s="80" t="str">
        <x:v>Ferrari 599 GTB Fiorano</x:v>
      </x:c>
      <x:c r="E197" s="80" t="str">
        <x:v>Ferrari 599 GTB Fiorano</x:v>
      </x:c>
      <x:c r="F197" s="82" t="str">
        <x:v>Ferrari Racer / 19/24</x:v>
      </x:c>
      <x:c r="G197" s="80" t="str"/>
      <x:c r="H197" s="80" t="str"/>
      <x:c r="I197" s="83" t="str">
        <x:v>N8105</x:v>
      </x:c>
      <x:c r="J197" s="80" t="str">
        <x:v>Dark Red</x:v>
      </x:c>
      <x:c r="K197" s="82" t="str">
        <x:v>White Stripes and Ferrari emblems</x:v>
      </x:c>
      <x:c r="L197" s="82" t="str">
        <x:v>Grey CM6</x:v>
      </x:c>
      <x:c r="M197" s="82" t="str">
        <x:v>Black / / / Plastic</x:v>
      </x:c>
      <x:c r="N197" s="82" t="str">
        <x:v>Light tint</x:v>
      </x:c>
      <x:c r="O197" s="82" t="str">
        <x:v>Dark Red</x:v>
      </x:c>
      <x:c r="P197" s="82" t="str">
        <x:v>Malaysia</x:v>
      </x:c>
      <x:c r="Q197" s="82" t="str"/>
      <x:c r="R197" s="82" t="str">
        <x:v>Outra linha</x:v>
      </x:c>
      <x:c r="S197" s="82" t="str">
        <x:v>Incomum</x:v>
      </x:c>
      <x:c r="T197" s="82" t="str">
        <x:v>Lançado</x:v>
      </x:c>
      <x:c r="U197" s="82" t="str">
        <x:v>Named 599 GTB Fiorano</x:v>
      </x:c>
      <x:c r="V197" s="80" t="str">
        <x:v>Coleção principal (~1:64)</x:v>
      </x:c>
      <x:c r="W197" s="82" t="str">
        <x:v>https://hotwheels.fandom.com/wiki/Ferrari_599_GTB_Fiorano</x:v>
      </x:c>
      <x:c r="X197" s="82" t="str">
        <x:v>https://hotwheels.fandom.com/wiki/Ferrari_599_GTB_Fiorano</x:v>
      </x:c>
    </x:row>
    <x:row r="198">
      <x:c r="A198" s="80" t="str">
        <x:v>Não</x:v>
      </x:c>
      <x:c r="B198" s="80" t="str">
        <x:v>2 — Completar aos poucos</x:v>
      </x:c>
      <x:c r="C198" s="81" t="n">
        <x:v>2009</x:v>
      </x:c>
      <x:c r="D198" s="80" t="str">
        <x:v>Ferrari 612 Scaglietti</x:v>
      </x:c>
      <x:c r="E198" s="80" t="str">
        <x:v>Ferrari 612 Scaglietti</x:v>
      </x:c>
      <x:c r="F198" s="82" t="str">
        <x:v>Ferrari Racer / 13/24</x:v>
      </x:c>
      <x:c r="G198" s="80" t="str"/>
      <x:c r="H198" s="80" t="str"/>
      <x:c r="I198" s="83" t="str">
        <x:v>N5556</x:v>
      </x:c>
      <x:c r="J198" s="80" t="str">
        <x:v>Metalflake Grigio Silverstone</x:v>
      </x:c>
      <x:c r="K198" s="82" t="str">
        <x:v>White black "MO 612" on rear license plate</x:v>
      </x:c>
      <x:c r="L198" s="82" t="str">
        <x:v>Grey CM6</x:v>
      </x:c>
      <x:c r="M198" s="82" t="str">
        <x:v>Black / / / Plastic</x:v>
      </x:c>
      <x:c r="N198" s="82" t="str">
        <x:v>Tinted</x:v>
      </x:c>
      <x:c r="O198" s="82" t="str">
        <x:v>Light Brown</x:v>
      </x:c>
      <x:c r="P198" s="82" t="str">
        <x:v>Malaysia</x:v>
      </x:c>
      <x:c r="Q198" s="82" t="str"/>
      <x:c r="R198" s="82" t="str">
        <x:v>Outra linha</x:v>
      </x:c>
      <x:c r="S198" s="82" t="str">
        <x:v>Incomum</x:v>
      </x:c>
      <x:c r="T198" s="82" t="str">
        <x:v>Lançado</x:v>
      </x:c>
      <x:c r="U198" s="82" t="str"/>
      <x:c r="V198" s="80" t="str">
        <x:v>Coleção principal (~1:64)</x:v>
      </x:c>
      <x:c r="W198" s="82" t="str">
        <x:v>https://hotwheels.fandom.com/wiki/Ferrari_612_Scaglietti</x:v>
      </x:c>
      <x:c r="X198" s="82" t="str">
        <x:v>https://hotwheels.fandom.com/wiki/Ferrari_612_Scaglietti</x:v>
      </x:c>
    </x:row>
    <x:row r="199">
      <x:c r="A199" s="80" t="str">
        <x:v>Não</x:v>
      </x:c>
      <x:c r="B199" s="80" t="str">
        <x:v>2 — Completar aos poucos</x:v>
      </x:c>
      <x:c r="C199" s="81" t="n">
        <x:v>2009</x:v>
      </x:c>
      <x:c r="D199" s="80" t="str">
        <x:v>Ferrari California</x:v>
      </x:c>
      <x:c r="E199" s="80" t="str">
        <x:v>Ferrari California</x:v>
      </x:c>
      <x:c r="F199" s="82" t="str">
        <x:v>2009 New Models / 38/42</x:v>
      </x:c>
      <x:c r="G199" s="80" t="str"/>
      <x:c r="H199" s="80" t="str">
        <x:v>038/190</x:v>
      </x:c>
      <x:c r="I199" s="83" t="str">
        <x:v>N4041</x:v>
      </x:c>
      <x:c r="J199" s="80" t="str">
        <x:v>Red</x:v>
      </x:c>
      <x:c r="K199" s="82" t="str">
        <x:v>Trim, Emblem and Light Details</x:v>
      </x:c>
      <x:c r="L199" s="82" t="str">
        <x:v>PR5</x:v>
      </x:c>
      <x:c r="M199" s="82" t="str">
        <x:v>Black / / / Plastic</x:v>
      </x:c>
      <x:c r="N199" s="82" t="str">
        <x:v>Clear</x:v>
      </x:c>
      <x:c r="O199" s="82" t="str">
        <x:v>Beige</x:v>
      </x:c>
      <x:c r="P199" s="82" t="str">
        <x:v>Malaysia</x:v>
      </x:c>
      <x:c r="Q199" s="82" t="str"/>
      <x:c r="R199" s="82" t="str">
        <x:v>Mainline</x:v>
      </x:c>
      <x:c r="S199" s="82" t="str">
        <x:v>Incomum</x:v>
      </x:c>
      <x:c r="T199" s="82" t="str">
        <x:v>Lançado</x:v>
      </x:c>
      <x:c r="U199" s="82" t="str">
        <x:v>Base code(s): B10, B18, B19, B22</x:v>
      </x:c>
      <x:c r="V199" s="80" t="str">
        <x:v>Coleção principal (~1:64)</x:v>
      </x:c>
      <x:c r="W199" s="82" t="str">
        <x:v>https://hotwheels.fandom.com/wiki/Ferrari_California</x:v>
      </x:c>
      <x:c r="X199" s="82" t="str">
        <x:v>https://hotwheels.fandom.com/wiki/Ferrari_California</x:v>
      </x:c>
    </x:row>
    <x:row r="200">
      <x:c r="A200" s="80" t="str">
        <x:v>Não</x:v>
      </x:c>
      <x:c r="B200" s="80" t="str">
        <x:v>2 — Completar aos poucos</x:v>
      </x:c>
      <x:c r="C200" s="81" t="n">
        <x:v>2009</x:v>
      </x:c>
      <x:c r="D200" s="80" t="str">
        <x:v>Ferrari California</x:v>
      </x:c>
      <x:c r="E200" s="80" t="str">
        <x:v>Ferrari California</x:v>
      </x:c>
      <x:c r="F200" s="82" t="str">
        <x:v>2009 New Models / 38/42</x:v>
      </x:c>
      <x:c r="G200" s="80" t="str"/>
      <x:c r="H200" s="80" t="str">
        <x:v>038/190</x:v>
      </x:c>
      <x:c r="I200" s="83" t="str">
        <x:v>N4041</x:v>
      </x:c>
      <x:c r="J200" s="80" t="str">
        <x:v>Red</x:v>
      </x:c>
      <x:c r="K200" s="82" t="str">
        <x:v>Trim, Emblem and Light Details</x:v>
      </x:c>
      <x:c r="L200" s="82" t="str">
        <x:v>PR5</x:v>
      </x:c>
      <x:c r="M200" s="82" t="str">
        <x:v>Black / / / Plastic</x:v>
      </x:c>
      <x:c r="N200" s="82" t="str">
        <x:v>Tinted (Pink)</x:v>
      </x:c>
      <x:c r="O200" s="82" t="str">
        <x:v>Beige</x:v>
      </x:c>
      <x:c r="P200" s="82" t="str">
        <x:v>Malaysia</x:v>
      </x:c>
      <x:c r="Q200" s="82" t="str"/>
      <x:c r="R200" s="82" t="str">
        <x:v>Mainline</x:v>
      </x:c>
      <x:c r="S200" s="82" t="str">
        <x:v>Incomum</x:v>
      </x:c>
      <x:c r="T200" s="82" t="str">
        <x:v>Lançado</x:v>
      </x:c>
      <x:c r="U200" s="82" t="str">
        <x:v>Base code(s): B18, B19, B22</x:v>
      </x:c>
      <x:c r="V200" s="80" t="str">
        <x:v>Coleção principal (~1:64)</x:v>
      </x:c>
      <x:c r="W200" s="82" t="str">
        <x:v>https://hotwheels.fandom.com/wiki/Ferrari_California</x:v>
      </x:c>
      <x:c r="X200" s="82" t="str">
        <x:v>https://hotwheels.fandom.com/wiki/Ferrari_California</x:v>
      </x:c>
    </x:row>
    <x:row r="201">
      <x:c r="A201" s="80" t="str">
        <x:v>Não</x:v>
      </x:c>
      <x:c r="B201" s="80" t="str">
        <x:v>2 — Completar aos poucos</x:v>
      </x:c>
      <x:c r="C201" s="81" t="n">
        <x:v>2009</x:v>
      </x:c>
      <x:c r="D201" s="80" t="str">
        <x:v>Ferrari Dino 246 GTS</x:v>
      </x:c>
      <x:c r="E201" s="80" t="str">
        <x:v>Ferrari Dino 246 GTS</x:v>
      </x:c>
      <x:c r="F201" s="82" t="str">
        <x:v>Ferrari Racer / 15/24</x:v>
      </x:c>
      <x:c r="G201" s="80" t="str"/>
      <x:c r="H201" s="80" t="str"/>
      <x:c r="I201" s="83" t="str">
        <x:v>N8099</x:v>
      </x:c>
      <x:c r="J201" s="80" t="str">
        <x:v>Yellow</x:v>
      </x:c>
      <x:c r="K201" s="82" t="str">
        <x:v>Ferrari emblem on sides, Dino back &amp; front, detailed tail and headlights, Silver bumpers, yellow line on windshield, gray logo on both sides (not distinguished)</x:v>
      </x:c>
      <x:c r="L201" s="82" t="str">
        <x:v>Gray &amp; Red CM6</x:v>
      </x:c>
      <x:c r="M201" s="82" t="str">
        <x:v>Black / / / Plastic</x:v>
      </x:c>
      <x:c r="N201" s="82" t="str">
        <x:v>Tinted</x:v>
      </x:c>
      <x:c r="O201" s="82" t="str">
        <x:v>Black</x:v>
      </x:c>
      <x:c r="P201" s="82" t="str">
        <x:v>Malaysia</x:v>
      </x:c>
      <x:c r="Q201" s="82" t="str"/>
      <x:c r="R201" s="82" t="str">
        <x:v>Outra linha</x:v>
      </x:c>
      <x:c r="S201" s="82" t="str">
        <x:v>Incomum</x:v>
      </x:c>
      <x:c r="T201" s="82" t="str">
        <x:v>Lançado</x:v>
      </x:c>
      <x:c r="U201" s="82" t="str">
        <x:v>Named Dino 246 GT / Base code(s): B19</x:v>
      </x:c>
      <x:c r="V201" s="80" t="str">
        <x:v>Coleção principal (~1:64)</x:v>
      </x:c>
      <x:c r="W201" s="82" t="str">
        <x:v>https://hotwheels.fandom.com/wiki/Ferrari_Dino_246_GTS</x:v>
      </x:c>
      <x:c r="X201" s="82" t="str">
        <x:v>https://hotwheels.fandom.com/wiki/Ferrari_Dino_246_GTS</x:v>
      </x:c>
    </x:row>
    <x:row r="202">
      <x:c r="A202" s="80" t="str">
        <x:v>Não</x:v>
      </x:c>
      <x:c r="B202" s="80" t="str">
        <x:v>2 — Completar aos poucos</x:v>
      </x:c>
      <x:c r="C202" s="81" t="n">
        <x:v>2009</x:v>
      </x:c>
      <x:c r="D202" s="80" t="str">
        <x:v>Ferrari Dino 246 GTS</x:v>
      </x:c>
      <x:c r="E202" s="80" t="str">
        <x:v>Ferrari Dino 246 GTS</x:v>
      </x:c>
      <x:c r="F202" s="82" t="str">
        <x:v>Ferrari Racer / 18/24</x:v>
      </x:c>
      <x:c r="G202" s="80" t="str"/>
      <x:c r="H202" s="80" t="str"/>
      <x:c r="I202" s="83" t="str">
        <x:v>M9847</x:v>
      </x:c>
      <x:c r="J202" s="80" t="str">
        <x:v>Red</x:v>
      </x:c>
      <x:c r="K202" s="82" t="str">
        <x:v>"Black44" on white circle on sides, Ferrari logo, white "C" both sides, Italy flag, Shell logo on sides, Dino Gray &amp; yellow back &amp; front, White &amp; Blue Stripes on top of car, detailed headlights &amp; bumpers.</x:v>
      </x:c>
      <x:c r="L202" s="82" t="str">
        <x:v>Gray &amp; Red CM6</x:v>
      </x:c>
      <x:c r="M202" s="82" t="str">
        <x:v>Black / / / Plastic</x:v>
      </x:c>
      <x:c r="N202" s="82" t="str">
        <x:v>Clear</x:v>
      </x:c>
      <x:c r="O202" s="82" t="str">
        <x:v>Black</x:v>
      </x:c>
      <x:c r="P202" s="82" t="str">
        <x:v>Malaysia</x:v>
      </x:c>
      <x:c r="Q202" s="82" t="str"/>
      <x:c r="R202" s="82" t="str">
        <x:v>Outra linha</x:v>
      </x:c>
      <x:c r="S202" s="82" t="str">
        <x:v>Incomum</x:v>
      </x:c>
      <x:c r="T202" s="82" t="str">
        <x:v>Lançado</x:v>
      </x:c>
      <x:c r="U202" s="82" t="str">
        <x:v>Base code(s):</x:v>
      </x:c>
      <x:c r="V202" s="80" t="str">
        <x:v>Coleção principal (~1:64)</x:v>
      </x:c>
      <x:c r="W202" s="82" t="str">
        <x:v>https://hotwheels.fandom.com/wiki/Ferrari_Dino_246_GTS</x:v>
      </x:c>
      <x:c r="X202" s="82" t="str">
        <x:v>https://hotwheels.fandom.com/wiki/Ferrari_Dino_246_GTS</x:v>
      </x:c>
    </x:row>
    <x:row r="203">
      <x:c r="A203" s="80" t="str">
        <x:v>Não</x:v>
      </x:c>
      <x:c r="B203" s="80" t="str">
        <x:v>2 — Completar aos poucos</x:v>
      </x:c>
      <x:c r="C203" s="81" t="n">
        <x:v>2009</x:v>
      </x:c>
      <x:c r="D203" s="80" t="str">
        <x:v>Ferrari F355 Challenge</x:v>
      </x:c>
      <x:c r="E203" s="80" t="str">
        <x:v>Ferrari F355 Challenge</x:v>
      </x:c>
      <x:c r="F203" s="82" t="str">
        <x:v>Ferrari Racer / 3/24</x:v>
      </x:c>
      <x:c r="G203" s="80" t="str"/>
      <x:c r="H203" s="80" t="str"/>
      <x:c r="I203" s="83" t="str">
        <x:v>N8093</x:v>
      </x:c>
      <x:c r="J203" s="80" t="str">
        <x:v>Black</x:v>
      </x:c>
      <x:c r="K203" s="82" t="str">
        <x:v>White / Orange Lines, "35" number in sides &amp; hood, Ferrari logo on rear wing</x:v>
      </x:c>
      <x:c r="L203" s="82" t="str">
        <x:v>Orange CM6</x:v>
      </x:c>
      <x:c r="M203" s="82" t="str">
        <x:v>Black / Metal</x:v>
      </x:c>
      <x:c r="N203" s="82" t="str">
        <x:v>dark tint</x:v>
      </x:c>
      <x:c r="O203" s="82" t="str">
        <x:v>Black</x:v>
      </x:c>
      <x:c r="P203" s="82" t="str">
        <x:v>Malaysia</x:v>
      </x:c>
      <x:c r="Q203" s="82" t="str"/>
      <x:c r="R203" s="82" t="str">
        <x:v>Outra linha</x:v>
      </x:c>
      <x:c r="S203" s="82" t="str">
        <x:v>Incomum</x:v>
      </x:c>
      <x:c r="T203" s="82" t="str">
        <x:v>Lançado</x:v>
      </x:c>
      <x:c r="U203" s="82" t="str"/>
      <x:c r="V203" s="80" t="str">
        <x:v>Coleção principal (~1:64)</x:v>
      </x:c>
      <x:c r="W203" s="82" t="str">
        <x:v>https://hotwheels.fandom.com/wiki/Ferrari_F355_Challenge</x:v>
      </x:c>
      <x:c r="X203" s="82" t="str">
        <x:v>https://hotwheels.fandom.com/wiki/Ferrari_F355_Challenge</x:v>
      </x:c>
    </x:row>
    <x:row r="204">
      <x:c r="A204" s="80" t="str">
        <x:v>Não</x:v>
      </x:c>
      <x:c r="B204" s="80" t="str">
        <x:v>2 — Completar aos poucos</x:v>
      </x:c>
      <x:c r="C204" s="81" t="n">
        <x:v>2009</x:v>
      </x:c>
      <x:c r="D204" s="80" t="str">
        <x:v>Ferrari F355 Spider</x:v>
      </x:c>
      <x:c r="E204" s="80" t="str">
        <x:v>Ferrari F355 Spider</x:v>
      </x:c>
      <x:c r="F204" s="82" t="str">
        <x:v>Ferrari 5-Pack</x:v>
      </x:c>
      <x:c r="G204" s="80" t="str"/>
      <x:c r="H204" s="80" t="str"/>
      <x:c r="I204" s="83" t="str">
        <x:v>L4269</x:v>
      </x:c>
      <x:c r="J204" s="80" t="str">
        <x:v>Black</x:v>
      </x:c>
      <x:c r="K204" s="82" t="str">
        <x:v>Ferrari logos on hood and on front fenders.</x:v>
      </x:c>
      <x:c r="L204" s="82" t="str">
        <x:v>5SP</x:v>
      </x:c>
      <x:c r="M204" s="82" t="str">
        <x:v>Black / / / Plastic</x:v>
      </x:c>
      <x:c r="N204" s="82" t="str">
        <x:v>Clear</x:v>
      </x:c>
      <x:c r="O204" s="82" t="str">
        <x:v>Beige</x:v>
      </x:c>
      <x:c r="P204" s="82" t="str">
        <x:v>Thailand</x:v>
      </x:c>
      <x:c r="Q204" s="82" t="str"/>
      <x:c r="R204" s="82" t="str">
        <x:v>Temática / multipack</x:v>
      </x:c>
      <x:c r="S204" s="82" t="str">
        <x:v>Incomum</x:v>
      </x:c>
      <x:c r="T204" s="82" t="str">
        <x:v>Lançado</x:v>
      </x:c>
      <x:c r="U204" s="82" t="str">
        <x:v>Base Code(s): A47, A48, A51, A52, B05</x:v>
      </x:c>
      <x:c r="V204" s="80" t="str">
        <x:v>Coleção principal (~1:64)</x:v>
      </x:c>
      <x:c r="W204" s="82" t="str">
        <x:v>https://hotwheels.fandom.com/wiki/Ferrari_F355_Spider</x:v>
      </x:c>
      <x:c r="X204" s="82" t="str">
        <x:v>https://hotwheels.fandom.com/wiki/Ferrari_F355_Spider</x:v>
      </x:c>
    </x:row>
    <x:row r="205">
      <x:c r="A205" s="80" t="str">
        <x:v>Não</x:v>
      </x:c>
      <x:c r="B205" s="80" t="str">
        <x:v>2 — Completar aos poucos</x:v>
      </x:c>
      <x:c r="C205" s="81" t="n">
        <x:v>2009</x:v>
      </x:c>
      <x:c r="D205" s="80" t="str">
        <x:v>Ferrari F40</x:v>
      </x:c>
      <x:c r="E205" s="80" t="str">
        <x:v>Ferrari F40</x:v>
      </x:c>
      <x:c r="F205" s="82" t="str">
        <x:v>Ferrari Racer / 18/24</x:v>
      </x:c>
      <x:c r="G205" s="80" t="str"/>
      <x:c r="H205" s="80" t="str"/>
      <x:c r="I205" s="83" t="str">
        <x:v>N8096</x:v>
      </x:c>
      <x:c r="J205" s="80" t="str">
        <x:v>Metallic Blue</x:v>
      </x:c>
      <x:c r="K205" s="82" t="str">
        <x:v>White Racing Deco "03" with Green White &amp; Red Italian flag</x:v>
      </x:c>
      <x:c r="L205" s="82" t="str">
        <x:v>Red Rim, White CM6</x:v>
      </x:c>
      <x:c r="M205" s="82" t="str">
        <x:v>ZAMAC</x:v>
      </x:c>
      <x:c r="N205" s="82" t="str">
        <x:v>Smoke tint</x:v>
      </x:c>
      <x:c r="O205" s="82" t="str">
        <x:v>Black</x:v>
      </x:c>
      <x:c r="P205" s="82" t="str">
        <x:v>Malaysia</x:v>
      </x:c>
      <x:c r="Q205" s="82" t="str"/>
      <x:c r="R205" s="82" t="str">
        <x:v>Outra linha</x:v>
      </x:c>
      <x:c r="S205" s="82" t="str">
        <x:v>Incomum</x:v>
      </x:c>
      <x:c r="T205" s="82" t="str">
        <x:v>Lançado</x:v>
      </x:c>
      <x:c r="U205" s="82" t="str">
        <x:v>Base code(s):</x:v>
      </x:c>
      <x:c r="V205" s="80" t="str">
        <x:v>Coleção principal (~1:64)</x:v>
      </x:c>
      <x:c r="W205" s="82" t="str">
        <x:v>https://hotwheels.fandom.com/wiki/Ferrari_F40</x:v>
      </x:c>
      <x:c r="X205" s="82" t="str">
        <x:v>https://hotwheels.fandom.com/wiki/Ferrari_F40</x:v>
      </x:c>
    </x:row>
    <x:row r="206">
      <x:c r="A206" s="80" t="str">
        <x:v>Não</x:v>
      </x:c>
      <x:c r="B206" s="80" t="str">
        <x:v>2 — Completar aos poucos</x:v>
      </x:c>
      <x:c r="C206" s="81" t="n">
        <x:v>2009</x:v>
      </x:c>
      <x:c r="D206" s="80" t="str">
        <x:v>Ferrari F430 Challenge</x:v>
      </x:c>
      <x:c r="E206" s="80" t="str">
        <x:v>Ferrari F430 Challenge</x:v>
      </x:c>
      <x:c r="F206" s="82" t="str">
        <x:v>Mystery Car / 2/24</x:v>
      </x:c>
      <x:c r="G206" s="80" t="str"/>
      <x:c r="H206" s="80" t="str">
        <x:v>168/190</x:v>
      </x:c>
      <x:c r="I206" s="83" t="str">
        <x:v>P2488</x:v>
      </x:c>
      <x:c r="J206" s="80" t="str">
        <x:v>Red</x:v>
      </x:c>
      <x:c r="K206" s="82" t="str">
        <x:v>Black, White &amp; Green tampos, '430' on sides &amp; hood</x:v>
      </x:c>
      <x:c r="L206" s="82" t="str">
        <x:v>White Y5</x:v>
      </x:c>
      <x:c r="M206" s="82" t="str">
        <x:v>Black / / / Plastic</x:v>
      </x:c>
      <x:c r="N206" s="82" t="str">
        <x:v>Blue Tinted</x:v>
      </x:c>
      <x:c r="O206" s="82" t="str">
        <x:v>Gray</x:v>
      </x:c>
      <x:c r="P206" s="82" t="str">
        <x:v>Malaysia</x:v>
      </x:c>
      <x:c r="Q206" s="82" t="str"/>
      <x:c r="R206" s="82" t="str">
        <x:v>Mainline</x:v>
      </x:c>
      <x:c r="S206" s="82" t="str">
        <x:v>Incomum</x:v>
      </x:c>
      <x:c r="T206" s="82" t="str">
        <x:v>Lançado</x:v>
      </x:c>
      <x:c r="U206" s="82" t="str"/>
      <x:c r="V206" s="80" t="str">
        <x:v>Coleção principal (~1:64)</x:v>
      </x:c>
      <x:c r="W206" s="82" t="str">
        <x:v>https://hotwheels.fandom.com/wiki/Ferrari_F430_Challenge</x:v>
      </x:c>
      <x:c r="X206" s="82" t="str">
        <x:v>https://hotwheels.fandom.com/wiki/Ferrari_F430_Challenge</x:v>
      </x:c>
    </x:row>
    <x:row r="207">
      <x:c r="A207" s="80" t="str">
        <x:v>Não</x:v>
      </x:c>
      <x:c r="B207" s="80" t="str">
        <x:v>2 — Completar aos poucos</x:v>
      </x:c>
      <x:c r="C207" s="81" t="n">
        <x:v>2009</x:v>
      </x:c>
      <x:c r="D207" s="80" t="str">
        <x:v>Ferrari F430 Spider</x:v>
      </x:c>
      <x:c r="E207" s="80" t="str">
        <x:v>Ferrari F430 Spider</x:v>
      </x:c>
      <x:c r="F207" s="82" t="str">
        <x:v>Dream Garage / 7/10</x:v>
      </x:c>
      <x:c r="G207" s="80" t="str"/>
      <x:c r="H207" s="80" t="str">
        <x:v>153/190</x:v>
      </x:c>
      <x:c r="I207" s="83" t="str">
        <x:v>P2473</x:v>
      </x:c>
      <x:c r="J207" s="80" t="str">
        <x:v>White</x:v>
      </x:c>
      <x:c r="K207" s="82" t="str">
        <x:v>Ferrari Logo on Hood, Black reverse tampo created 2 main racing stripes</x:v>
      </x:c>
      <x:c r="L207" s="82" t="str">
        <x:v>Chrome rim, Black OH5</x:v>
      </x:c>
      <x:c r="M207" s="82" t="str">
        <x:v>Black / / / Plastic</x:v>
      </x:c>
      <x:c r="N207" s="82" t="str">
        <x:v>Clear</x:v>
      </x:c>
      <x:c r="O207" s="82" t="str">
        <x:v>Black</x:v>
      </x:c>
      <x:c r="P207" s="82" t="str">
        <x:v>Malaysia</x:v>
      </x:c>
      <x:c r="Q207" s="82" t="str">
        <x:v>Target / Red Edition</x:v>
      </x:c>
      <x:c r="R207" s="82" t="str">
        <x:v>Mainline</x:v>
      </x:c>
      <x:c r="S207" s="82" t="str">
        <x:v>Rara</x:v>
      </x:c>
      <x:c r="T207" s="82" t="str">
        <x:v>Lançado</x:v>
      </x:c>
      <x:c r="U207" s="82" t="str">
        <x:v>Also released on Target exclusive snowflake card / Base Code(s): A38, B02</x:v>
      </x:c>
      <x:c r="V207" s="80" t="str">
        <x:v>Coleção principal (~1:64)</x:v>
      </x:c>
      <x:c r="W207" s="82" t="str">
        <x:v>https://hotwheels.fandom.com/wiki/Ferrari_F430_Spider</x:v>
      </x:c>
      <x:c r="X207" s="82" t="str">
        <x:v>https://hotwheels.fandom.com/wiki/Ferrari_F430_Spider</x:v>
      </x:c>
    </x:row>
    <x:row r="208">
      <x:c r="A208" s="80" t="str">
        <x:v>Não</x:v>
      </x:c>
      <x:c r="B208" s="80" t="str">
        <x:v>2 — Completar aos poucos</x:v>
      </x:c>
      <x:c r="C208" s="81" t="n">
        <x:v>2009</x:v>
      </x:c>
      <x:c r="D208" s="80" t="str">
        <x:v>Ferrari F430 Spider</x:v>
      </x:c>
      <x:c r="E208" s="80" t="str">
        <x:v>Ferrari F430 Spider</x:v>
      </x:c>
      <x:c r="F208" s="82" t="str">
        <x:v>Dream Garage / 7/10</x:v>
      </x:c>
      <x:c r="G208" s="80" t="str"/>
      <x:c r="H208" s="80" t="str">
        <x:v>153/190</x:v>
      </x:c>
      <x:c r="I208" s="83" t="str">
        <x:v>P2473</x:v>
      </x:c>
      <x:c r="J208" s="80" t="str">
        <x:v>Yellow</x:v>
      </x:c>
      <x:c r="K208" s="82" t="str">
        <x:v>Black stripes on top, Ferrari emblem on front</x:v>
      </x:c>
      <x:c r="L208" s="82" t="str">
        <x:v>Yellow Rim, Black OH5</x:v>
      </x:c>
      <x:c r="M208" s="82" t="str">
        <x:v>Black</x:v>
      </x:c>
      <x:c r="N208" s="82" t="str">
        <x:v>Clear</x:v>
      </x:c>
      <x:c r="O208" s="82" t="str">
        <x:v>Black</x:v>
      </x:c>
      <x:c r="P208" s="82" t="str">
        <x:v>Malaysia</x:v>
      </x:c>
      <x:c r="Q208" s="82" t="str"/>
      <x:c r="R208" s="82" t="str">
        <x:v>Mainline</x:v>
      </x:c>
      <x:c r="S208" s="82" t="str">
        <x:v>Incomum</x:v>
      </x:c>
      <x:c r="T208" s="82" t="str">
        <x:v>Lançado</x:v>
      </x:c>
      <x:c r="U208" s="82" t="str">
        <x:v>Base Code(s): B27, B30, B34, B36, B38</x:v>
      </x:c>
      <x:c r="V208" s="80" t="str">
        <x:v>Coleção principal (~1:64)</x:v>
      </x:c>
      <x:c r="W208" s="82" t="str">
        <x:v>https://hotwheels.fandom.com/wiki/Ferrari_F430_Spider</x:v>
      </x:c>
      <x:c r="X208" s="82" t="str">
        <x:v>https://hotwheels.fandom.com/wiki/Ferrari_F430_Spider</x:v>
      </x:c>
    </x:row>
    <x:row r="209">
      <x:c r="A209" s="80" t="str">
        <x:v>Não</x:v>
      </x:c>
      <x:c r="B209" s="80" t="str">
        <x:v>2 — Completar aos poucos</x:v>
      </x:c>
      <x:c r="C209" s="81" t="n">
        <x:v>2009</x:v>
      </x:c>
      <x:c r="D209" s="80" t="str">
        <x:v>Ferrari F430 Spider</x:v>
      </x:c>
      <x:c r="E209" s="80" t="str">
        <x:v>Ferrari F430 Spider</x:v>
      </x:c>
      <x:c r="F209" s="82" t="str">
        <x:v>Dream Garage / 7/10</x:v>
      </x:c>
      <x:c r="G209" s="80" t="str"/>
      <x:c r="H209" s="80" t="str">
        <x:v>153/190</x:v>
      </x:c>
      <x:c r="I209" s="83" t="str">
        <x:v>P2473</x:v>
      </x:c>
      <x:c r="J209" s="80" t="str">
        <x:v>Yellow</x:v>
      </x:c>
      <x:c r="K209" s="82" t="str">
        <x:v>Black stripes on top, Ferrari emblem on front</x:v>
      </x:c>
      <x:c r="L209" s="82" t="str">
        <x:v>Yellow Rim, Black OH5</x:v>
      </x:c>
      <x:c r="M209" s="82" t="str">
        <x:v>Black</x:v>
      </x:c>
      <x:c r="N209" s="82" t="str">
        <x:v>Tinted (Pink)</x:v>
      </x:c>
      <x:c r="O209" s="82" t="str">
        <x:v>Black</x:v>
      </x:c>
      <x:c r="P209" s="82" t="str">
        <x:v>Malaysia</x:v>
      </x:c>
      <x:c r="Q209" s="82" t="str"/>
      <x:c r="R209" s="82" t="str">
        <x:v>Mainline</x:v>
      </x:c>
      <x:c r="S209" s="82" t="str">
        <x:v>Incomum</x:v>
      </x:c>
      <x:c r="T209" s="82" t="str">
        <x:v>Lançado</x:v>
      </x:c>
      <x:c r="U209" s="82" t="str">
        <x:v>Base Code(s): B27, B30, B36, B38</x:v>
      </x:c>
      <x:c r="V209" s="80" t="str">
        <x:v>Coleção principal (~1:64)</x:v>
      </x:c>
      <x:c r="W209" s="82" t="str">
        <x:v>https://hotwheels.fandom.com/wiki/Ferrari_F430_Spider</x:v>
      </x:c>
      <x:c r="X209" s="82" t="str">
        <x:v>https://hotwheels.fandom.com/wiki/Ferrari_F430_Spider</x:v>
      </x:c>
    </x:row>
    <x:row r="210">
      <x:c r="A210" s="80" t="str">
        <x:v>Não</x:v>
      </x:c>
      <x:c r="B210" s="80" t="str">
        <x:v>2 — Completar aos poucos</x:v>
      </x:c>
      <x:c r="C210" s="81" t="n">
        <x:v>2009</x:v>
      </x:c>
      <x:c r="D210" s="80" t="str">
        <x:v>Ferrari F430 Spider</x:v>
      </x:c>
      <x:c r="E210" s="80" t="str">
        <x:v>Ferrari F430 Spider</x:v>
      </x:c>
      <x:c r="F210" s="82" t="str">
        <x:v>Ferrari Racer / 24/24</x:v>
      </x:c>
      <x:c r="G210" s="80" t="str"/>
      <x:c r="H210" s="80" t="str"/>
      <x:c r="I210" s="83" t="str">
        <x:v>N8104</x:v>
      </x:c>
      <x:c r="J210" s="80" t="str">
        <x:v>Metalflake Gray</x:v>
      </x:c>
      <x:c r="K210" s="82" t="str">
        <x:v>Black outlined Red stripes, Ferrari logo on front</x:v>
      </x:c>
      <x:c r="L210" s="82" t="str">
        <x:v>Red Rim, Black CM6</x:v>
      </x:c>
      <x:c r="M210" s="82" t="str">
        <x:v>Black / / / Plastic</x:v>
      </x:c>
      <x:c r="N210" s="82" t="str">
        <x:v>Clear</x:v>
      </x:c>
      <x:c r="O210" s="82" t="str">
        <x:v>Black</x:v>
      </x:c>
      <x:c r="P210" s="82" t="str">
        <x:v>Malaysia</x:v>
      </x:c>
      <x:c r="Q210" s="82" t="str"/>
      <x:c r="R210" s="82" t="str">
        <x:v>Outra linha</x:v>
      </x:c>
      <x:c r="S210" s="82" t="str">
        <x:v>Incomum</x:v>
      </x:c>
      <x:c r="T210" s="82" t="str">
        <x:v>Lançado</x:v>
      </x:c>
      <x:c r="U210" s="82" t="str">
        <x:v>Base Code(s):</x:v>
      </x:c>
      <x:c r="V210" s="80" t="str">
        <x:v>Coleção principal (~1:64)</x:v>
      </x:c>
      <x:c r="W210" s="82" t="str">
        <x:v>https://hotwheels.fandom.com/wiki/Ferrari_F430_Spider</x:v>
      </x:c>
      <x:c r="X210" s="82" t="str">
        <x:v>https://hotwheels.fandom.com/wiki/Ferrari_F430_Spider</x:v>
      </x:c>
    </x:row>
    <x:row r="211">
      <x:c r="A211" s="80" t="str">
        <x:v>Não</x:v>
      </x:c>
      <x:c r="B211" s="80" t="str">
        <x:v>2 — Completar aos poucos</x:v>
      </x:c>
      <x:c r="C211" s="81" t="n">
        <x:v>2009</x:v>
      </x:c>
      <x:c r="D211" s="80" t="str">
        <x:v>Ferrari F50 Challenge</x:v>
      </x:c>
      <x:c r="E211" s="80" t="str">
        <x:v>Ferrari F50 Challenge</x:v>
      </x:c>
      <x:c r="F211" s="82" t="str">
        <x:v>Ferrari 5-Pack</x:v>
      </x:c>
      <x:c r="G211" s="80" t="str"/>
      <x:c r="H211" s="80" t="str"/>
      <x:c r="I211" s="83" t="str">
        <x:v>L4269</x:v>
      </x:c>
      <x:c r="J211" s="80" t="str">
        <x:v>Red</x:v>
      </x:c>
      <x:c r="K211" s="82" t="str">
        <x:v>"White '04' &amp; yellow stripes on sides</x:v>
      </x:c>
      <x:c r="L211" s="82" t="str">
        <x:v>Gold OH5</x:v>
      </x:c>
      <x:c r="M211" s="82" t="str">
        <x:v>Black / / / Plastic</x:v>
      </x:c>
      <x:c r="N211" s="82" t="str">
        <x:v>Tinted</x:v>
      </x:c>
      <x:c r="O211" s="82" t="str">
        <x:v>Black</x:v>
      </x:c>
      <x:c r="P211" s="82" t="str">
        <x:v>Thailand</x:v>
      </x:c>
      <x:c r="Q211" s="82" t="str"/>
      <x:c r="R211" s="82" t="str">
        <x:v>Temática / multipack</x:v>
      </x:c>
      <x:c r="S211" s="82" t="str">
        <x:v>Incomum</x:v>
      </x:c>
      <x:c r="T211" s="82" t="str">
        <x:v>Lançado</x:v>
      </x:c>
      <x:c r="U211" s="82" t="str"/>
      <x:c r="V211" s="80" t="str">
        <x:v>Coleção principal (~1:64)</x:v>
      </x:c>
      <x:c r="W211" s="82" t="str">
        <x:v>https://hotwheels.fandom.com/wiki/Ferrari_F50_Challenge</x:v>
      </x:c>
      <x:c r="X211" s="82" t="str">
        <x:v>https://hotwheels.fandom.com/wiki/Ferrari_F50_Challenge</x:v>
      </x:c>
    </x:row>
    <x:row r="212">
      <x:c r="A212" s="80" t="str">
        <x:v>Não</x:v>
      </x:c>
      <x:c r="B212" s="80" t="str">
        <x:v>2 — Completar aos poucos</x:v>
      </x:c>
      <x:c r="C212" s="81" t="n">
        <x:v>2009</x:v>
      </x:c>
      <x:c r="D212" s="80" t="str">
        <x:v>Ferrari F512M</x:v>
      </x:c>
      <x:c r="E212" s="80" t="str">
        <x:v>Ferrari F512M</x:v>
      </x:c>
      <x:c r="F212" s="82" t="str">
        <x:v>Ferrari 5-Pack</x:v>
      </x:c>
      <x:c r="G212" s="80" t="str"/>
      <x:c r="H212" s="80" t="str"/>
      <x:c r="I212" s="83" t="str">
        <x:v>L4269</x:v>
      </x:c>
      <x:c r="J212" s="80" t="str">
        <x:v>Red</x:v>
      </x:c>
      <x:c r="K212" s="82" t="str">
        <x:v>Yellow '02' with white stripe on sides and Ferrari Logo Front and "Ferrai" Rear</x:v>
      </x:c>
      <x:c r="L212" s="82" t="str">
        <x:v>Black PR5 with yellow lines</x:v>
      </x:c>
      <x:c r="M212" s="82" t="str">
        <x:v>Black / / / Metal</x:v>
      </x:c>
      <x:c r="N212" s="82" t="str">
        <x:v>Tinted</x:v>
      </x:c>
      <x:c r="O212" s="82" t="str">
        <x:v>Black</x:v>
      </x:c>
      <x:c r="P212" s="82" t="str">
        <x:v>Thailand</x:v>
      </x:c>
      <x:c r="Q212" s="82" t="str"/>
      <x:c r="R212" s="82" t="str">
        <x:v>Temática / multipack</x:v>
      </x:c>
      <x:c r="S212" s="82" t="str">
        <x:v>Incomum</x:v>
      </x:c>
      <x:c r="T212" s="82" t="str">
        <x:v>Lançado</x:v>
      </x:c>
      <x:c r="U212" s="82" t="str"/>
      <x:c r="V212" s="80" t="str">
        <x:v>Coleção principal (~1:64)</x:v>
      </x:c>
      <x:c r="W212" s="82" t="str">
        <x:v>https://hotwheels.fandom.com/wiki/Ferrari_F512M</x:v>
      </x:c>
      <x:c r="X212" s="82" t="str">
        <x:v>https://hotwheels.fandom.com/wiki/Ferrari_F512M</x:v>
      </x:c>
    </x:row>
    <x:row r="213">
      <x:c r="A213" s="80" t="str">
        <x:v>Não</x:v>
      </x:c>
      <x:c r="B213" s="80" t="str">
        <x:v>2 — Completar aos poucos</x:v>
      </x:c>
      <x:c r="C213" s="81" t="n">
        <x:v>2009</x:v>
      </x:c>
      <x:c r="D213" s="80" t="str">
        <x:v>Ferrari F512M</x:v>
      </x:c>
      <x:c r="E213" s="80" t="str">
        <x:v>Ferrari F512M</x:v>
      </x:c>
      <x:c r="F213" s="82" t="str">
        <x:v>Nuremberg Toy Fair</x:v>
      </x:c>
      <x:c r="G213" s="80" t="str"/>
      <x:c r="H213" s="80" t="str"/>
      <x:c r="I213" s="83" t="str">
        <x:v>R4166</x:v>
      </x:c>
      <x:c r="J213" s="80" t="str">
        <x:v>Metalflake Pearl White</x:v>
      </x:c>
      <x:c r="K213" s="82" t="str">
        <x:v>Yellow Ferrari shield logo on sides, rectangular emblem on hood</x:v>
      </x:c>
      <x:c r="L213" s="82" t="str">
        <x:v>Gray and Chrome CM6</x:v>
      </x:c>
      <x:c r="M213" s="82" t="str">
        <x:v>ZAMAC</x:v>
      </x:c>
      <x:c r="N213" s="82" t="str">
        <x:v>Smoke Tinted</x:v>
      </x:c>
      <x:c r="O213" s="82" t="str">
        <x:v>Tan</x:v>
      </x:c>
      <x:c r="P213" s="82" t="str">
        <x:v>China</x:v>
      </x:c>
      <x:c r="Q213" s="82" t="str"/>
      <x:c r="R213" s="82" t="str">
        <x:v>Outra linha</x:v>
      </x:c>
      <x:c r="S213" s="82" t="str">
        <x:v>Incomum</x:v>
      </x:c>
      <x:c r="T213" s="82" t="str">
        <x:v>Lançado</x:v>
      </x:c>
      <x:c r="U213" s="82" t="str">
        <x:v>1,500 produced</x:v>
      </x:c>
      <x:c r="V213" s="80" t="str">
        <x:v>Coleção principal (~1:64)</x:v>
      </x:c>
      <x:c r="W213" s="82" t="str">
        <x:v>https://hotwheels.fandom.com/wiki/Ferrari_F512M</x:v>
      </x:c>
      <x:c r="X213" s="82" t="str">
        <x:v>https://hotwheels.fandom.com/wiki/Ferrari_F512M</x:v>
      </x:c>
    </x:row>
    <x:row r="214">
      <x:c r="A214" s="80" t="str">
        <x:v>Não</x:v>
      </x:c>
      <x:c r="B214" s="80" t="str">
        <x:v>2 — Completar aos poucos</x:v>
      </x:c>
      <x:c r="C214" s="81" t="n">
        <x:v>2009</x:v>
      </x:c>
      <x:c r="D214" s="80" t="str">
        <x:v>Ferrari FXX</x:v>
      </x:c>
      <x:c r="E214" s="80" t="str">
        <x:v>Ferrari FXX</x:v>
      </x:c>
      <x:c r="F214" s="82" t="str">
        <x:v>Ferrari Racer / 14/24</x:v>
      </x:c>
      <x:c r="G214" s="80" t="str"/>
      <x:c r="H214" s="80" t="str"/>
      <x:c r="I214" s="83" t="str">
        <x:v>N8101</x:v>
      </x:c>
      <x:c r="J214" s="80" t="str">
        <x:v>Metalflake Black</x:v>
      </x:c>
      <x:c r="K214" s="82" t="str">
        <x:v>Ferrari emblem on hood, rear, and sides, "01" on sides and hood, silver hood pins</x:v>
      </x:c>
      <x:c r="L214" s="82" t="str">
        <x:v>Black CM6</x:v>
      </x:c>
      <x:c r="M214" s="82" t="str">
        <x:v>Black</x:v>
      </x:c>
      <x:c r="N214" s="82" t="str">
        <x:v>Clear</x:v>
      </x:c>
      <x:c r="O214" s="82" t="str">
        <x:v>Red</x:v>
      </x:c>
      <x:c r="P214" s="82" t="str">
        <x:v>Malaysia</x:v>
      </x:c>
      <x:c r="Q214" s="82" t="str"/>
      <x:c r="R214" s="82" t="str">
        <x:v>Outra linha</x:v>
      </x:c>
      <x:c r="S214" s="82" t="str">
        <x:v>Incomum</x:v>
      </x:c>
      <x:c r="T214" s="82" t="str">
        <x:v>Lançado</x:v>
      </x:c>
      <x:c r="U214" s="82" t="str">
        <x:v>Base code(s): B24</x:v>
      </x:c>
      <x:c r="V214" s="80" t="str">
        <x:v>Coleção principal (~1:64)</x:v>
      </x:c>
      <x:c r="W214" s="82" t="str">
        <x:v>https://hotwheels.fandom.com/wiki/Ferrari_FXX</x:v>
      </x:c>
      <x:c r="X214" s="82" t="str">
        <x:v>https://hotwheels.fandom.com/wiki/Ferrari_FXX</x:v>
      </x:c>
    </x:row>
    <x:row r="215">
      <x:c r="A215" s="80" t="str">
        <x:v>Não</x:v>
      </x:c>
      <x:c r="B215" s="80" t="str">
        <x:v>2 — Completar aos poucos</x:v>
      </x:c>
      <x:c r="C215" s="81" t="n">
        <x:v>2009</x:v>
      </x:c>
      <x:c r="D215" s="80" t="str">
        <x:v>Ferrari FXX</x:v>
      </x:c>
      <x:c r="E215" s="80" t="str">
        <x:v>Ferrari FXX</x:v>
      </x:c>
      <x:c r="F215" s="82" t="str">
        <x:v>Ferrari Racer / 6/24</x:v>
      </x:c>
      <x:c r="G215" s="80" t="str"/>
      <x:c r="H215" s="80" t="str"/>
      <x:c r="I215" s="83" t="str">
        <x:v>N8092</x:v>
      </x:c>
      <x:c r="J215" s="80" t="str">
        <x:v>Red/White</x:v>
      </x:c>
      <x:c r="K215" s="82" t="str">
        <x:v>Ferrari logo on hood, white stripe across top, "FXX" on rear spoiler, "5" on sides.</x:v>
      </x:c>
      <x:c r="L215" s="82" t="str">
        <x:v>Red Rim PR5</x:v>
      </x:c>
      <x:c r="M215" s="82" t="str">
        <x:v>Black</x:v>
      </x:c>
      <x:c r="N215" s="82" t="str">
        <x:v>Clear</x:v>
      </x:c>
      <x:c r="O215" s="82" t="str">
        <x:v>Black</x:v>
      </x:c>
      <x:c r="P215" s="82" t="str">
        <x:v>Malaysia</x:v>
      </x:c>
      <x:c r="Q215" s="82" t="str"/>
      <x:c r="R215" s="82" t="str">
        <x:v>Outra linha</x:v>
      </x:c>
      <x:c r="S215" s="82" t="str">
        <x:v>Incomum</x:v>
      </x:c>
      <x:c r="T215" s="82" t="str">
        <x:v>Lançado</x:v>
      </x:c>
      <x:c r="U215" s="82" t="str">
        <x:v>Base code(s):</x:v>
      </x:c>
      <x:c r="V215" s="80" t="str">
        <x:v>Coleção principal (~1:64)</x:v>
      </x:c>
      <x:c r="W215" s="82" t="str">
        <x:v>https://hotwheels.fandom.com/wiki/Ferrari_FXX</x:v>
      </x:c>
      <x:c r="X215" s="82" t="str">
        <x:v>https://hotwheels.fandom.com/wiki/Ferrari_FXX</x:v>
      </x:c>
    </x:row>
    <x:row r="216">
      <x:c r="A216" s="80" t="str">
        <x:v>Não</x:v>
      </x:c>
      <x:c r="B216" s="80" t="str">
        <x:v>2 — Completar aos poucos</x:v>
      </x:c>
      <x:c r="C216" s="81" t="n">
        <x:v>2008</x:v>
      </x:c>
      <x:c r="D216" s="80" t="str">
        <x:v>Enzo Ferrari ('Tooned)</x:v>
      </x:c>
      <x:c r="E216" s="80" t="str">
        <x:v>Enzo Ferrari</x:v>
      </x:c>
      <x:c r="F216" s="82" t="str">
        <x:v>All Stars / 26/36</x:v>
      </x:c>
      <x:c r="G216" s="80" t="str"/>
      <x:c r="H216" s="80" t="str">
        <x:v>066/196</x:v>
      </x:c>
      <x:c r="I216" s="83" t="str">
        <x:v>M6932</x:v>
      </x:c>
      <x:c r="J216" s="80" t="str">
        <x:v>Matte Black</x:v>
      </x:c>
      <x:c r="K216" s="82" t="str">
        <x:v>Gold pinstrips across top &amp; sides, Gold headlights</x:v>
      </x:c>
      <x:c r="L216" s="82" t="str">
        <x:v>Gold PR5</x:v>
      </x:c>
      <x:c r="M216" s="82" t="str">
        <x:v>Black / / / Plastic</x:v>
      </x:c>
      <x:c r="N216" s="82" t="str">
        <x:v>Clear</x:v>
      </x:c>
      <x:c r="O216" s="82" t="str">
        <x:v>Gold</x:v>
      </x:c>
      <x:c r="P216" s="82" t="str">
        <x:v>Malaysia</x:v>
      </x:c>
      <x:c r="Q216" s="82" t="str"/>
      <x:c r="R216" s="82" t="str">
        <x:v>Mainline</x:v>
      </x:c>
      <x:c r="S216" s="82" t="str">
        <x:v>Incomum</x:v>
      </x:c>
      <x:c r="T216" s="82" t="str">
        <x:v>Lançado</x:v>
      </x:c>
      <x:c r="U216" s="82" t="str">
        <x:v>Base code(s): NBD</x:v>
      </x:c>
      <x:c r="V216" s="80" t="str">
        <x:v>Coleção principal (~1:64)</x:v>
      </x:c>
      <x:c r="W216" s="82" t="str">
        <x:v>https://hotwheels.fandom.com/wiki/Enzo_Ferrari_(%27Tooned)</x:v>
      </x:c>
      <x:c r="X216" s="82" t="str">
        <x:v>https://hotwheels.fandom.com/wiki/Enzo_Ferrari_(%27Tooned)</x:v>
      </x:c>
    </x:row>
    <x:row r="217">
      <x:c r="A217" s="80" t="str">
        <x:v>Não</x:v>
      </x:c>
      <x:c r="B217" s="80" t="str">
        <x:v>2 — Completar aos poucos</x:v>
      </x:c>
      <x:c r="C217" s="81" t="n">
        <x:v>2008</x:v>
      </x:c>
      <x:c r="D217" s="80" t="str">
        <x:v>Enzo Ferrari ('Tooned)</x:v>
      </x:c>
      <x:c r="E217" s="80" t="str">
        <x:v>Enzo Ferrari</x:v>
      </x:c>
      <x:c r="F217" s="82" t="str">
        <x:v>All Stars / 26/36</x:v>
      </x:c>
      <x:c r="G217" s="80" t="str"/>
      <x:c r="H217" s="80" t="str">
        <x:v>066/196</x:v>
      </x:c>
      <x:c r="I217" s="83" t="str">
        <x:v>M6932</x:v>
      </x:c>
      <x:c r="J217" s="80" t="str">
        <x:v>Red</x:v>
      </x:c>
      <x:c r="K217" s="82" t="str">
        <x:v>Silver pinstrips across top &amp; sides, Silver headlights</x:v>
      </x:c>
      <x:c r="L217" s="82" t="str">
        <x:v>PR5</x:v>
      </x:c>
      <x:c r="M217" s="82" t="str">
        <x:v>Black / / / Plastic</x:v>
      </x:c>
      <x:c r="N217" s="82" t="str">
        <x:v>Clear</x:v>
      </x:c>
      <x:c r="O217" s="82" t="str">
        <x:v>Chrome</x:v>
      </x:c>
      <x:c r="P217" s="82" t="str">
        <x:v>Malaysia</x:v>
      </x:c>
      <x:c r="Q217" s="82" t="str"/>
      <x:c r="R217" s="82" t="str">
        <x:v>Mainline</x:v>
      </x:c>
      <x:c r="S217" s="82" t="str">
        <x:v>Incomum</x:v>
      </x:c>
      <x:c r="T217" s="82" t="str">
        <x:v>Lançado</x:v>
      </x:c>
      <x:c r="U217" s="82" t="str">
        <x:v>Base code(s):</x:v>
      </x:c>
      <x:c r="V217" s="80" t="str">
        <x:v>Coleção principal (~1:64)</x:v>
      </x:c>
      <x:c r="W217" s="82" t="str">
        <x:v>https://hotwheels.fandom.com/wiki/Enzo_Ferrari_(%27Tooned)</x:v>
      </x:c>
      <x:c r="X217" s="82" t="str">
        <x:v>https://hotwheels.fandom.com/wiki/Enzo_Ferrari_(%27Tooned)</x:v>
      </x:c>
    </x:row>
    <x:row r="218">
      <x:c r="A218" s="80" t="str">
        <x:v>Não</x:v>
      </x:c>
      <x:c r="B218" s="80" t="str">
        <x:v>2 — Completar aos poucos</x:v>
      </x:c>
      <x:c r="C218" s="81" t="n">
        <x:v>2008</x:v>
      </x:c>
      <x:c r="D218" s="80" t="str">
        <x:v>Ferrari 250</x:v>
      </x:c>
      <x:c r="E218" s="80" t="str">
        <x:v>Ferrari 250</x:v>
      </x:c>
      <x:c r="F218" s="82" t="str">
        <x:v>Ferrari GT 5-Pack</x:v>
      </x:c>
      <x:c r="G218" s="80" t="str"/>
      <x:c r="H218" s="80" t="str"/>
      <x:c r="I218" s="83" t="str">
        <x:v>N0490</x:v>
      </x:c>
      <x:c r="J218" s="80" t="str">
        <x:v>Red</x:v>
      </x:c>
      <x:c r="K218" s="82" t="str">
        <x:v>Ferrari emblem on sides</x:v>
      </x:c>
      <x:c r="L218" s="82" t="str">
        <x:v>WSP</x:v>
      </x:c>
      <x:c r="M218" s="82" t="str">
        <x:v>Black / / / Plastic</x:v>
      </x:c>
      <x:c r="N218" s="82" t="str">
        <x:v>Clear</x:v>
      </x:c>
      <x:c r="O218" s="82" t="str">
        <x:v>Black</x:v>
      </x:c>
      <x:c r="P218" s="82" t="str">
        <x:v>Thailand</x:v>
      </x:c>
      <x:c r="Q218" s="82" t="str"/>
      <x:c r="R218" s="82" t="str">
        <x:v>Temática / multipack</x:v>
      </x:c>
      <x:c r="S218" s="82" t="str">
        <x:v>Incomum</x:v>
      </x:c>
      <x:c r="T218" s="82" t="str">
        <x:v>Lançado</x:v>
      </x:c>
      <x:c r="U218" s="82" t="str">
        <x:v>Base Code(s):</x:v>
      </x:c>
      <x:c r="V218" s="80" t="str">
        <x:v>Coleção principal (~1:64)</x:v>
      </x:c>
      <x:c r="W218" s="82" t="str">
        <x:v>https://hotwheels.fandom.com/wiki/Ferrari_250</x:v>
      </x:c>
      <x:c r="X218" s="82" t="str">
        <x:v>https://hotwheels.fandom.com/wiki/Ferrari_250</x:v>
      </x:c>
    </x:row>
    <x:row r="219">
      <x:c r="A219" s="80" t="str">
        <x:v>Não</x:v>
      </x:c>
      <x:c r="B219" s="80" t="str">
        <x:v>2 — Completar aos poucos</x:v>
      </x:c>
      <x:c r="C219" s="81" t="n">
        <x:v>2008</x:v>
      </x:c>
      <x:c r="D219" s="80" t="str">
        <x:v>Ferrari 250 LM</x:v>
      </x:c>
      <x:c r="E219" s="80" t="str">
        <x:v>Ferrari 250 LM</x:v>
      </x:c>
      <x:c r="F219" s="82" t="str">
        <x:v>Ferrari Racer / 15/24</x:v>
      </x:c>
      <x:c r="G219" s="80" t="str"/>
      <x:c r="H219" s="80" t="str"/>
      <x:c r="I219" s="83" t="str">
        <x:v>M9844</x:v>
      </x:c>
      <x:c r="J219" s="80" t="str">
        <x:v>Red</x:v>
      </x:c>
      <x:c r="K219" s="82" t="str">
        <x:v>White Gumball with Black "40" , Yellow Stripes, Ferrari logos</x:v>
      </x:c>
      <x:c r="L219" s="82" t="str">
        <x:v>Red Chrome, Grey CM6</x:v>
      </x:c>
      <x:c r="M219" s="82" t="str">
        <x:v>Chrome / / / Plastic</x:v>
      </x:c>
      <x:c r="N219" s="82" t="str">
        <x:v>Clear</x:v>
      </x:c>
      <x:c r="O219" s="82" t="str">
        <x:v>Black</x:v>
      </x:c>
      <x:c r="P219" s="82" t="str">
        <x:v>Malaysia</x:v>
      </x:c>
      <x:c r="Q219" s="82" t="str"/>
      <x:c r="R219" s="82" t="str">
        <x:v>Outra linha</x:v>
      </x:c>
      <x:c r="S219" s="82" t="str">
        <x:v>Incomum</x:v>
      </x:c>
      <x:c r="T219" s="82" t="str">
        <x:v>Lançado</x:v>
      </x:c>
      <x:c r="U219" s="82" t="str">
        <x:v>Base code(s):</x:v>
      </x:c>
      <x:c r="V219" s="80" t="str">
        <x:v>Coleção principal (~1:64)</x:v>
      </x:c>
      <x:c r="W219" s="82" t="str">
        <x:v>https://hotwheels.fandom.com/wiki/Ferrari_250_LM</x:v>
      </x:c>
      <x:c r="X219" s="82" t="str">
        <x:v>https://hotwheels.fandom.com/wiki/Ferrari_250_LM</x:v>
      </x:c>
    </x:row>
    <x:row r="220">
      <x:c r="A220" s="80" t="str">
        <x:v>Não</x:v>
      </x:c>
      <x:c r="B220" s="80" t="str">
        <x:v>2 — Completar aos poucos</x:v>
      </x:c>
      <x:c r="C220" s="81" t="n">
        <x:v>2008</x:v>
      </x:c>
      <x:c r="D220" s="80" t="str">
        <x:v>Ferrari 250 LM</x:v>
      </x:c>
      <x:c r="E220" s="80" t="str">
        <x:v>Ferrari 250 LM</x:v>
      </x:c>
      <x:c r="F220" s="82" t="str">
        <x:v>Ferrari Racer / 7/24</x:v>
      </x:c>
      <x:c r="G220" s="80" t="str"/>
      <x:c r="H220" s="80" t="str"/>
      <x:c r="I220" s="83" t="str">
        <x:v>M9836</x:v>
      </x:c>
      <x:c r="J220" s="80" t="str">
        <x:v>Metallic Dark Yellow</x:v>
      </x:c>
      <x:c r="K220" s="82" t="str">
        <x:v>White Gumball with Black "5" Black stripes, Ferrari Logos</x:v>
      </x:c>
      <x:c r="L220" s="82" t="str">
        <x:v>Yellow Chrome, Grey CM6</x:v>
      </x:c>
      <x:c r="M220" s="82" t="str">
        <x:v>Black / / / Plastic</x:v>
      </x:c>
      <x:c r="N220" s="82" t="str">
        <x:v>Clear</x:v>
      </x:c>
      <x:c r="O220" s="82" t="str">
        <x:v>Chrome</x:v>
      </x:c>
      <x:c r="P220" s="82" t="str">
        <x:v>Malaysia</x:v>
      </x:c>
      <x:c r="Q220" s="82" t="str"/>
      <x:c r="R220" s="82" t="str">
        <x:v>Outra linha</x:v>
      </x:c>
      <x:c r="S220" s="82" t="str">
        <x:v>Incomum</x:v>
      </x:c>
      <x:c r="T220" s="82" t="str">
        <x:v>Lançado</x:v>
      </x:c>
      <x:c r="U220" s="82" t="str">
        <x:v>Base code(s):</x:v>
      </x:c>
      <x:c r="V220" s="80" t="str">
        <x:v>Coleção principal (~1:64)</x:v>
      </x:c>
      <x:c r="W220" s="82" t="str">
        <x:v>https://hotwheels.fandom.com/wiki/Ferrari_250_LM</x:v>
      </x:c>
      <x:c r="X220" s="82" t="str">
        <x:v>https://hotwheels.fandom.com/wiki/Ferrari_250_LM</x:v>
      </x:c>
    </x:row>
    <x:row r="221">
      <x:c r="A221" s="80" t="str">
        <x:v>Não</x:v>
      </x:c>
      <x:c r="B221" s="80" t="str">
        <x:v>2 — Completar aos poucos</x:v>
      </x:c>
      <x:c r="C221" s="81" t="n">
        <x:v>2008</x:v>
      </x:c>
      <x:c r="D221" s="80" t="str">
        <x:v>Ferrari 288 GTO</x:v>
      </x:c>
      <x:c r="E221" s="80" t="str">
        <x:v>Ferrari 288 GTO</x:v>
      </x:c>
      <x:c r="F221" s="82" t="str">
        <x:v>2008 New Models / 38/40</x:v>
      </x:c>
      <x:c r="G221" s="80" t="str"/>
      <x:c r="H221" s="80" t="str">
        <x:v>038/196</x:v>
      </x:c>
      <x:c r="I221" s="83" t="str">
        <x:v>L9953</x:v>
      </x:c>
      <x:c r="J221" s="80" t="str">
        <x:v>Pearl Yellow</x:v>
      </x:c>
      <x:c r="K221" s="82" t="str">
        <x:v>Ferrari emblem on sides, rear, &amp; hood</x:v>
      </x:c>
      <x:c r="L221" s="82" t="str">
        <x:v>5SP</x:v>
      </x:c>
      <x:c r="M221" s="82" t="str">
        <x:v>Black / / / Plastic</x:v>
      </x:c>
      <x:c r="N221" s="82" t="str">
        <x:v>Tinted</x:v>
      </x:c>
      <x:c r="O221" s="82" t="str">
        <x:v>Black</x:v>
      </x:c>
      <x:c r="P221" s="82" t="str">
        <x:v>Malaysia</x:v>
      </x:c>
      <x:c r="Q221" s="82" t="str"/>
      <x:c r="R221" s="82" t="str">
        <x:v>Mainline</x:v>
      </x:c>
      <x:c r="S221" s="82" t="str">
        <x:v>Incomum</x:v>
      </x:c>
      <x:c r="T221" s="82" t="str">
        <x:v>Lançado</x:v>
      </x:c>
      <x:c r="U221" s="82" t="str">
        <x:v>Base code(s): A41, A42</x:v>
      </x:c>
      <x:c r="V221" s="80" t="str">
        <x:v>Coleção principal (~1:64)</x:v>
      </x:c>
      <x:c r="W221" s="82" t="str">
        <x:v>https://hotwheels.fandom.com/wiki/Ferrari_288_GTO</x:v>
      </x:c>
      <x:c r="X221" s="82" t="str">
        <x:v>https://hotwheels.fandom.com/wiki/Ferrari_288_GTO</x:v>
      </x:c>
    </x:row>
    <x:row r="222">
      <x:c r="A222" s="80" t="str">
        <x:v>Não</x:v>
      </x:c>
      <x:c r="B222" s="80" t="str">
        <x:v>2 — Completar aos poucos</x:v>
      </x:c>
      <x:c r="C222" s="81" t="n">
        <x:v>2008</x:v>
      </x:c>
      <x:c r="D222" s="80" t="str">
        <x:v>Ferrari 288 GTO</x:v>
      </x:c>
      <x:c r="E222" s="80" t="str">
        <x:v>Ferrari 288 GTO</x:v>
      </x:c>
      <x:c r="F222" s="82" t="str">
        <x:v>2008 New Models / 38/40</x:v>
      </x:c>
      <x:c r="G222" s="80" t="str"/>
      <x:c r="H222" s="80" t="str">
        <x:v>038/196</x:v>
      </x:c>
      <x:c r="I222" s="83" t="str">
        <x:v>L9953</x:v>
      </x:c>
      <x:c r="J222" s="80" t="str">
        <x:v>Red</x:v>
      </x:c>
      <x:c r="K222" s="82" t="str">
        <x:v>Ferrari emblem on sides, rear, &amp; hood</x:v>
      </x:c>
      <x:c r="L222" s="82" t="str">
        <x:v>5SP</x:v>
      </x:c>
      <x:c r="M222" s="82" t="str">
        <x:v>Black / / / Plastic</x:v>
      </x:c>
      <x:c r="N222" s="82" t="str">
        <x:v>Tinted</x:v>
      </x:c>
      <x:c r="O222" s="82" t="str">
        <x:v>Black</x:v>
      </x:c>
      <x:c r="P222" s="82" t="str">
        <x:v>Malaysia</x:v>
      </x:c>
      <x:c r="Q222" s="82" t="str"/>
      <x:c r="R222" s="82" t="str">
        <x:v>Mainline</x:v>
      </x:c>
      <x:c r="S222" s="82" t="str">
        <x:v>Incomum</x:v>
      </x:c>
      <x:c r="T222" s="82" t="str">
        <x:v>Lançado</x:v>
      </x:c>
      <x:c r="U222" s="82" t="str">
        <x:v>Base code(s): A27, A28</x:v>
      </x:c>
      <x:c r="V222" s="80" t="str">
        <x:v>Coleção principal (~1:64)</x:v>
      </x:c>
      <x:c r="W222" s="82" t="str">
        <x:v>https://hotwheels.fandom.com/wiki/Ferrari_288_GTO</x:v>
      </x:c>
      <x:c r="X222" s="82" t="str">
        <x:v>https://hotwheels.fandom.com/wiki/Ferrari_288_GTO</x:v>
      </x:c>
    </x:row>
    <x:row r="223">
      <x:c r="A223" s="80" t="str">
        <x:v>Não</x:v>
      </x:c>
      <x:c r="B223" s="80" t="str">
        <x:v>2 — Completar aos poucos</x:v>
      </x:c>
      <x:c r="C223" s="81" t="n">
        <x:v>2008</x:v>
      </x:c>
      <x:c r="D223" s="80" t="str">
        <x:v>Ferrari 288 GTO</x:v>
      </x:c>
      <x:c r="E223" s="80" t="str">
        <x:v>Ferrari 288 GTO</x:v>
      </x:c>
      <x:c r="F223" s="82" t="str">
        <x:v>2008 New Models / 38/40</x:v>
      </x:c>
      <x:c r="G223" s="80" t="str"/>
      <x:c r="H223" s="80" t="str">
        <x:v>038/196</x:v>
      </x:c>
      <x:c r="I223" s="83" t="str">
        <x:v>L9953</x:v>
      </x:c>
      <x:c r="J223" s="80" t="str">
        <x:v>Satin Copper</x:v>
      </x:c>
      <x:c r="K223" s="82" t="str">
        <x:v>Ferrari emblem on sides, rear, &amp; hood</x:v>
      </x:c>
      <x:c r="L223" s="82" t="str">
        <x:v>5SP</x:v>
      </x:c>
      <x:c r="M223" s="82" t="str">
        <x:v>Black / / / Plastic</x:v>
      </x:c>
      <x:c r="N223" s="82" t="str">
        <x:v>Tinted</x:v>
      </x:c>
      <x:c r="O223" s="82" t="str">
        <x:v>Black</x:v>
      </x:c>
      <x:c r="P223" s="82" t="str">
        <x:v>Malaysia</x:v>
      </x:c>
      <x:c r="Q223" s="82" t="str">
        <x:v>Target / Red Edition</x:v>
      </x:c>
      <x:c r="R223" s="82" t="str">
        <x:v>Mainline</x:v>
      </x:c>
      <x:c r="S223" s="82" t="str">
        <x:v>Rara</x:v>
      </x:c>
      <x:c r="T223" s="82" t="str">
        <x:v>Lançado</x:v>
      </x:c>
      <x:c r="U223" s="82" t="str">
        <x:v>Also released on Target exclusive snowflake card / Base code(s): B02, B08</x:v>
      </x:c>
      <x:c r="V223" s="80" t="str">
        <x:v>Coleção principal (~1:64)</x:v>
      </x:c>
      <x:c r="W223" s="82" t="str">
        <x:v>https://hotwheels.fandom.com/wiki/Ferrari_288_GTO</x:v>
      </x:c>
      <x:c r="X223" s="82" t="str">
        <x:v>https://hotwheels.fandom.com/wiki/Ferrari_288_GTO</x:v>
      </x:c>
    </x:row>
    <x:row r="224">
      <x:c r="A224" s="80" t="str">
        <x:v>Não</x:v>
      </x:c>
      <x:c r="B224" s="80" t="str">
        <x:v>2 — Completar aos poucos</x:v>
      </x:c>
      <x:c r="C224" s="81" t="n">
        <x:v>2008</x:v>
      </x:c>
      <x:c r="D224" s="80" t="str">
        <x:v>Ferrari 330 P4</x:v>
      </x:c>
      <x:c r="E224" s="80" t="str">
        <x:v>Ferrari 330 P4</x:v>
      </x:c>
      <x:c r="F224" s="82" t="str">
        <x:v>Ferrari Racer / 17/24</x:v>
      </x:c>
      <x:c r="G224" s="80" t="str"/>
      <x:c r="H224" s="80" t="str"/>
      <x:c r="I224" s="83" t="str">
        <x:v>M9846</x:v>
      </x:c>
      <x:c r="J224" s="80" t="str">
        <x:v>Red</x:v>
      </x:c>
      <x:c r="K224" s="82" t="str">
        <x:v>Yellow Headlights, Yellow &amp; Black Stripes, "68", Shell &amp; Ferrari Logos, "B" on sides and rear</x:v>
      </x:c>
      <x:c r="L224" s="82" t="str">
        <x:v>Grey CM6</x:v>
      </x:c>
      <x:c r="M224" s="82" t="str">
        <x:v>Black / / / Plastic</x:v>
      </x:c>
      <x:c r="N224" s="82" t="str">
        <x:v>Smoke</x:v>
      </x:c>
      <x:c r="O224" s="82" t="str">
        <x:v>Chrome</x:v>
      </x:c>
      <x:c r="P224" s="82" t="str">
        <x:v>Malaysia</x:v>
      </x:c>
      <x:c r="Q224" s="82" t="str"/>
      <x:c r="R224" s="82" t="str">
        <x:v>Outra linha</x:v>
      </x:c>
      <x:c r="S224" s="82" t="str">
        <x:v>Incomum</x:v>
      </x:c>
      <x:c r="T224" s="82" t="str">
        <x:v>Lançado</x:v>
      </x:c>
      <x:c r="U224" s="82" t="str">
        <x:v>Base Code(s): A27, A29</x:v>
      </x:c>
      <x:c r="V224" s="80" t="str">
        <x:v>Coleção principal (~1:64)</x:v>
      </x:c>
      <x:c r="W224" s="82" t="str">
        <x:v>https://hotwheels.fandom.com/wiki/Ferrari_330_P4</x:v>
      </x:c>
      <x:c r="X224" s="82" t="str">
        <x:v>https://hotwheels.fandom.com/wiki/Ferrari_330_P4</x:v>
      </x:c>
    </x:row>
    <x:row r="225">
      <x:c r="A225" s="80" t="str">
        <x:v>Não</x:v>
      </x:c>
      <x:c r="B225" s="80" t="str">
        <x:v>2 — Completar aos poucos</x:v>
      </x:c>
      <x:c r="C225" s="81" t="n">
        <x:v>2008</x:v>
      </x:c>
      <x:c r="D225" s="80" t="str">
        <x:v>Ferrari 333 SP</x:v>
      </x:c>
      <x:c r="E225" s="80" t="str">
        <x:v>Ferrari 333 SP</x:v>
      </x:c>
      <x:c r="F225" s="82" t="str">
        <x:v>Ferrari GT 5-Pack</x:v>
      </x:c>
      <x:c r="G225" s="80" t="str"/>
      <x:c r="H225" s="80" t="str"/>
      <x:c r="I225" s="83" t="str">
        <x:v>N0490</x:v>
      </x:c>
      <x:c r="J225" s="80" t="str">
        <x:v>Silver</x:v>
      </x:c>
      <x:c r="K225" s="82" t="str">
        <x:v>White, Red, Black. Ferrari and "8" on side</x:v>
      </x:c>
      <x:c r="L225" s="82" t="str">
        <x:v>5SP</x:v>
      </x:c>
      <x:c r="M225" s="82" t="str">
        <x:v>Black / / / Plastic</x:v>
      </x:c>
      <x:c r="N225" s="82" t="str"/>
      <x:c r="O225" s="82" t="str">
        <x:v>Black</x:v>
      </x:c>
      <x:c r="P225" s="82" t="str">
        <x:v>Thailand</x:v>
      </x:c>
      <x:c r="Q225" s="82" t="str"/>
      <x:c r="R225" s="82" t="str">
        <x:v>Temática / multipack</x:v>
      </x:c>
      <x:c r="S225" s="82" t="str">
        <x:v>Incomum</x:v>
      </x:c>
      <x:c r="T225" s="82" t="str">
        <x:v>Lançado</x:v>
      </x:c>
      <x:c r="U225" s="82" t="str">
        <x:v>Base code(s): A38</x:v>
      </x:c>
      <x:c r="V225" s="80" t="str">
        <x:v>Coleção principal (~1:64)</x:v>
      </x:c>
      <x:c r="W225" s="82" t="str">
        <x:v>https://hotwheels.fandom.com/wiki/Ferrari_333_SP</x:v>
      </x:c>
      <x:c r="X225" s="82" t="str">
        <x:v>https://hotwheels.fandom.com/wiki/Ferrari_333_SP</x:v>
      </x:c>
    </x:row>
    <x:row r="226">
      <x:c r="A226" s="80" t="str">
        <x:v>Não</x:v>
      </x:c>
      <x:c r="B226" s="80" t="str">
        <x:v>2 — Completar aos poucos</x:v>
      </x:c>
      <x:c r="C226" s="81" t="n">
        <x:v>2008</x:v>
      </x:c>
      <x:c r="D226" s="80" t="str">
        <x:v>Ferrari 348</x:v>
      </x:c>
      <x:c r="E226" s="80" t="str">
        <x:v>Ferrari 348</x:v>
      </x:c>
      <x:c r="F226" s="82" t="str">
        <x:v>Ferrari Racer / 1/24</x:v>
      </x:c>
      <x:c r="G226" s="80" t="str"/>
      <x:c r="H226" s="80" t="str"/>
      <x:c r="I226" s="83" t="str">
        <x:v>M9830</x:v>
      </x:c>
      <x:c r="J226" s="80" t="str">
        <x:v>Red</x:v>
      </x:c>
      <x:c r="K226" s="82" t="str">
        <x:v>Black &amp; White Stripe '34'</x:v>
      </x:c>
      <x:c r="L226" s="82" t="str">
        <x:v>Grey CM6</x:v>
      </x:c>
      <x:c r="M226" s="82" t="str">
        <x:v>Black / / / Plastic</x:v>
      </x:c>
      <x:c r="N226" s="82" t="str">
        <x:v>Clear</x:v>
      </x:c>
      <x:c r="O226" s="82" t="str">
        <x:v>Chrome</x:v>
      </x:c>
      <x:c r="P226" s="82" t="str">
        <x:v>Malaysia</x:v>
      </x:c>
      <x:c r="Q226" s="82" t="str"/>
      <x:c r="R226" s="82" t="str">
        <x:v>Outra linha</x:v>
      </x:c>
      <x:c r="S226" s="82" t="str">
        <x:v>Incomum</x:v>
      </x:c>
      <x:c r="T226" s="82" t="str">
        <x:v>Lançado</x:v>
      </x:c>
      <x:c r="U226" s="82" t="str"/>
      <x:c r="V226" s="80" t="str">
        <x:v>Coleção principal (~1:64)</x:v>
      </x:c>
      <x:c r="W226" s="82" t="str">
        <x:v>https://hotwheels.fandom.com/wiki/Ferrari_348</x:v>
      </x:c>
      <x:c r="X226" s="82" t="str">
        <x:v>https://hotwheels.fandom.com/wiki/Ferrari_348</x:v>
      </x:c>
    </x:row>
    <x:row r="227">
      <x:c r="A227" s="80" t="str">
        <x:v>Não</x:v>
      </x:c>
      <x:c r="B227" s="80" t="str">
        <x:v>2 — Completar aos poucos</x:v>
      </x:c>
      <x:c r="C227" s="81" t="n">
        <x:v>2008</x:v>
      </x:c>
      <x:c r="D227" s="80" t="str">
        <x:v>Ferrari 348</x:v>
      </x:c>
      <x:c r="E227" s="80" t="str">
        <x:v>Ferrari 348</x:v>
      </x:c>
      <x:c r="F227" s="82" t="str">
        <x:v>Ferrari Racer / 16/24</x:v>
      </x:c>
      <x:c r="G227" s="80" t="str"/>
      <x:c r="H227" s="80" t="str"/>
      <x:c r="I227" s="83" t="str">
        <x:v>M9845</x:v>
      </x:c>
      <x:c r="J227" s="80" t="str">
        <x:v>Red</x:v>
      </x:c>
      <x:c r="K227" s="82" t="str">
        <x:v>Black &amp; Yellow Stripes '21'</x:v>
      </x:c>
      <x:c r="L227" s="82" t="str">
        <x:v>Grey CM6</x:v>
      </x:c>
      <x:c r="M227" s="82" t="str">
        <x:v>Black / / / Plastic</x:v>
      </x:c>
      <x:c r="N227" s="82" t="str">
        <x:v>Clear</x:v>
      </x:c>
      <x:c r="O227" s="82" t="str">
        <x:v>Chrome</x:v>
      </x:c>
      <x:c r="P227" s="82" t="str">
        <x:v>Malaysia</x:v>
      </x:c>
      <x:c r="Q227" s="82" t="str"/>
      <x:c r="R227" s="82" t="str">
        <x:v>Outra linha</x:v>
      </x:c>
      <x:c r="S227" s="82" t="str">
        <x:v>Incomum</x:v>
      </x:c>
      <x:c r="T227" s="82" t="str">
        <x:v>Lançado</x:v>
      </x:c>
      <x:c r="U227" s="82" t="str">
        <x:v>Base code(s): A22</x:v>
      </x:c>
      <x:c r="V227" s="80" t="str">
        <x:v>Coleção principal (~1:64)</x:v>
      </x:c>
      <x:c r="W227" s="82" t="str">
        <x:v>https://hotwheels.fandom.com/wiki/Ferrari_348</x:v>
      </x:c>
      <x:c r="X227" s="82" t="str">
        <x:v>https://hotwheels.fandom.com/wiki/Ferrari_348</x:v>
      </x:c>
    </x:row>
    <x:row r="228">
      <x:c r="A228" s="80" t="str">
        <x:v>Não</x:v>
      </x:c>
      <x:c r="B228" s="80" t="str">
        <x:v>2 — Completar aos poucos</x:v>
      </x:c>
      <x:c r="C228" s="81" t="n">
        <x:v>2008</x:v>
      </x:c>
      <x:c r="D228" s="80" t="str">
        <x:v>Ferrari 360 Modena</x:v>
      </x:c>
      <x:c r="E228" s="80" t="str">
        <x:v>Ferrari 360 Modena</x:v>
      </x:c>
      <x:c r="F228" s="82" t="str">
        <x:v>Ferrari Racer / 14/24</x:v>
      </x:c>
      <x:c r="G228" s="80" t="str"/>
      <x:c r="H228" s="80" t="str"/>
      <x:c r="I228" s="83" t="str">
        <x:v>M9843</x:v>
      </x:c>
      <x:c r="J228" s="80" t="str">
        <x:v>Flat Black</x:v>
      </x:c>
      <x:c r="K228" s="82" t="str">
        <x:v>Red &amp; Yellow deco, "45"</x:v>
      </x:c>
      <x:c r="L228" s="82" t="str">
        <x:v>Yellow Chrome, Grey CM6</x:v>
      </x:c>
      <x:c r="M228" s="82" t="str">
        <x:v>ZAMAC</x:v>
      </x:c>
      <x:c r="N228" s="82" t="str">
        <x:v>Clear</x:v>
      </x:c>
      <x:c r="O228" s="82" t="str">
        <x:v>Black</x:v>
      </x:c>
      <x:c r="P228" s="82" t="str">
        <x:v>Malaysia</x:v>
      </x:c>
      <x:c r="Q228" s="82" t="str"/>
      <x:c r="R228" s="82" t="str">
        <x:v>Outra linha</x:v>
      </x:c>
      <x:c r="S228" s="82" t="str">
        <x:v>Incomum</x:v>
      </x:c>
      <x:c r="T228" s="82" t="str">
        <x:v>Lançado</x:v>
      </x:c>
      <x:c r="U228" s="82" t="str"/>
      <x:c r="V228" s="80" t="str">
        <x:v>Coleção principal (~1:64)</x:v>
      </x:c>
      <x:c r="W228" s="82" t="str">
        <x:v>https://hotwheels.fandom.com/wiki/Ferrari_360_Modena</x:v>
      </x:c>
      <x:c r="X228" s="82" t="str">
        <x:v>https://hotwheels.fandom.com/wiki/Ferrari_360_Modena</x:v>
      </x:c>
    </x:row>
    <x:row r="229">
      <x:c r="A229" s="80" t="str">
        <x:v>Não</x:v>
      </x:c>
      <x:c r="B229" s="80" t="str">
        <x:v>2 — Completar aos poucos</x:v>
      </x:c>
      <x:c r="C229" s="81" t="n">
        <x:v>2008</x:v>
      </x:c>
      <x:c r="D229" s="80" t="str">
        <x:v>Ferrari 360 Modena</x:v>
      </x:c>
      <x:c r="E229" s="80" t="str">
        <x:v>Ferrari 360 Modena</x:v>
      </x:c>
      <x:c r="F229" s="82" t="str">
        <x:v>Ferrari Racer / 3/24</x:v>
      </x:c>
      <x:c r="G229" s="80" t="str"/>
      <x:c r="H229" s="80" t="str"/>
      <x:c r="I229" s="83" t="str">
        <x:v>M9832</x:v>
      </x:c>
      <x:c r="J229" s="80" t="str">
        <x:v>2-Tone Metallic Blue</x:v>
      </x:c>
      <x:c r="K229" s="82" t="str">
        <x:v>Silver racing deco, "8"</x:v>
      </x:c>
      <x:c r="L229" s="82" t="str">
        <x:v>Grey CM6</x:v>
      </x:c>
      <x:c r="M229" s="82" t="str">
        <x:v>ZAMAC</x:v>
      </x:c>
      <x:c r="N229" s="82" t="str">
        <x:v>Clear</x:v>
      </x:c>
      <x:c r="O229" s="82" t="str">
        <x:v>Grey</x:v>
      </x:c>
      <x:c r="P229" s="82" t="str">
        <x:v>Malaysia</x:v>
      </x:c>
      <x:c r="Q229" s="82" t="str"/>
      <x:c r="R229" s="82" t="str">
        <x:v>Outra linha</x:v>
      </x:c>
      <x:c r="S229" s="82" t="str">
        <x:v>Incomum</x:v>
      </x:c>
      <x:c r="T229" s="82" t="str">
        <x:v>Lançado</x:v>
      </x:c>
      <x:c r="U229" s="82" t="str"/>
      <x:c r="V229" s="80" t="str">
        <x:v>Coleção principal (~1:64)</x:v>
      </x:c>
      <x:c r="W229" s="82" t="str">
        <x:v>https://hotwheels.fandom.com/wiki/Ferrari_360_Modena</x:v>
      </x:c>
      <x:c r="X229" s="82" t="str">
        <x:v>https://hotwheels.fandom.com/wiki/Ferrari_360_Modena</x:v>
      </x:c>
    </x:row>
    <x:row r="230">
      <x:c r="A230" s="80" t="str">
        <x:v>Não</x:v>
      </x:c>
      <x:c r="B230" s="80" t="str">
        <x:v>2 — Completar aos poucos</x:v>
      </x:c>
      <x:c r="C230" s="81" t="n">
        <x:v>2008</x:v>
      </x:c>
      <x:c r="D230" s="80" t="str">
        <x:v>Ferrari 360 Modena (X-Raycers)</x:v>
      </x:c>
      <x:c r="E230" s="80" t="str">
        <x:v>Ferrari 360 Modena</x:v>
      </x:c>
      <x:c r="F230" s="82" t="str">
        <x:v>All Stars / 28/36</x:v>
      </x:c>
      <x:c r="G230" s="80" t="str"/>
      <x:c r="H230" s="80" t="str">
        <x:v>068/196</x:v>
      </x:c>
      <x:c r="I230" s="83" t="str">
        <x:v>M6934</x:v>
      </x:c>
      <x:c r="J230" s="80" t="str">
        <x:v>Black</x:v>
      </x:c>
      <x:c r="K230" s="82" t="str">
        <x:v>Red Stripes across top, Ferrari logo on sides</x:v>
      </x:c>
      <x:c r="L230" s="82" t="str">
        <x:v>PR5</x:v>
      </x:c>
      <x:c r="M230" s="82" t="str">
        <x:v>Unpainted / / / Metal</x:v>
      </x:c>
      <x:c r="N230" s="82" t="str">
        <x:v>Red Tinted</x:v>
      </x:c>
      <x:c r="O230" s="82" t="str">
        <x:v>Chrome</x:v>
      </x:c>
      <x:c r="P230" s="82" t="str">
        <x:v>Malaysia</x:v>
      </x:c>
      <x:c r="Q230" s="82" t="str"/>
      <x:c r="R230" s="82" t="str">
        <x:v>Mainline</x:v>
      </x:c>
      <x:c r="S230" s="82" t="str">
        <x:v>Incomum</x:v>
      </x:c>
      <x:c r="T230" s="82" t="str">
        <x:v>Lançado</x:v>
      </x:c>
      <x:c r="U230" s="82" t="str">
        <x:v>Base code(s): A31, A32</x:v>
      </x:c>
      <x:c r="V230" s="80" t="str">
        <x:v>Coleção principal (~1:64)</x:v>
      </x:c>
      <x:c r="W230" s="82" t="str">
        <x:v>https://hotwheels.fandom.com/wiki/Ferrari_360_Modena_(X-Raycers)</x:v>
      </x:c>
      <x:c r="X230" s="82" t="str">
        <x:v>https://hotwheels.fandom.com/wiki/Ferrari_360_Modena_(X-Raycers)</x:v>
      </x:c>
    </x:row>
    <x:row r="231">
      <x:c r="A231" s="80" t="str">
        <x:v>Não</x:v>
      </x:c>
      <x:c r="B231" s="80" t="str">
        <x:v>2 — Completar aos poucos</x:v>
      </x:c>
      <x:c r="C231" s="81" t="n">
        <x:v>2008</x:v>
      </x:c>
      <x:c r="D231" s="80" t="str">
        <x:v>Ferrari 360 Modena (X-Raycers)</x:v>
      </x:c>
      <x:c r="E231" s="80" t="str">
        <x:v>Ferrari 360 Modena</x:v>
      </x:c>
      <x:c r="F231" s="82" t="str">
        <x:v>All Stars / 28/36</x:v>
      </x:c>
      <x:c r="G231" s="80" t="str"/>
      <x:c r="H231" s="80" t="str">
        <x:v>068/196</x:v>
      </x:c>
      <x:c r="I231" s="83" t="str">
        <x:v>M6934</x:v>
      </x:c>
      <x:c r="J231" s="80" t="str">
        <x:v>Yellow</x:v>
      </x:c>
      <x:c r="K231" s="82" t="str">
        <x:v>Black Stripes across top, Ferrari logo on sides</x:v>
      </x:c>
      <x:c r="L231" s="82" t="str">
        <x:v>PR5</x:v>
      </x:c>
      <x:c r="M231" s="82" t="str">
        <x:v>Black / / / Metal</x:v>
      </x:c>
      <x:c r="N231" s="82" t="str">
        <x:v>Smoked</x:v>
      </x:c>
      <x:c r="O231" s="82" t="str">
        <x:v>Chrome</x:v>
      </x:c>
      <x:c r="P231" s="82" t="str">
        <x:v>Malaysia</x:v>
      </x:c>
      <x:c r="Q231" s="82" t="str"/>
      <x:c r="R231" s="82" t="str">
        <x:v>Mainline</x:v>
      </x:c>
      <x:c r="S231" s="82" t="str">
        <x:v>Incomum</x:v>
      </x:c>
      <x:c r="T231" s="82" t="str">
        <x:v>Lançado</x:v>
      </x:c>
      <x:c r="U231" s="82" t="str">
        <x:v>Base code(s): B02</x:v>
      </x:c>
      <x:c r="V231" s="80" t="str">
        <x:v>Coleção principal (~1:64)</x:v>
      </x:c>
      <x:c r="W231" s="82" t="str">
        <x:v>https://hotwheels.fandom.com/wiki/Ferrari_360_Modena_(X-Raycers)</x:v>
      </x:c>
      <x:c r="X231" s="82" t="str">
        <x:v>https://hotwheels.fandom.com/wiki/Ferrari_360_Modena_(X-Raycers)</x:v>
      </x:c>
    </x:row>
    <x:row r="232">
      <x:c r="A232" s="80" t="str">
        <x:v>Não</x:v>
      </x:c>
      <x:c r="B232" s="80" t="str">
        <x:v>2 — Completar aos poucos</x:v>
      </x:c>
      <x:c r="C232" s="81" t="n">
        <x:v>2008</x:v>
      </x:c>
      <x:c r="D232" s="80" t="str">
        <x:v>Ferrari 365 GTB/4</x:v>
      </x:c>
      <x:c r="E232" s="80" t="str">
        <x:v>Ferrari 365 GTB/4</x:v>
      </x:c>
      <x:c r="F232" s="82" t="str">
        <x:v>Ferrari Racer / 22/24</x:v>
      </x:c>
      <x:c r="G232" s="80" t="str"/>
      <x:c r="H232" s="80" t="str"/>
      <x:c r="I232" s="83" t="str">
        <x:v>N9851</x:v>
      </x:c>
      <x:c r="J232" s="80" t="str">
        <x:v>Red</x:v>
      </x:c>
      <x:c r="K232" s="82" t="str">
        <x:v>Yellow &amp; Black stripes on hood &amp; sides, with "34"</x:v>
      </x:c>
      <x:c r="L232" s="82" t="str">
        <x:v>Gold CM6</x:v>
      </x:c>
      <x:c r="M232" s="82" t="str">
        <x:v>Unpainted / / / Metal</x:v>
      </x:c>
      <x:c r="N232" s="82" t="str">
        <x:v>Smoke</x:v>
      </x:c>
      <x:c r="O232" s="82" t="str">
        <x:v>Black</x:v>
      </x:c>
      <x:c r="P232" s="82" t="str">
        <x:v>Malaysia</x:v>
      </x:c>
      <x:c r="Q232" s="82" t="str"/>
      <x:c r="R232" s="82" t="str">
        <x:v>Outra linha</x:v>
      </x:c>
      <x:c r="S232" s="82" t="str">
        <x:v>Incomum</x:v>
      </x:c>
      <x:c r="T232" s="82" t="str">
        <x:v>Lançado</x:v>
      </x:c>
      <x:c r="U232" s="82" t="str">
        <x:v>Base code(s):</x:v>
      </x:c>
      <x:c r="V232" s="80" t="str">
        <x:v>Coleção principal (~1:64)</x:v>
      </x:c>
      <x:c r="W232" s="82" t="str">
        <x:v>https://hotwheels.fandom.com/wiki/Ferrari_365_GTB/4</x:v>
      </x:c>
      <x:c r="X232" s="82" t="str">
        <x:v>https://hotwheels.fandom.com/wiki/Ferrari_365_GTB/4</x:v>
      </x:c>
    </x:row>
    <x:row r="233">
      <x:c r="A233" s="80" t="str">
        <x:v>Não</x:v>
      </x:c>
      <x:c r="B233" s="80" t="str">
        <x:v>2 — Completar aos poucos</x:v>
      </x:c>
      <x:c r="C233" s="81" t="n">
        <x:v>2008</x:v>
      </x:c>
      <x:c r="D233" s="80" t="str">
        <x:v>Ferrari 365 GTB/4</x:v>
      </x:c>
      <x:c r="E233" s="80" t="str">
        <x:v>Ferrari 365 GTB/4</x:v>
      </x:c>
      <x:c r="F233" s="82" t="str">
        <x:v>Ferrari Racer / 8/24</x:v>
      </x:c>
      <x:c r="G233" s="80" t="str"/>
      <x:c r="H233" s="80" t="str"/>
      <x:c r="I233" s="83" t="str">
        <x:v>M9837</x:v>
      </x:c>
      <x:c r="J233" s="80" t="str">
        <x:v>Black</x:v>
      </x:c>
      <x:c r="K233" s="82" t="str">
        <x:v>Ferrari logo on hood &amp; sides, Red &amp; Gray stripes on sides, roof &amp; hood, "22" on sides &amp; hood</x:v>
      </x:c>
      <x:c r="L233" s="82" t="str">
        <x:v>Gray CM6</x:v>
      </x:c>
      <x:c r="M233" s="82" t="str">
        <x:v>Unpainted / / / Metal</x:v>
      </x:c>
      <x:c r="N233" s="82" t="str">
        <x:v>Clear</x:v>
      </x:c>
      <x:c r="O233" s="82" t="str">
        <x:v>Burgundy</x:v>
      </x:c>
      <x:c r="P233" s="82" t="str">
        <x:v>Malaysia</x:v>
      </x:c>
      <x:c r="Q233" s="82" t="str"/>
      <x:c r="R233" s="82" t="str">
        <x:v>Outra linha</x:v>
      </x:c>
      <x:c r="S233" s="82" t="str">
        <x:v>Incomum</x:v>
      </x:c>
      <x:c r="T233" s="82" t="str">
        <x:v>Lançado</x:v>
      </x:c>
      <x:c r="U233" s="82" t="str">
        <x:v>Base code(s):</x:v>
      </x:c>
      <x:c r="V233" s="80" t="str">
        <x:v>Coleção principal (~1:64)</x:v>
      </x:c>
      <x:c r="W233" s="82" t="str">
        <x:v>https://hotwheels.fandom.com/wiki/Ferrari_365_GTB/4</x:v>
      </x:c>
      <x:c r="X233" s="82" t="str">
        <x:v>https://hotwheels.fandom.com/wiki/Ferrari_365_GTB/4</x:v>
      </x:c>
    </x:row>
    <x:row r="234">
      <x:c r="A234" s="80" t="str">
        <x:v>Não</x:v>
      </x:c>
      <x:c r="B234" s="80" t="str">
        <x:v>2 — Completar aos poucos</x:v>
      </x:c>
      <x:c r="C234" s="81" t="n">
        <x:v>2008</x:v>
      </x:c>
      <x:c r="D234" s="80" t="str">
        <x:v>Ferrari 512 M</x:v>
      </x:c>
      <x:c r="E234" s="80" t="str">
        <x:v>Ferrari 512 M</x:v>
      </x:c>
      <x:c r="F234" s="82" t="str">
        <x:v>Ferrari GT 5-Pack</x:v>
      </x:c>
      <x:c r="G234" s="80" t="str"/>
      <x:c r="H234" s="80" t="str"/>
      <x:c r="I234" s="83" t="str">
        <x:v>L4269</x:v>
      </x:c>
      <x:c r="J234" s="80" t="str">
        <x:v>Metalflake Orange</x:v>
      </x:c>
      <x:c r="K234" s="82" t="str">
        <x:v>White, Black &amp; Yellow tampos, w/ Black "8", Yellow &amp; Black "Ferrari", &amp; Ferrari logo on sides</x:v>
      </x:c>
      <x:c r="L234" s="82" t="str">
        <x:v>PR5</x:v>
      </x:c>
      <x:c r="M234" s="82" t="str">
        <x:v>Chrome / / / Plastic</x:v>
      </x:c>
      <x:c r="N234" s="82" t="str">
        <x:v>Tinted</x:v>
      </x:c>
      <x:c r="O234" s="82" t="str">
        <x:v>Black</x:v>
      </x:c>
      <x:c r="P234" s="82" t="str">
        <x:v>Thailand</x:v>
      </x:c>
      <x:c r="Q234" s="82" t="str"/>
      <x:c r="R234" s="82" t="str">
        <x:v>Temática / multipack</x:v>
      </x:c>
      <x:c r="S234" s="82" t="str">
        <x:v>Incomum</x:v>
      </x:c>
      <x:c r="T234" s="82" t="str">
        <x:v>Lançado</x:v>
      </x:c>
      <x:c r="U234" s="82" t="str"/>
      <x:c r="V234" s="80" t="str">
        <x:v>Coleção principal (~1:64)</x:v>
      </x:c>
      <x:c r="W234" s="82" t="str">
        <x:v>https://hotwheels.fandom.com/wiki/Ferrari_512_M</x:v>
      </x:c>
      <x:c r="X234" s="82" t="str">
        <x:v>https://hotwheels.fandom.com/wiki/Ferrari_512_M</x:v>
      </x:c>
    </x:row>
    <x:row r="235">
      <x:c r="A235" s="80" t="str">
        <x:v>Não</x:v>
      </x:c>
      <x:c r="B235" s="80" t="str">
        <x:v>2 — Completar aos poucos</x:v>
      </x:c>
      <x:c r="C235" s="81" t="n">
        <x:v>2008</x:v>
      </x:c>
      <x:c r="D235" s="80" t="str">
        <x:v>Ferrari 575 GTC</x:v>
      </x:c>
      <x:c r="E235" s="80" t="str">
        <x:v>Ferrari 575 GTC</x:v>
      </x:c>
      <x:c r="F235" s="82" t="str">
        <x:v>Ferrari GT 5-Pack</x:v>
      </x:c>
      <x:c r="G235" s="80" t="str"/>
      <x:c r="H235" s="80" t="str"/>
      <x:c r="I235" s="83" t="str">
        <x:v>N0490</x:v>
      </x:c>
      <x:c r="J235" s="80" t="str">
        <x:v>Metalflake Dark Blue</x:v>
      </x:c>
      <x:c r="K235" s="82" t="str">
        <x:v>Black &amp; Green stripes, HW logo, white aquare whith "75", &amp; Ferrari logo on sides</x:v>
      </x:c>
      <x:c r="L235" s="82" t="str">
        <x:v>PR5</x:v>
      </x:c>
      <x:c r="M235" s="82" t="str">
        <x:v>Black / / / Metal</x:v>
      </x:c>
      <x:c r="N235" s="82" t="str">
        <x:v>Green tint</x:v>
      </x:c>
      <x:c r="O235" s="82" t="str">
        <x:v>Black</x:v>
      </x:c>
      <x:c r="P235" s="82" t="str">
        <x:v>Thailand</x:v>
      </x:c>
      <x:c r="Q235" s="82" t="str"/>
      <x:c r="R235" s="82" t="str">
        <x:v>Temática / multipack</x:v>
      </x:c>
      <x:c r="S235" s="82" t="str">
        <x:v>Incomum</x:v>
      </x:c>
      <x:c r="T235" s="82" t="str">
        <x:v>Lançado</x:v>
      </x:c>
      <x:c r="U235" s="82" t="str">
        <x:v>Base code(s):</x:v>
      </x:c>
      <x:c r="V235" s="80" t="str">
        <x:v>Coleção principal (~1:64)</x:v>
      </x:c>
      <x:c r="W235" s="82" t="str">
        <x:v>https://hotwheels.fandom.com/wiki/Ferrari_575_GTC</x:v>
      </x:c>
      <x:c r="X235" s="82" t="str">
        <x:v>https://hotwheels.fandom.com/wiki/Ferrari_575_GTC</x:v>
      </x:c>
    </x:row>
    <x:row r="236">
      <x:c r="A236" s="80" t="str">
        <x:v>Não</x:v>
      </x:c>
      <x:c r="B236" s="80" t="str">
        <x:v>2 — Completar aos poucos</x:v>
      </x:c>
      <x:c r="C236" s="81" t="n">
        <x:v>2008</x:v>
      </x:c>
      <x:c r="D236" s="80" t="str">
        <x:v>Ferrari 575 GTC</x:v>
      </x:c>
      <x:c r="E236" s="80" t="str">
        <x:v>Ferrari 575 GTC</x:v>
      </x:c>
      <x:c r="F236" s="82" t="str">
        <x:v>Ferrari Racer / 24/24</x:v>
      </x:c>
      <x:c r="G236" s="80" t="str"/>
      <x:c r="H236" s="80" t="str"/>
      <x:c r="I236" s="83" t="str">
        <x:v>N8080</x:v>
      </x:c>
      <x:c r="J236" s="80" t="str">
        <x:v>Metalflake Dark Grey</x:v>
      </x:c>
      <x:c r="K236" s="82" t="str">
        <x:v>Ferrari logos on hood &amp; sides, black cobweb on hood &amp; sides</x:v>
      </x:c>
      <x:c r="L236" s="82" t="str">
        <x:v>CM6</x:v>
      </x:c>
      <x:c r="M236" s="82" t="str">
        <x:v>Unpainted / / / Metal</x:v>
      </x:c>
      <x:c r="N236" s="82" t="str">
        <x:v>Clear</x:v>
      </x:c>
      <x:c r="O236" s="82" t="str">
        <x:v>Grey</x:v>
      </x:c>
      <x:c r="P236" s="82" t="str">
        <x:v>Malaysia</x:v>
      </x:c>
      <x:c r="Q236" s="82" t="str"/>
      <x:c r="R236" s="82" t="str">
        <x:v>Outra linha</x:v>
      </x:c>
      <x:c r="S236" s="82" t="str">
        <x:v>Incomum</x:v>
      </x:c>
      <x:c r="T236" s="82" t="str">
        <x:v>Lançado</x:v>
      </x:c>
      <x:c r="U236" s="82" t="str">
        <x:v>Base code(s):</x:v>
      </x:c>
      <x:c r="V236" s="80" t="str">
        <x:v>Coleção principal (~1:64)</x:v>
      </x:c>
      <x:c r="W236" s="82" t="str">
        <x:v>https://hotwheels.fandom.com/wiki/Ferrari_575_GTC</x:v>
      </x:c>
      <x:c r="X236" s="82" t="str">
        <x:v>https://hotwheels.fandom.com/wiki/Ferrari_575_GTC</x:v>
      </x:c>
    </x:row>
    <x:row r="237">
      <x:c r="A237" s="80" t="str">
        <x:v>Não</x:v>
      </x:c>
      <x:c r="B237" s="80" t="str">
        <x:v>2 — Completar aos poucos</x:v>
      </x:c>
      <x:c r="C237" s="81" t="n">
        <x:v>2008</x:v>
      </x:c>
      <x:c r="D237" s="80" t="str">
        <x:v>Ferrari 599 GTB Fiorano</x:v>
      </x:c>
      <x:c r="E237" s="80" t="str">
        <x:v>Ferrari 599 GTB Fiorano</x:v>
      </x:c>
      <x:c r="F237" s="82" t="str">
        <x:v>Ferrari Racer / 11/24</x:v>
      </x:c>
      <x:c r="G237" s="80" t="str"/>
      <x:c r="H237" s="80" t="str"/>
      <x:c r="I237" s="83" t="str">
        <x:v>M9840</x:v>
      </x:c>
      <x:c r="J237" s="80" t="str">
        <x:v>White</x:v>
      </x:c>
      <x:c r="K237" s="82" t="str">
        <x:v>Ferrari logo on hood and sides</x:v>
      </x:c>
      <x:c r="L237" s="82" t="str">
        <x:v>White Rim, Black CM6</x:v>
      </x:c>
      <x:c r="M237" s="82" t="str">
        <x:v>Chrome / / / Plastic</x:v>
      </x:c>
      <x:c r="N237" s="82" t="str">
        <x:v>Blue tint</x:v>
      </x:c>
      <x:c r="O237" s="82" t="str">
        <x:v>Chrome</x:v>
      </x:c>
      <x:c r="P237" s="82" t="str">
        <x:v>Malaysia</x:v>
      </x:c>
      <x:c r="Q237" s="82" t="str"/>
      <x:c r="R237" s="82" t="str">
        <x:v>Outra linha</x:v>
      </x:c>
      <x:c r="S237" s="82" t="str">
        <x:v>Incomum</x:v>
      </x:c>
      <x:c r="T237" s="82" t="str">
        <x:v>Lançado</x:v>
      </x:c>
      <x:c r="U237" s="82" t="str">
        <x:v>Named 599 GTB Fiorano</x:v>
      </x:c>
      <x:c r="V237" s="80" t="str">
        <x:v>Coleção principal (~1:64)</x:v>
      </x:c>
      <x:c r="W237" s="82" t="str">
        <x:v>https://hotwheels.fandom.com/wiki/Ferrari_599_GTB_Fiorano</x:v>
      </x:c>
      <x:c r="X237" s="82" t="str">
        <x:v>https://hotwheels.fandom.com/wiki/Ferrari_599_GTB_Fiorano</x:v>
      </x:c>
    </x:row>
    <x:row r="238">
      <x:c r="A238" s="80" t="str">
        <x:v>Não</x:v>
      </x:c>
      <x:c r="B238" s="80" t="str">
        <x:v>2 — Completar aos poucos</x:v>
      </x:c>
      <x:c r="C238" s="81" t="n">
        <x:v>2008</x:v>
      </x:c>
      <x:c r="D238" s="80" t="str">
        <x:v>Ferrari 599 GTB Fiorano</x:v>
      </x:c>
      <x:c r="E238" s="80" t="str">
        <x:v>Ferrari 599 GTB Fiorano</x:v>
      </x:c>
      <x:c r="F238" s="82" t="str">
        <x:v>Ferrari Racer / 23/24</x:v>
      </x:c>
      <x:c r="G238" s="80" t="str"/>
      <x:c r="H238" s="80" t="str"/>
      <x:c r="I238" s="83" t="str">
        <x:v>M9852</x:v>
      </x:c>
      <x:c r="J238" s="80" t="str">
        <x:v>Yellow</x:v>
      </x:c>
      <x:c r="K238" s="82" t="str">
        <x:v>Black Stripes and Ferrari emblems on sides and hood, "599" on sides and hood</x:v>
      </x:c>
      <x:c r="L238" s="82" t="str">
        <x:v>Black CM6</x:v>
      </x:c>
      <x:c r="M238" s="82" t="str">
        <x:v>Black / / / Plastic</x:v>
      </x:c>
      <x:c r="N238" s="82" t="str">
        <x:v>Clear</x:v>
      </x:c>
      <x:c r="O238" s="82" t="str">
        <x:v>Black</x:v>
      </x:c>
      <x:c r="P238" s="82" t="str">
        <x:v>Malaysia</x:v>
      </x:c>
      <x:c r="Q238" s="82" t="str"/>
      <x:c r="R238" s="82" t="str">
        <x:v>Outra linha</x:v>
      </x:c>
      <x:c r="S238" s="82" t="str">
        <x:v>Incomum</x:v>
      </x:c>
      <x:c r="T238" s="82" t="str">
        <x:v>Lançado</x:v>
      </x:c>
      <x:c r="U238" s="82" t="str">
        <x:v>Named 599 GTB Fiorano</x:v>
      </x:c>
      <x:c r="V238" s="80" t="str">
        <x:v>Coleção principal (~1:64)</x:v>
      </x:c>
      <x:c r="W238" s="82" t="str">
        <x:v>https://hotwheels.fandom.com/wiki/Ferrari_599_GTB_Fiorano</x:v>
      </x:c>
      <x:c r="X238" s="82" t="str">
        <x:v>https://hotwheels.fandom.com/wiki/Ferrari_599_GTB_Fiorano</x:v>
      </x:c>
    </x:row>
    <x:row r="239">
      <x:c r="A239" s="80" t="str">
        <x:v>Não</x:v>
      </x:c>
      <x:c r="B239" s="80" t="str">
        <x:v>2 — Completar aos poucos</x:v>
      </x:c>
      <x:c r="C239" s="81" t="n">
        <x:v>2008</x:v>
      </x:c>
      <x:c r="D239" s="80" t="str">
        <x:v>Ferrari 599 GTB Fiorano</x:v>
      </x:c>
      <x:c r="E239" s="80" t="str">
        <x:v>Ferrari 599 GTB Fiorano</x:v>
      </x:c>
      <x:c r="F239" s="82" t="str">
        <x:v>Ferrari Racer / 6/24</x:v>
      </x:c>
      <x:c r="G239" s="80" t="str"/>
      <x:c r="H239" s="80" t="str"/>
      <x:c r="I239" s="83" t="str">
        <x:v>M9835</x:v>
      </x:c>
      <x:c r="J239" s="80" t="str">
        <x:v>Satin Red</x:v>
      </x:c>
      <x:c r="K239" s="82" t="str">
        <x:v>Ferrari emblem on sides and hood</x:v>
      </x:c>
      <x:c r="L239" s="82" t="str">
        <x:v>Yellow-rimmed, black CM6</x:v>
      </x:c>
      <x:c r="M239" s="82" t="str">
        <x:v>Chrome / / / Plastic</x:v>
      </x:c>
      <x:c r="N239" s="82" t="str">
        <x:v>Yellow tint</x:v>
      </x:c>
      <x:c r="O239" s="82" t="str">
        <x:v>Chrome</x:v>
      </x:c>
      <x:c r="P239" s="82" t="str">
        <x:v>Malaysia</x:v>
      </x:c>
      <x:c r="Q239" s="82" t="str"/>
      <x:c r="R239" s="82" t="str">
        <x:v>Outra linha</x:v>
      </x:c>
      <x:c r="S239" s="82" t="str">
        <x:v>Incomum</x:v>
      </x:c>
      <x:c r="T239" s="82" t="str">
        <x:v>Lançado</x:v>
      </x:c>
      <x:c r="U239" s="82" t="str">
        <x:v>Named 599 GTB Fiorano</x:v>
      </x:c>
      <x:c r="V239" s="80" t="str">
        <x:v>Coleção principal (~1:64)</x:v>
      </x:c>
      <x:c r="W239" s="82" t="str">
        <x:v>https://hotwheels.fandom.com/wiki/Ferrari_599_GTB_Fiorano</x:v>
      </x:c>
      <x:c r="X239" s="82" t="str">
        <x:v>https://hotwheels.fandom.com/wiki/Ferrari_599_GTB_Fiorano</x:v>
      </x:c>
    </x:row>
    <x:row r="240">
      <x:c r="A240" s="80" t="str">
        <x:v>Não</x:v>
      </x:c>
      <x:c r="B240" s="80" t="str">
        <x:v>2 — Completar aos poucos</x:v>
      </x:c>
      <x:c r="C240" s="81" t="n">
        <x:v>2008</x:v>
      </x:c>
      <x:c r="D240" s="80" t="str">
        <x:v>Ferrari F355</x:v>
      </x:c>
      <x:c r="E240" s="80" t="str">
        <x:v>Ferrari F355</x:v>
      </x:c>
      <x:c r="F240" s="82" t="str">
        <x:v>Ferrari Racer / 2/24</x:v>
      </x:c>
      <x:c r="G240" s="80" t="str"/>
      <x:c r="H240" s="80" t="str"/>
      <x:c r="I240" s="83" t="str">
        <x:v>M9831</x:v>
      </x:c>
      <x:c r="J240" s="80" t="str">
        <x:v>Pearl White</x:v>
      </x:c>
      <x:c r="K240" s="82" t="str">
        <x:v>Ferrari logo on hood, sides &amp; rear, tailights</x:v>
      </x:c>
      <x:c r="L240" s="82" t="str">
        <x:v>Grey CM6</x:v>
      </x:c>
      <x:c r="M240" s="82" t="str">
        <x:v>Unpainted / / / Metal</x:v>
      </x:c>
      <x:c r="N240" s="82" t="str">
        <x:v>Clear</x:v>
      </x:c>
      <x:c r="O240" s="82" t="str">
        <x:v>Grey</x:v>
      </x:c>
      <x:c r="P240" s="82" t="str">
        <x:v>Malaysia</x:v>
      </x:c>
      <x:c r="Q240" s="82" t="str"/>
      <x:c r="R240" s="82" t="str">
        <x:v>Outra linha</x:v>
      </x:c>
      <x:c r="S240" s="82" t="str">
        <x:v>Incomum</x:v>
      </x:c>
      <x:c r="T240" s="82" t="str">
        <x:v>Lançado</x:v>
      </x:c>
      <x:c r="U240" s="82" t="str"/>
      <x:c r="V240" s="80" t="str">
        <x:v>Coleção principal (~1:64)</x:v>
      </x:c>
      <x:c r="W240" s="82" t="str">
        <x:v>https://hotwheels.fandom.com/wiki/Ferrari_F355</x:v>
      </x:c>
      <x:c r="X240" s="82" t="str">
        <x:v>https://hotwheels.fandom.com/wiki/Ferrari_F355</x:v>
      </x:c>
    </x:row>
    <x:row r="241">
      <x:c r="A241" s="80" t="str">
        <x:v>Não</x:v>
      </x:c>
      <x:c r="B241" s="80" t="str">
        <x:v>2 — Completar aos poucos</x:v>
      </x:c>
      <x:c r="C241" s="81" t="n">
        <x:v>2008</x:v>
      </x:c>
      <x:c r="D241" s="80" t="str">
        <x:v>Ferrari F355 Challenge</x:v>
      </x:c>
      <x:c r="E241" s="80" t="str">
        <x:v>Ferrari F355 Challenge</x:v>
      </x:c>
      <x:c r="F241" s="82" t="str">
        <x:v>Ferrari Racer / 13/24</x:v>
      </x:c>
      <x:c r="G241" s="80" t="str"/>
      <x:c r="H241" s="80" t="str"/>
      <x:c r="I241" s="83" t="str">
        <x:v>M9842</x:v>
      </x:c>
      <x:c r="J241" s="80" t="str">
        <x:v>Red</x:v>
      </x:c>
      <x:c r="K241" s="82" t="str">
        <x:v>Black &amp; Gold racing tampos. n°13</x:v>
      </x:c>
      <x:c r="L241" s="82" t="str">
        <x:v>Gold CM6</x:v>
      </x:c>
      <x:c r="M241" s="82" t="str">
        <x:v>Polished metal</x:v>
      </x:c>
      <x:c r="N241" s="82" t="str">
        <x:v>Clear</x:v>
      </x:c>
      <x:c r="O241" s="82" t="str">
        <x:v>Red</x:v>
      </x:c>
      <x:c r="P241" s="82" t="str">
        <x:v>Malaysia</x:v>
      </x:c>
      <x:c r="Q241" s="82" t="str"/>
      <x:c r="R241" s="82" t="str">
        <x:v>Outra linha</x:v>
      </x:c>
      <x:c r="S241" s="82" t="str">
        <x:v>Incomum</x:v>
      </x:c>
      <x:c r="T241" s="82" t="str">
        <x:v>Lançado</x:v>
      </x:c>
      <x:c r="U241" s="82" t="str"/>
      <x:c r="V241" s="80" t="str">
        <x:v>Coleção principal (~1:64)</x:v>
      </x:c>
      <x:c r="W241" s="82" t="str">
        <x:v>https://hotwheels.fandom.com/wiki/Ferrari_F355_Challenge</x:v>
      </x:c>
      <x:c r="X241" s="82" t="str">
        <x:v>https://hotwheels.fandom.com/wiki/Ferrari_F355_Challenge</x:v>
      </x:c>
    </x:row>
    <x:row r="242">
      <x:c r="A242" s="80" t="str">
        <x:v>Não</x:v>
      </x:c>
      <x:c r="B242" s="80" t="str">
        <x:v>2 — Completar aos poucos</x:v>
      </x:c>
      <x:c r="C242" s="81" t="n">
        <x:v>2008</x:v>
      </x:c>
      <x:c r="D242" s="80" t="str">
        <x:v>Ferrari F40</x:v>
      </x:c>
      <x:c r="E242" s="80" t="str">
        <x:v>Ferrari F40</x:v>
      </x:c>
      <x:c r="F242" s="82" t="str">
        <x:v>Ferrari Racer / 12/24</x:v>
      </x:c>
      <x:c r="G242" s="80" t="str"/>
      <x:c r="H242" s="80" t="str"/>
      <x:c r="I242" s="83" t="str">
        <x:v>M9841</x:v>
      </x:c>
      <x:c r="J242" s="80" t="str">
        <x:v>Metallic Silver</x:v>
      </x:c>
      <x:c r="K242" s="82" t="str">
        <x:v>Dark gray around bottom of car, Ferrari logo on hood, taillights</x:v>
      </x:c>
      <x:c r="L242" s="82" t="str">
        <x:v>CM6</x:v>
      </x:c>
      <x:c r="M242" s="82" t="str">
        <x:v>ZAMAC</x:v>
      </x:c>
      <x:c r="N242" s="82" t="str">
        <x:v>Clear</x:v>
      </x:c>
      <x:c r="O242" s="82" t="str">
        <x:v>Grey</x:v>
      </x:c>
      <x:c r="P242" s="82" t="str">
        <x:v>Malaysia</x:v>
      </x:c>
      <x:c r="Q242" s="82" t="str"/>
      <x:c r="R242" s="82" t="str">
        <x:v>Outra linha</x:v>
      </x:c>
      <x:c r="S242" s="82" t="str">
        <x:v>Incomum</x:v>
      </x:c>
      <x:c r="T242" s="82" t="str">
        <x:v>Lançado</x:v>
      </x:c>
      <x:c r="U242" s="82" t="str">
        <x:v>Base code(s):</x:v>
      </x:c>
      <x:c r="V242" s="80" t="str">
        <x:v>Coleção principal (~1:64)</x:v>
      </x:c>
      <x:c r="W242" s="82" t="str">
        <x:v>https://hotwheels.fandom.com/wiki/Ferrari_F40</x:v>
      </x:c>
      <x:c r="X242" s="82" t="str">
        <x:v>https://hotwheels.fandom.com/wiki/Ferrari_F40</x:v>
      </x:c>
    </x:row>
    <x:row r="243">
      <x:c r="A243" s="80" t="str">
        <x:v>Não</x:v>
      </x:c>
      <x:c r="B243" s="80" t="str">
        <x:v>2 — Completar aos poucos</x:v>
      </x:c>
      <x:c r="C243" s="81" t="n">
        <x:v>2008</x:v>
      </x:c>
      <x:c r="D243" s="80" t="str">
        <x:v>Ferrari F40</x:v>
      </x:c>
      <x:c r="E243" s="80" t="str">
        <x:v>Ferrari F40</x:v>
      </x:c>
      <x:c r="F243" s="82" t="str">
        <x:v>Ferrari Racer / 5/24</x:v>
      </x:c>
      <x:c r="G243" s="80" t="str"/>
      <x:c r="H243" s="80" t="str"/>
      <x:c r="I243" s="83" t="str">
        <x:v>M9834</x:v>
      </x:c>
      <x:c r="J243" s="80" t="str">
        <x:v>Metallic Dark Red</x:v>
      </x:c>
      <x:c r="K243" s="82" t="str">
        <x:v>Silver, Dark Red &amp; black</x:v>
      </x:c>
      <x:c r="L243" s="82" t="str">
        <x:v>CM6</x:v>
      </x:c>
      <x:c r="M243" s="82" t="str">
        <x:v>ZAMAC</x:v>
      </x:c>
      <x:c r="N243" s="82" t="str">
        <x:v>Smoke tint</x:v>
      </x:c>
      <x:c r="O243" s="82" t="str">
        <x:v>Grey</x:v>
      </x:c>
      <x:c r="P243" s="82" t="str">
        <x:v>Malaysia</x:v>
      </x:c>
      <x:c r="Q243" s="82" t="str"/>
      <x:c r="R243" s="82" t="str">
        <x:v>Outra linha</x:v>
      </x:c>
      <x:c r="S243" s="82" t="str">
        <x:v>Incomum</x:v>
      </x:c>
      <x:c r="T243" s="82" t="str">
        <x:v>Lançado</x:v>
      </x:c>
      <x:c r="U243" s="82" t="str">
        <x:v>Base code(s):</x:v>
      </x:c>
      <x:c r="V243" s="80" t="str">
        <x:v>Coleção principal (~1:64)</x:v>
      </x:c>
      <x:c r="W243" s="82" t="str">
        <x:v>https://hotwheels.fandom.com/wiki/Ferrari_F40</x:v>
      </x:c>
      <x:c r="X243" s="82" t="str">
        <x:v>https://hotwheels.fandom.com/wiki/Ferrari_F40</x:v>
      </x:c>
    </x:row>
    <x:row r="244">
      <x:c r="A244" s="80" t="str">
        <x:v>Não</x:v>
      </x:c>
      <x:c r="B244" s="80" t="str">
        <x:v>2 — Completar aos poucos</x:v>
      </x:c>
      <x:c r="C244" s="81" t="n">
        <x:v>2008</x:v>
      </x:c>
      <x:c r="D244" s="80" t="str">
        <x:v>Ferrari F430 Challenge</x:v>
      </x:c>
      <x:c r="E244" s="80" t="str">
        <x:v>Ferrari F430 Challenge</x:v>
      </x:c>
      <x:c r="F244" s="82" t="str">
        <x:v>Ferrari Racer</x:v>
      </x:c>
      <x:c r="G244" s="80" t="str"/>
      <x:c r="H244" s="80" t="str"/>
      <x:c r="I244" s="83" t="str">
        <x:v>L9956</x:v>
      </x:c>
      <x:c r="J244" s="80" t="str"/>
      <x:c r="K244" s="82" t="str"/>
      <x:c r="L244" s="82" t="str"/>
      <x:c r="M244" s="82" t="str"/>
      <x:c r="N244" s="82" t="str"/>
      <x:c r="O244" s="82" t="str"/>
      <x:c r="P244" s="82" t="str"/>
      <x:c r="Q244" s="82" t="str"/>
      <x:c r="R244" s="82" t="str">
        <x:v>Outra linha</x:v>
      </x:c>
      <x:c r="S244" s="82" t="str">
        <x:v>Incomum</x:v>
      </x:c>
      <x:c r="T244" s="82" t="str">
        <x:v>Lançado</x:v>
      </x:c>
      <x:c r="U244" s="82" t="str"/>
      <x:c r="V244" s="80" t="str">
        <x:v>Coleção principal (~1:64)</x:v>
      </x:c>
      <x:c r="W244" s="82" t="str">
        <x:v>https://hotwheels.fandom.com/wiki/Ferrari</x:v>
      </x:c>
      <x:c r="X244" s="82" t="str">
        <x:v>https://hotwheels.fandom.com/wiki/Ferrari_F430_Challenge</x:v>
      </x:c>
    </x:row>
    <x:row r="245">
      <x:c r="A245" s="80" t="str">
        <x:v>Não</x:v>
      </x:c>
      <x:c r="B245" s="80" t="str">
        <x:v>2 — Completar aos poucos</x:v>
      </x:c>
      <x:c r="C245" s="81" t="n">
        <x:v>2008</x:v>
      </x:c>
      <x:c r="D245" s="80" t="str">
        <x:v>Ferrari F430 Challenge</x:v>
      </x:c>
      <x:c r="E245" s="80" t="str">
        <x:v>Ferrari F430 Challenge</x:v>
      </x:c>
      <x:c r="F245" s="82" t="str">
        <x:v>Ferrari Racer / 20/24</x:v>
      </x:c>
      <x:c r="G245" s="80" t="str"/>
      <x:c r="H245" s="80" t="str"/>
      <x:c r="I245" s="83" t="str">
        <x:v>M9849</x:v>
      </x:c>
      <x:c r="J245" s="80" t="str">
        <x:v>White</x:v>
      </x:c>
      <x:c r="K245" s="82" t="str">
        <x:v>Red &amp; green stripes on hood, roof &amp; sides, ferrari badges &amp; "43" on front &amp; sides, shell logos on sides</x:v>
      </x:c>
      <x:c r="L245" s="82" t="str">
        <x:v>CM6</x:v>
      </x:c>
      <x:c r="M245" s="82" t="str">
        <x:v>Black / / / Plastic</x:v>
      </x:c>
      <x:c r="N245" s="82" t="str">
        <x:v>Black</x:v>
      </x:c>
      <x:c r="O245" s="82" t="str">
        <x:v>Black</x:v>
      </x:c>
      <x:c r="P245" s="82" t="str">
        <x:v>Malaysia</x:v>
      </x:c>
      <x:c r="Q245" s="82" t="str"/>
      <x:c r="R245" s="82" t="str">
        <x:v>Outra linha</x:v>
      </x:c>
      <x:c r="S245" s="82" t="str">
        <x:v>Incomum</x:v>
      </x:c>
      <x:c r="T245" s="82" t="str">
        <x:v>Lançado</x:v>
      </x:c>
      <x:c r="U245" s="82" t="str"/>
      <x:c r="V245" s="80" t="str">
        <x:v>Coleção principal (~1:64)</x:v>
      </x:c>
      <x:c r="W245" s="82" t="str">
        <x:v>https://hotwheels.fandom.com/wiki/Ferrari_F430_Challenge</x:v>
      </x:c>
      <x:c r="X245" s="82" t="str">
        <x:v>https://hotwheels.fandom.com/wiki/Ferrari_F430_Challenge</x:v>
      </x:c>
    </x:row>
    <x:row r="246">
      <x:c r="A246" s="80" t="str">
        <x:v>Não</x:v>
      </x:c>
      <x:c r="B246" s="80" t="str">
        <x:v>2 — Completar aos poucos</x:v>
      </x:c>
      <x:c r="C246" s="81" t="n">
        <x:v>2008</x:v>
      </x:c>
      <x:c r="D246" s="80" t="str">
        <x:v>Ferrari F430 Challenge</x:v>
      </x:c>
      <x:c r="E246" s="80" t="str">
        <x:v>Ferrari F430 Challenge</x:v>
      </x:c>
      <x:c r="F246" s="82" t="str">
        <x:v>Ferrari Racer / 9/24</x:v>
      </x:c>
      <x:c r="G246" s="80" t="str"/>
      <x:c r="H246" s="80" t="str"/>
      <x:c r="I246" s="83" t="str">
        <x:v>M9838</x:v>
      </x:c>
      <x:c r="J246" s="80" t="str">
        <x:v>Red</x:v>
      </x:c>
      <x:c r="K246" s="82" t="str">
        <x:v>White stripes on sides, Sheel Logo on sides, "14" on sides, hood &amp; roof</x:v>
      </x:c>
      <x:c r="L246" s="82" t="str">
        <x:v>CM6</x:v>
      </x:c>
      <x:c r="M246" s="82" t="str">
        <x:v>Black / / / Plastic</x:v>
      </x:c>
      <x:c r="N246" s="82" t="str">
        <x:v>Clear</x:v>
      </x:c>
      <x:c r="O246" s="82" t="str">
        <x:v>Black</x:v>
      </x:c>
      <x:c r="P246" s="82" t="str">
        <x:v>Malaysia</x:v>
      </x:c>
      <x:c r="Q246" s="82" t="str"/>
      <x:c r="R246" s="82" t="str">
        <x:v>Outra linha</x:v>
      </x:c>
      <x:c r="S246" s="82" t="str">
        <x:v>Incomum</x:v>
      </x:c>
      <x:c r="T246" s="82" t="str">
        <x:v>Lançado</x:v>
      </x:c>
      <x:c r="U246" s="82" t="str"/>
      <x:c r="V246" s="80" t="str">
        <x:v>Coleção principal (~1:64)</x:v>
      </x:c>
      <x:c r="W246" s="82" t="str">
        <x:v>https://hotwheels.fandom.com/wiki/Ferrari_F430_Challenge</x:v>
      </x:c>
      <x:c r="X246" s="82" t="str">
        <x:v>https://hotwheels.fandom.com/wiki/Ferrari_F430_Challenge</x:v>
      </x:c>
    </x:row>
    <x:row r="247">
      <x:c r="A247" s="80" t="str">
        <x:v>Não</x:v>
      </x:c>
      <x:c r="B247" s="80" t="str">
        <x:v>2 — Completar aos poucos</x:v>
      </x:c>
      <x:c r="C247" s="81" t="n">
        <x:v>2008</x:v>
      </x:c>
      <x:c r="D247" s="80" t="str">
        <x:v>Ferrari F50 Challenge</x:v>
      </x:c>
      <x:c r="E247" s="80" t="str">
        <x:v>Ferrari F50 Challenge</x:v>
      </x:c>
      <x:c r="F247" s="82" t="str">
        <x:v>Ferrari Racer / 21/24</x:v>
      </x:c>
      <x:c r="G247" s="80" t="str"/>
      <x:c r="H247" s="80" t="str"/>
      <x:c r="I247" s="83" t="str">
        <x:v>M9850</x:v>
      </x:c>
      <x:c r="J247" s="80" t="str">
        <x:v>Dark Red</x:v>
      </x:c>
      <x:c r="K247" s="82" t="str">
        <x:v>Ferrari badges on hood &amp; sides, Shell logos on sides, "Ferrari" on rear wing, yellow arrow tampos on hood &amp; sides</x:v>
      </x:c>
      <x:c r="L247" s="82" t="str">
        <x:v>Black CM6</x:v>
      </x:c>
      <x:c r="M247" s="82" t="str">
        <x:v>Black / / / Plastic</x:v>
      </x:c>
      <x:c r="N247" s="82" t="str">
        <x:v>Smoke</x:v>
      </x:c>
      <x:c r="O247" s="82" t="str">
        <x:v>Black</x:v>
      </x:c>
      <x:c r="P247" s="82" t="str">
        <x:v>Malaysia</x:v>
      </x:c>
      <x:c r="Q247" s="82" t="str"/>
      <x:c r="R247" s="82" t="str">
        <x:v>Outra linha</x:v>
      </x:c>
      <x:c r="S247" s="82" t="str">
        <x:v>Incomum</x:v>
      </x:c>
      <x:c r="T247" s="82" t="str">
        <x:v>Lançado</x:v>
      </x:c>
      <x:c r="U247" s="82" t="str"/>
      <x:c r="V247" s="80" t="str">
        <x:v>Coleção principal (~1:64)</x:v>
      </x:c>
      <x:c r="W247" s="82" t="str">
        <x:v>https://hotwheels.fandom.com/wiki/Ferrari_F50_Challenge</x:v>
      </x:c>
      <x:c r="X247" s="82" t="str">
        <x:v>https://hotwheels.fandom.com/wiki/Ferrari_F50_Challenge</x:v>
      </x:c>
    </x:row>
    <x:row r="248">
      <x:c r="A248" s="80" t="str">
        <x:v>Não</x:v>
      </x:c>
      <x:c r="B248" s="80" t="str">
        <x:v>2 — Completar aos poucos</x:v>
      </x:c>
      <x:c r="C248" s="81" t="n">
        <x:v>2008</x:v>
      </x:c>
      <x:c r="D248" s="80" t="str">
        <x:v>Ferrari F50 Challenge</x:v>
      </x:c>
      <x:c r="E248" s="80" t="str">
        <x:v>Ferrari F50 Challenge</x:v>
      </x:c>
      <x:c r="F248" s="82" t="str">
        <x:v>Ferrari Racer / 4/24</x:v>
      </x:c>
      <x:c r="G248" s="80" t="str"/>
      <x:c r="H248" s="80" t="str"/>
      <x:c r="I248" s="83" t="str">
        <x:v>M9833</x:v>
      </x:c>
      <x:c r="J248" s="80" t="str">
        <x:v>Red</x:v>
      </x:c>
      <x:c r="K248" s="82" t="str">
        <x:v>White &amp; Black stripes, '50', &amp; Ferrari emblem on sides &amp; hood, White stripe across rear wing</x:v>
      </x:c>
      <x:c r="L248" s="82" t="str">
        <x:v>Red CM6</x:v>
      </x:c>
      <x:c r="M248" s="82" t="str">
        <x:v>Black / / / Plastic</x:v>
      </x:c>
      <x:c r="N248" s="82" t="str">
        <x:v>Clear</x:v>
      </x:c>
      <x:c r="O248" s="82" t="str">
        <x:v>Chrome</x:v>
      </x:c>
      <x:c r="P248" s="82" t="str">
        <x:v>Malaysia</x:v>
      </x:c>
      <x:c r="Q248" s="82" t="str"/>
      <x:c r="R248" s="82" t="str">
        <x:v>Outra linha</x:v>
      </x:c>
      <x:c r="S248" s="82" t="str">
        <x:v>Incomum</x:v>
      </x:c>
      <x:c r="T248" s="82" t="str">
        <x:v>Lançado</x:v>
      </x:c>
      <x:c r="U248" s="82" t="str"/>
      <x:c r="V248" s="80" t="str">
        <x:v>Coleção principal (~1:64)</x:v>
      </x:c>
      <x:c r="W248" s="82" t="str">
        <x:v>https://hotwheels.fandom.com/wiki/Ferrari_F50_Challenge</x:v>
      </x:c>
      <x:c r="X248" s="82" t="str">
        <x:v>https://hotwheels.fandom.com/wiki/Ferrari_F50_Challenge</x:v>
      </x:c>
    </x:row>
    <x:row r="249">
      <x:c r="A249" s="80" t="str">
        <x:v>Não</x:v>
      </x:c>
      <x:c r="B249" s="80" t="str">
        <x:v>2 — Completar aos poucos</x:v>
      </x:c>
      <x:c r="C249" s="81" t="n">
        <x:v>2008</x:v>
      </x:c>
      <x:c r="D249" s="80" t="str">
        <x:v>Ferrari F512M</x:v>
      </x:c>
      <x:c r="E249" s="80" t="str">
        <x:v>Ferrari F512M</x:v>
      </x:c>
      <x:c r="F249" s="82" t="str">
        <x:v>Ferrari Racer / 10/24</x:v>
      </x:c>
      <x:c r="G249" s="80" t="str"/>
      <x:c r="H249" s="80" t="str"/>
      <x:c r="I249" s="83" t="str">
        <x:v>M9839</x:v>
      </x:c>
      <x:c r="J249" s="80" t="str">
        <x:v>Yellow</x:v>
      </x:c>
      <x:c r="K249" s="82" t="str">
        <x:v>Ferrari Logo on hood &amp; rear, "Ferrari" words on rear side of the car, headlight &amp; rearlight tampos</x:v>
      </x:c>
      <x:c r="L249" s="82" t="str">
        <x:v>CM6 Grey with Red Lines</x:v>
      </x:c>
      <x:c r="M249" s="82" t="str">
        <x:v>ZAMAC</x:v>
      </x:c>
      <x:c r="N249" s="82" t="str">
        <x:v>Grey tint</x:v>
      </x:c>
      <x:c r="O249" s="82" t="str">
        <x:v>Black</x:v>
      </x:c>
      <x:c r="P249" s="82" t="str">
        <x:v>Malaysia</x:v>
      </x:c>
      <x:c r="Q249" s="82" t="str"/>
      <x:c r="R249" s="82" t="str">
        <x:v>Outra linha</x:v>
      </x:c>
      <x:c r="S249" s="82" t="str">
        <x:v>Incomum</x:v>
      </x:c>
      <x:c r="T249" s="82" t="str">
        <x:v>Lançado</x:v>
      </x:c>
      <x:c r="U249" s="82" t="str"/>
      <x:c r="V249" s="80" t="str">
        <x:v>Coleção principal (~1:64)</x:v>
      </x:c>
      <x:c r="W249" s="82" t="str">
        <x:v>https://hotwheels.fandom.com/wiki/Ferrari_F512M</x:v>
      </x:c>
      <x:c r="X249" s="82" t="str">
        <x:v>https://hotwheels.fandom.com/wiki/Ferrari_F512M</x:v>
      </x:c>
    </x:row>
    <x:row r="250">
      <x:c r="A250" s="80" t="str">
        <x:v>Não</x:v>
      </x:c>
      <x:c r="B250" s="80" t="str">
        <x:v>2 — Completar aos poucos</x:v>
      </x:c>
      <x:c r="C250" s="81" t="n">
        <x:v>2008</x:v>
      </x:c>
      <x:c r="D250" s="80" t="str">
        <x:v>Ferrari F512M</x:v>
      </x:c>
      <x:c r="E250" s="80" t="str">
        <x:v>Ferrari F512M</x:v>
      </x:c>
      <x:c r="F250" s="82" t="str">
        <x:v>Ferrari Racer / 19/24</x:v>
      </x:c>
      <x:c r="G250" s="80" t="str"/>
      <x:c r="H250" s="80" t="str"/>
      <x:c r="I250" s="83" t="str">
        <x:v>M9848</x:v>
      </x:c>
      <x:c r="J250" s="80" t="str">
        <x:v>Purple</x:v>
      </x:c>
      <x:c r="K250" s="82" t="str">
        <x:v>Ferrari Logo &amp; "Ferrari 512" on hood and sides, white stripe on front, hood and sides, Hotwheels logo on back with rearlight tampos</x:v>
      </x:c>
      <x:c r="L250" s="82" t="str">
        <x:v>CM6 Gold</x:v>
      </x:c>
      <x:c r="M250" s="82" t="str">
        <x:v>Black / / / Metal</x:v>
      </x:c>
      <x:c r="N250" s="82" t="str">
        <x:v>Tinted</x:v>
      </x:c>
      <x:c r="O250" s="82" t="str">
        <x:v>Black</x:v>
      </x:c>
      <x:c r="P250" s="82" t="str">
        <x:v>Malaysia</x:v>
      </x:c>
      <x:c r="Q250" s="82" t="str"/>
      <x:c r="R250" s="82" t="str">
        <x:v>Outra linha</x:v>
      </x:c>
      <x:c r="S250" s="82" t="str">
        <x:v>Incomum</x:v>
      </x:c>
      <x:c r="T250" s="82" t="str">
        <x:v>Lançado</x:v>
      </x:c>
      <x:c r="U250" s="82" t="str"/>
      <x:c r="V250" s="80" t="str">
        <x:v>Coleção principal (~1:64)</x:v>
      </x:c>
      <x:c r="W250" s="82" t="str">
        <x:v>https://hotwheels.fandom.com/wiki/Ferrari_F512M</x:v>
      </x:c>
      <x:c r="X250" s="82" t="str">
        <x:v>https://hotwheels.fandom.com/wiki/Ferrari_F512M</x:v>
      </x:c>
    </x:row>
    <x:row r="251">
      <x:c r="A251" s="80" t="str">
        <x:v>Não</x:v>
      </x:c>
      <x:c r="B251" s="80" t="str">
        <x:v>2 — Completar aos poucos</x:v>
      </x:c>
      <x:c r="C251" s="81" t="n">
        <x:v>2008</x:v>
      </x:c>
      <x:c r="D251" s="80" t="str">
        <x:v>Ferrari FXX</x:v>
      </x:c>
      <x:c r="E251" s="80" t="str">
        <x:v>Ferrari FXX</x:v>
      </x:c>
      <x:c r="F251" s="82" t="str">
        <x:v>2008 New Models / 33/40</x:v>
      </x:c>
      <x:c r="G251" s="80" t="str"/>
      <x:c r="H251" s="80" t="str">
        <x:v>033/196</x:v>
      </x:c>
      <x:c r="I251" s="83" t="str">
        <x:v>L9948</x:v>
      </x:c>
      <x:c r="J251" s="80" t="str">
        <x:v>Black</x:v>
      </x:c>
      <x:c r="K251" s="82" t="str">
        <x:v>Ferrari logo on hood, white stripe across top, "FXX" on rear spoiler</x:v>
      </x:c>
      <x:c r="L251" s="82" t="str">
        <x:v>PR5</x:v>
      </x:c>
      <x:c r="M251" s="82" t="str">
        <x:v>Black / / / Plastic</x:v>
      </x:c>
      <x:c r="N251" s="82" t="str">
        <x:v>Clear</x:v>
      </x:c>
      <x:c r="O251" s="82" t="str">
        <x:v>Gray</x:v>
      </x:c>
      <x:c r="P251" s="82" t="str">
        <x:v>Malaysia</x:v>
      </x:c>
      <x:c r="Q251" s="82" t="str"/>
      <x:c r="R251" s="82" t="str">
        <x:v>Mainline</x:v>
      </x:c>
      <x:c r="S251" s="82" t="str">
        <x:v>Incomum</x:v>
      </x:c>
      <x:c r="T251" s="82" t="str">
        <x:v>Lançado</x:v>
      </x:c>
      <x:c r="U251" s="82" t="str">
        <x:v>Base code(s):</x:v>
      </x:c>
      <x:c r="V251" s="80" t="str">
        <x:v>Coleção principal (~1:64)</x:v>
      </x:c>
      <x:c r="W251" s="82" t="str">
        <x:v>https://hotwheels.fandom.com/wiki/Ferrari_FXX</x:v>
      </x:c>
      <x:c r="X251" s="82" t="str">
        <x:v>https://hotwheels.fandom.com/wiki/Ferrari_FXX</x:v>
      </x:c>
    </x:row>
    <x:row r="252">
      <x:c r="A252" s="80" t="str">
        <x:v>Não</x:v>
      </x:c>
      <x:c r="B252" s="80" t="str">
        <x:v>2 — Completar aos poucos</x:v>
      </x:c>
      <x:c r="C252" s="81" t="n">
        <x:v>2008</x:v>
      </x:c>
      <x:c r="D252" s="80" t="str">
        <x:v>Ferrari FXX</x:v>
      </x:c>
      <x:c r="E252" s="80" t="str">
        <x:v>Ferrari FXX</x:v>
      </x:c>
      <x:c r="F252" s="82" t="str">
        <x:v>2008 New Models / 33/40</x:v>
      </x:c>
      <x:c r="G252" s="80" t="str"/>
      <x:c r="H252" s="80" t="str">
        <x:v>033/196</x:v>
      </x:c>
      <x:c r="I252" s="83" t="str">
        <x:v>L9948</x:v>
      </x:c>
      <x:c r="J252" s="80" t="str">
        <x:v>Pearl Yellow</x:v>
      </x:c>
      <x:c r="K252" s="82" t="str">
        <x:v>Ferrari logo on hood, white stripe across top, "FXX" on rear spoiler</x:v>
      </x:c>
      <x:c r="L252" s="82" t="str">
        <x:v>PR5</x:v>
      </x:c>
      <x:c r="M252" s="82" t="str">
        <x:v>Black / / / Plastic</x:v>
      </x:c>
      <x:c r="N252" s="82" t="str">
        <x:v>Clear</x:v>
      </x:c>
      <x:c r="O252" s="82" t="str">
        <x:v>Gray</x:v>
      </x:c>
      <x:c r="P252" s="82" t="str">
        <x:v>Malaysia</x:v>
      </x:c>
      <x:c r="Q252" s="82" t="str"/>
      <x:c r="R252" s="82" t="str">
        <x:v>Mainline</x:v>
      </x:c>
      <x:c r="S252" s="82" t="str">
        <x:v>Incomum</x:v>
      </x:c>
      <x:c r="T252" s="82" t="str">
        <x:v>Lançado</x:v>
      </x:c>
      <x:c r="U252" s="82" t="str">
        <x:v>Base code(s): A24, A35</x:v>
      </x:c>
      <x:c r="V252" s="80" t="str">
        <x:v>Coleção principal (~1:64)</x:v>
      </x:c>
      <x:c r="W252" s="82" t="str">
        <x:v>https://hotwheels.fandom.com/wiki/Ferrari_FXX</x:v>
      </x:c>
      <x:c r="X252" s="82" t="str">
        <x:v>https://hotwheels.fandom.com/wiki/Ferrari_FXX</x:v>
      </x:c>
    </x:row>
    <x:row r="253">
      <x:c r="A253" s="80" t="str">
        <x:v>Não</x:v>
      </x:c>
      <x:c r="B253" s="80" t="str">
        <x:v>2 — Completar aos poucos</x:v>
      </x:c>
      <x:c r="C253" s="81" t="n">
        <x:v>2008</x:v>
      </x:c>
      <x:c r="D253" s="80" t="str">
        <x:v>Ferrari FXX</x:v>
      </x:c>
      <x:c r="E253" s="80" t="str">
        <x:v>Ferrari FXX</x:v>
      </x:c>
      <x:c r="F253" s="82" t="str">
        <x:v>2008 New Models / 33/40</x:v>
      </x:c>
      <x:c r="G253" s="80" t="str"/>
      <x:c r="H253" s="80" t="str">
        <x:v>033/196</x:v>
      </x:c>
      <x:c r="I253" s="83" t="str">
        <x:v>L9948</x:v>
      </x:c>
      <x:c r="J253" s="80" t="str">
        <x:v>Red</x:v>
      </x:c>
      <x:c r="K253" s="82" t="str">
        <x:v>Ferrari logo on hood, white stripe with black outline across top, "FXX" on rear spoiler</x:v>
      </x:c>
      <x:c r="L253" s="82" t="str">
        <x:v>PR5</x:v>
      </x:c>
      <x:c r="M253" s="82" t="str">
        <x:v>Black / / / Plastic</x:v>
      </x:c>
      <x:c r="N253" s="82" t="str">
        <x:v>Clear</x:v>
      </x:c>
      <x:c r="O253" s="82" t="str">
        <x:v>Gray</x:v>
      </x:c>
      <x:c r="P253" s="82" t="str">
        <x:v>Malaysia</x:v>
      </x:c>
      <x:c r="Q253" s="82" t="str"/>
      <x:c r="R253" s="82" t="str">
        <x:v>Mainline</x:v>
      </x:c>
      <x:c r="S253" s="82" t="str">
        <x:v>Incomum</x:v>
      </x:c>
      <x:c r="T253" s="82" t="str">
        <x:v>Lançado</x:v>
      </x:c>
      <x:c r="U253" s="82" t="str">
        <x:v>Base code(s):</x:v>
      </x:c>
      <x:c r="V253" s="80" t="str">
        <x:v>Coleção principal (~1:64)</x:v>
      </x:c>
      <x:c r="W253" s="82" t="str">
        <x:v>https://hotwheels.fandom.com/wiki/Ferrari_FXX</x:v>
      </x:c>
      <x:c r="X253" s="82" t="str">
        <x:v>https://hotwheels.fandom.com/wiki/Ferrari_FXX</x:v>
      </x:c>
    </x:row>
    <x:row r="254">
      <x:c r="A254" s="80" t="str">
        <x:v>Não</x:v>
      </x:c>
      <x:c r="B254" s="80" t="str">
        <x:v>2 — Completar aos poucos</x:v>
      </x:c>
      <x:c r="C254" s="81" t="n">
        <x:v>2007</x:v>
      </x:c>
      <x:c r="D254" s="80" t="str">
        <x:v>Enzo Ferrari ('Tooned)</x:v>
      </x:c>
      <x:c r="E254" s="80" t="str">
        <x:v>Enzo Ferrari</x:v>
      </x:c>
      <x:c r="F254" s="82" t="str">
        <x:v>Easter Eggs-Treme 5-Pack</x:v>
      </x:c>
      <x:c r="G254" s="80" t="str"/>
      <x:c r="H254" s="80" t="str"/>
      <x:c r="I254" s="83" t="str">
        <x:v>J7099</x:v>
      </x:c>
      <x:c r="J254" s="80" t="str">
        <x:v>Dark Red</x:v>
      </x:c>
      <x:c r="K254" s="82" t="str">
        <x:v>Red, White, &amp; Green stripes on top</x:v>
      </x:c>
      <x:c r="L254" s="82" t="str">
        <x:v>5SP</x:v>
      </x:c>
      <x:c r="M254" s="82" t="str">
        <x:v>Black / / / Plastic</x:v>
      </x:c>
      <x:c r="N254" s="82" t="str">
        <x:v>Black</x:v>
      </x:c>
      <x:c r="O254" s="82" t="str">
        <x:v>Black</x:v>
      </x:c>
      <x:c r="P254" s="82" t="str">
        <x:v>Thailand</x:v>
      </x:c>
      <x:c r="Q254" s="82" t="str"/>
      <x:c r="R254" s="82" t="str">
        <x:v>Temática / multipack</x:v>
      </x:c>
      <x:c r="S254" s="82" t="str">
        <x:v>Incomum</x:v>
      </x:c>
      <x:c r="T254" s="82" t="str">
        <x:v>Lançado</x:v>
      </x:c>
      <x:c r="U254" s="82" t="str"/>
      <x:c r="V254" s="80" t="str">
        <x:v>Coleção principal (~1:64)</x:v>
      </x:c>
      <x:c r="W254" s="82" t="str">
        <x:v>https://hotwheels.fandom.com/wiki/Enzo_Ferrari_(%27Tooned)</x:v>
      </x:c>
      <x:c r="X254" s="82" t="str">
        <x:v>https://hotwheels.fandom.com/wiki/Enzo_Ferrari_(%27Tooned)</x:v>
      </x:c>
    </x:row>
    <x:row r="255">
      <x:c r="A255" s="80" t="str">
        <x:v>Não</x:v>
      </x:c>
      <x:c r="B255" s="80" t="str">
        <x:v>2 — Completar aos poucos</x:v>
      </x:c>
      <x:c r="C255" s="81" t="n">
        <x:v>2007</x:v>
      </x:c>
      <x:c r="D255" s="80" t="str">
        <x:v>Ferrari 156</x:v>
      </x:c>
      <x:c r="E255" s="80" t="str">
        <x:v>Ferrari 156</x:v>
      </x:c>
      <x:c r="F255" s="82" t="str">
        <x:v>Ferrari 5-Pack</x:v>
      </x:c>
      <x:c r="G255" s="80" t="str"/>
      <x:c r="H255" s="80" t="str"/>
      <x:c r="I255" s="83" t="str">
        <x:v>L8244</x:v>
      </x:c>
      <x:c r="J255" s="80" t="str">
        <x:v>Blue</x:v>
      </x:c>
      <x:c r="K255" s="82" t="str">
        <x:v>"07"</x:v>
      </x:c>
      <x:c r="L255" s="82" t="str">
        <x:v>Gold SK5</x:v>
      </x:c>
      <x:c r="M255" s="82" t="str">
        <x:v>Unpainted / / / Metal</x:v>
      </x:c>
      <x:c r="N255" s="82" t="str">
        <x:v>Clear</x:v>
      </x:c>
      <x:c r="O255" s="82" t="str">
        <x:v>Unpainted / / / Metal</x:v>
      </x:c>
      <x:c r="P255" s="82" t="str">
        <x:v>China</x:v>
      </x:c>
      <x:c r="Q255" s="82" t="str"/>
      <x:c r="R255" s="82" t="str">
        <x:v>Temática / multipack</x:v>
      </x:c>
      <x:c r="S255" s="82" t="str">
        <x:v>Incomum</x:v>
      </x:c>
      <x:c r="T255" s="82" t="str">
        <x:v>Lançado</x:v>
      </x:c>
      <x:c r="U255" s="82" t="str">
        <x:v>Replaces Ferrari 360 Modena in certain 5-Packs</x:v>
      </x:c>
      <x:c r="V255" s="80" t="str">
        <x:v>Coleção principal (~1:64)</x:v>
      </x:c>
      <x:c r="W255" s="82" t="str">
        <x:v>https://hotwheels.fandom.com/wiki/Ferrari_156</x:v>
      </x:c>
      <x:c r="X255" s="82" t="str">
        <x:v>https://hotwheels.fandom.com/wiki/Ferrari_156</x:v>
      </x:c>
    </x:row>
    <x:row r="256">
      <x:c r="A256" s="80" t="str">
        <x:v>Não</x:v>
      </x:c>
      <x:c r="B256" s="80" t="str">
        <x:v>2 — Completar aos poucos</x:v>
      </x:c>
      <x:c r="C256" s="81" t="n">
        <x:v>2007</x:v>
      </x:c>
      <x:c r="D256" s="80" t="str">
        <x:v>Ferrari 156</x:v>
      </x:c>
      <x:c r="E256" s="80" t="str">
        <x:v>Ferrari 156</x:v>
      </x:c>
      <x:c r="F256" s="82" t="str">
        <x:v>Ferrari 5-Pack</x:v>
      </x:c>
      <x:c r="G256" s="80" t="str"/>
      <x:c r="H256" s="80" t="str"/>
      <x:c r="I256" s="83" t="str">
        <x:v>L8243</x:v>
      </x:c>
      <x:c r="J256" s="80" t="str">
        <x:v>Red</x:v>
      </x:c>
      <x:c r="K256" s="82" t="str">
        <x:v>"07"</x:v>
      </x:c>
      <x:c r="L256" s="82" t="str">
        <x:v>Gold SK5</x:v>
      </x:c>
      <x:c r="M256" s="82" t="str">
        <x:v>Unpainted / / / Metal</x:v>
      </x:c>
      <x:c r="N256" s="82" t="str">
        <x:v>Clear</x:v>
      </x:c>
      <x:c r="O256" s="82" t="str">
        <x:v>Unpainted / / / Metal</x:v>
      </x:c>
      <x:c r="P256" s="82" t="str">
        <x:v>China</x:v>
      </x:c>
      <x:c r="Q256" s="82" t="str"/>
      <x:c r="R256" s="82" t="str">
        <x:v>Temática / multipack</x:v>
      </x:c>
      <x:c r="S256" s="82" t="str">
        <x:v>Incomum</x:v>
      </x:c>
      <x:c r="T256" s="82" t="str">
        <x:v>Lançado</x:v>
      </x:c>
      <x:c r="U256" s="82" t="str">
        <x:v>Replaces Ferrari 360 Modena in certain 5-Packs</x:v>
      </x:c>
      <x:c r="V256" s="80" t="str">
        <x:v>Coleção principal (~1:64)</x:v>
      </x:c>
      <x:c r="W256" s="82" t="str">
        <x:v>https://hotwheels.fandom.com/wiki/Ferrari_156</x:v>
      </x:c>
      <x:c r="X256" s="82" t="str">
        <x:v>https://hotwheels.fandom.com/wiki/Ferrari_156</x:v>
      </x:c>
    </x:row>
    <x:row r="257">
      <x:c r="A257" s="80" t="str">
        <x:v>Não</x:v>
      </x:c>
      <x:c r="B257" s="80" t="str">
        <x:v>2 — Completar aos poucos</x:v>
      </x:c>
      <x:c r="C257" s="81" t="n">
        <x:v>2007</x:v>
      </x:c>
      <x:c r="D257" s="80" t="str">
        <x:v>Ferrari 250</x:v>
      </x:c>
      <x:c r="E257" s="80" t="str">
        <x:v>Ferrari 250</x:v>
      </x:c>
      <x:c r="F257" s="82" t="str">
        <x:v>Ferrari Racer / 1/24</x:v>
      </x:c>
      <x:c r="G257" s="80" t="str"/>
      <x:c r="H257" s="80" t="str"/>
      <x:c r="I257" s="83" t="str">
        <x:v>M4716</x:v>
      </x:c>
      <x:c r="J257" s="80" t="str">
        <x:v>Yellow</x:v>
      </x:c>
      <x:c r="K257" s="82" t="str">
        <x:v>Black Stripes, Black on White "01" on Hood and Sides</x:v>
      </x:c>
      <x:c r="L257" s="82" t="str">
        <x:v>Gray Hub, Red Rim CM6</x:v>
      </x:c>
      <x:c r="M257" s="82" t="str">
        <x:v>Yellow / / / Plastic</x:v>
      </x:c>
      <x:c r="N257" s="82" t="str">
        <x:v>Clear</x:v>
      </x:c>
      <x:c r="O257" s="82" t="str">
        <x:v>Chrome</x:v>
      </x:c>
      <x:c r="P257" s="82" t="str">
        <x:v>Malaysia</x:v>
      </x:c>
      <x:c r="Q257" s="82" t="str"/>
      <x:c r="R257" s="82" t="str">
        <x:v>Outra linha</x:v>
      </x:c>
      <x:c r="S257" s="82" t="str">
        <x:v>Incomum</x:v>
      </x:c>
      <x:c r="T257" s="82" t="str">
        <x:v>Lançado</x:v>
      </x:c>
      <x:c r="U257" s="82" t="str"/>
      <x:c r="V257" s="80" t="str">
        <x:v>Coleção principal (~1:64)</x:v>
      </x:c>
      <x:c r="W257" s="82" t="str">
        <x:v>https://hotwheels.fandom.com/wiki/Ferrari_250</x:v>
      </x:c>
      <x:c r="X257" s="82" t="str">
        <x:v>https://hotwheels.fandom.com/wiki/Ferrari_250</x:v>
      </x:c>
    </x:row>
    <x:row r="258">
      <x:c r="A258" s="80" t="str">
        <x:v>Não</x:v>
      </x:c>
      <x:c r="B258" s="80" t="str">
        <x:v>2 — Completar aos poucos</x:v>
      </x:c>
      <x:c r="C258" s="81" t="n">
        <x:v>2007</x:v>
      </x:c>
      <x:c r="D258" s="80" t="str">
        <x:v>Ferrari 250</x:v>
      </x:c>
      <x:c r="E258" s="80" t="str">
        <x:v>Ferrari 250</x:v>
      </x:c>
      <x:c r="F258" s="82" t="str">
        <x:v>Ferrari Racer / 21/24</x:v>
      </x:c>
      <x:c r="G258" s="80" t="str"/>
      <x:c r="H258" s="80" t="str"/>
      <x:c r="I258" s="83" t="str">
        <x:v>M4736</x:v>
      </x:c>
      <x:c r="J258" s="80" t="str">
        <x:v>Metal Flake Blue-Gray</x:v>
      </x:c>
      <x:c r="K258" s="82" t="str">
        <x:v>Orange &amp; White Stripes, White on Black "42" on Hood &amp; Sides</x:v>
      </x:c>
      <x:c r="L258" s="82" t="str">
        <x:v>Gray Hub, Orange Rim CM6</x:v>
      </x:c>
      <x:c r="M258" s="82" t="str">
        <x:v>Light Blue / / / Plastic</x:v>
      </x:c>
      <x:c r="N258" s="82" t="str">
        <x:v>Tinted (Orange)</x:v>
      </x:c>
      <x:c r="O258" s="82" t="str">
        <x:v>Chrome</x:v>
      </x:c>
      <x:c r="P258" s="82" t="str">
        <x:v>Malaysia</x:v>
      </x:c>
      <x:c r="Q258" s="82" t="str"/>
      <x:c r="R258" s="82" t="str">
        <x:v>Outra linha</x:v>
      </x:c>
      <x:c r="S258" s="82" t="str">
        <x:v>Incomum</x:v>
      </x:c>
      <x:c r="T258" s="82" t="str">
        <x:v>Lançado</x:v>
      </x:c>
      <x:c r="U258" s="82" t="str"/>
      <x:c r="V258" s="80" t="str">
        <x:v>Coleção principal (~1:64)</x:v>
      </x:c>
      <x:c r="W258" s="82" t="str">
        <x:v>https://hotwheels.fandom.com/wiki/Ferrari_250</x:v>
      </x:c>
      <x:c r="X258" s="82" t="str">
        <x:v>https://hotwheels.fandom.com/wiki/Ferrari_250</x:v>
      </x:c>
    </x:row>
    <x:row r="259">
      <x:c r="A259" s="80" t="str">
        <x:v>Não</x:v>
      </x:c>
      <x:c r="B259" s="80" t="str">
        <x:v>2 — Completar aos poucos</x:v>
      </x:c>
      <x:c r="C259" s="81" t="n">
        <x:v>2007</x:v>
      </x:c>
      <x:c r="D259" s="80" t="str">
        <x:v>Ferrari 250 GTO (100%)</x:v>
      </x:c>
      <x:c r="E259" s="80" t="str">
        <x:v>Ferrari 250 GTO</x:v>
      </x:c>
      <x:c r="F259" s="82" t="str">
        <x:v>Nuremberg Toy Fair</x:v>
      </x:c>
      <x:c r="G259" s="80" t="str"/>
      <x:c r="H259" s="80" t="str"/>
      <x:c r="I259" s="83" t="str"/>
      <x:c r="J259" s="80" t="str">
        <x:v>Red</x:v>
      </x:c>
      <x:c r="K259" s="82" t="str">
        <x:v>Taillights and trim</x:v>
      </x:c>
      <x:c r="L259" s="82" t="str">
        <x:v>RR</x:v>
      </x:c>
      <x:c r="M259" s="82" t="str">
        <x:v>Black / / / Metal</x:v>
      </x:c>
      <x:c r="N259" s="82" t="str">
        <x:v>Clear</x:v>
      </x:c>
      <x:c r="O259" s="82" t="str">
        <x:v>Black with red seats</x:v>
      </x:c>
      <x:c r="P259" s="82" t="str">
        <x:v>China</x:v>
      </x:c>
      <x:c r="Q259" s="82" t="str"/>
      <x:c r="R259" s="82" t="str">
        <x:v>Outra linha</x:v>
      </x:c>
      <x:c r="S259" s="82" t="str">
        <x:v>Incomum</x:v>
      </x:c>
      <x:c r="T259" s="82" t="str">
        <x:v>Lançado</x:v>
      </x:c>
      <x:c r="U259" s="82" t="str"/>
      <x:c r="V259" s="80" t="str">
        <x:v>Coleção principal (~1:64)</x:v>
      </x:c>
      <x:c r="W259" s="82" t="str">
        <x:v>https://hotwheels.fandom.com/wiki/Ferrari_250_GTO_(100%25)</x:v>
      </x:c>
      <x:c r="X259" s="82" t="str">
        <x:v>https://hotwheels.fandom.com/wiki/Ferrari_250_GTO_(100%25)</x:v>
      </x:c>
    </x:row>
    <x:row r="260">
      <x:c r="A260" s="80" t="str">
        <x:v>Não</x:v>
      </x:c>
      <x:c r="B260" s="80" t="str">
        <x:v>2 — Completar aos poucos</x:v>
      </x:c>
      <x:c r="C260" s="81" t="n">
        <x:v>2007</x:v>
      </x:c>
      <x:c r="D260" s="80" t="str">
        <x:v>Ferrari 250 LM</x:v>
      </x:c>
      <x:c r="E260" s="80" t="str">
        <x:v>Ferrari 250 LM</x:v>
      </x:c>
      <x:c r="F260" s="82" t="str">
        <x:v>2007 New Models / 23/36</x:v>
      </x:c>
      <x:c r="G260" s="80" t="str"/>
      <x:c r="H260" s="80" t="str">
        <x:v>023/180</x:v>
      </x:c>
      <x:c r="I260" s="83" t="str">
        <x:v>K6155</x:v>
      </x:c>
      <x:c r="J260" s="80" t="str">
        <x:v>Metalflake Powder Blue</x:v>
      </x:c>
      <x:c r="K260" s="82" t="str">
        <x:v>Black &amp; White tampos w/ '21' on sides &amp; hood, Ferrari logo on sides</x:v>
      </x:c>
      <x:c r="L260" s="82" t="str">
        <x:v>10SP</x:v>
      </x:c>
      <x:c r="M260" s="82" t="str">
        <x:v>Chrome / / / Plastic</x:v>
      </x:c>
      <x:c r="N260" s="82" t="str">
        <x:v>Clear</x:v>
      </x:c>
      <x:c r="O260" s="82" t="str">
        <x:v>Black</x:v>
      </x:c>
      <x:c r="P260" s="82" t="str">
        <x:v>Malaysia</x:v>
      </x:c>
      <x:c r="Q260" s="82" t="str"/>
      <x:c r="R260" s="82" t="str">
        <x:v>Mainline</x:v>
      </x:c>
      <x:c r="S260" s="82" t="str">
        <x:v>Incomum</x:v>
      </x:c>
      <x:c r="T260" s="82" t="str">
        <x:v>Lançado</x:v>
      </x:c>
      <x:c r="U260" s="82" t="str">
        <x:v>Base code(s):</x:v>
      </x:c>
      <x:c r="V260" s="80" t="str">
        <x:v>Coleção principal (~1:64)</x:v>
      </x:c>
      <x:c r="W260" s="82" t="str">
        <x:v>https://hotwheels.fandom.com/wiki/Ferrari_250_LM</x:v>
      </x:c>
      <x:c r="X260" s="82" t="str">
        <x:v>https://hotwheels.fandom.com/wiki/Ferrari_250_LM</x:v>
      </x:c>
    </x:row>
    <x:row r="261">
      <x:c r="A261" s="80" t="str">
        <x:v>Não</x:v>
      </x:c>
      <x:c r="B261" s="80" t="str">
        <x:v>2 — Completar aos poucos</x:v>
      </x:c>
      <x:c r="C261" s="81" t="n">
        <x:v>2007</x:v>
      </x:c>
      <x:c r="D261" s="80" t="str">
        <x:v>Ferrari 250 LM</x:v>
      </x:c>
      <x:c r="E261" s="80" t="str">
        <x:v>Ferrari 250 LM</x:v>
      </x:c>
      <x:c r="F261" s="82" t="str">
        <x:v>2007 New Models / 23/36</x:v>
      </x:c>
      <x:c r="G261" s="80" t="str"/>
      <x:c r="H261" s="80" t="str">
        <x:v>023/180</x:v>
      </x:c>
      <x:c r="I261" s="83" t="str">
        <x:v>K6155</x:v>
      </x:c>
      <x:c r="J261" s="80" t="str">
        <x:v>Metalflake Powder Blue</x:v>
      </x:c>
      <x:c r="K261" s="82" t="str">
        <x:v>White Gumball with Black "21" on Doors and Hood. Ferrari Badge on Sides</x:v>
      </x:c>
      <x:c r="L261" s="82" t="str">
        <x:v>OH5</x:v>
      </x:c>
      <x:c r="M261" s="82" t="str">
        <x:v>Chrome / / / Plastic</x:v>
      </x:c>
      <x:c r="N261" s="82" t="str">
        <x:v>Clear</x:v>
      </x:c>
      <x:c r="O261" s="82" t="str">
        <x:v>Black</x:v>
      </x:c>
      <x:c r="P261" s="82" t="str">
        <x:v>Malaysia</x:v>
      </x:c>
      <x:c r="Q261" s="82" t="str"/>
      <x:c r="R261" s="82" t="str">
        <x:v>Mainline</x:v>
      </x:c>
      <x:c r="S261" s="82" t="str">
        <x:v>Incomum</x:v>
      </x:c>
      <x:c r="T261" s="82" t="str">
        <x:v>Lançado</x:v>
      </x:c>
      <x:c r="U261" s="82" t="str">
        <x:v>Base code(s):</x:v>
      </x:c>
      <x:c r="V261" s="80" t="str">
        <x:v>Coleção principal (~1:64)</x:v>
      </x:c>
      <x:c r="W261" s="82" t="str">
        <x:v>https://hotwheels.fandom.com/wiki/Ferrari_250_LM</x:v>
      </x:c>
      <x:c r="X261" s="82" t="str">
        <x:v>https://hotwheels.fandom.com/wiki/Ferrari_250_LM</x:v>
      </x:c>
    </x:row>
    <x:row r="262">
      <x:c r="A262" s="80" t="str">
        <x:v>Não</x:v>
      </x:c>
      <x:c r="B262" s="80" t="str">
        <x:v>2 — Completar aos poucos</x:v>
      </x:c>
      <x:c r="C262" s="81" t="n">
        <x:v>2007</x:v>
      </x:c>
      <x:c r="D262" s="80" t="str">
        <x:v>Ferrari 250 LM</x:v>
      </x:c>
      <x:c r="E262" s="80" t="str">
        <x:v>Ferrari 250 LM</x:v>
      </x:c>
      <x:c r="F262" s="82" t="str">
        <x:v>2007 New Models / 23/36</x:v>
      </x:c>
      <x:c r="G262" s="80" t="str"/>
      <x:c r="H262" s="80" t="str">
        <x:v>023/180</x:v>
      </x:c>
      <x:c r="I262" s="83" t="str">
        <x:v>K6155</x:v>
      </x:c>
      <x:c r="J262" s="80" t="str">
        <x:v>Red</x:v>
      </x:c>
      <x:c r="K262" s="82" t="str">
        <x:v>Black, White, &amp; Yellow tampos w/ '21' on sides &amp; hood, Ferrari logo on sides</x:v>
      </x:c>
      <x:c r="L262" s="82" t="str">
        <x:v>WSP</x:v>
      </x:c>
      <x:c r="M262" s="82" t="str">
        <x:v>Chrome / / / Plastic</x:v>
      </x:c>
      <x:c r="N262" s="82" t="str">
        <x:v>Clear</x:v>
      </x:c>
      <x:c r="O262" s="82" t="str">
        <x:v>Grey</x:v>
      </x:c>
      <x:c r="P262" s="82" t="str">
        <x:v>Malaysia</x:v>
      </x:c>
      <x:c r="Q262" s="82" t="str"/>
      <x:c r="R262" s="82" t="str">
        <x:v>Mainline</x:v>
      </x:c>
      <x:c r="S262" s="82" t="str">
        <x:v>Incomum</x:v>
      </x:c>
      <x:c r="T262" s="82" t="str">
        <x:v>Lançado</x:v>
      </x:c>
      <x:c r="U262" s="82" t="str">
        <x:v>Base code(s):</x:v>
      </x:c>
      <x:c r="V262" s="80" t="str">
        <x:v>Coleção principal (~1:64)</x:v>
      </x:c>
      <x:c r="W262" s="82" t="str">
        <x:v>https://hotwheels.fandom.com/wiki/Ferrari_250_LM</x:v>
      </x:c>
      <x:c r="X262" s="82" t="str">
        <x:v>https://hotwheels.fandom.com/wiki/Ferrari_250_LM</x:v>
      </x:c>
    </x:row>
    <x:row r="263">
      <x:c r="A263" s="80" t="str">
        <x:v>Não</x:v>
      </x:c>
      <x:c r="B263" s="80" t="str">
        <x:v>2 — Completar aos poucos</x:v>
      </x:c>
      <x:c r="C263" s="81" t="n">
        <x:v>2007</x:v>
      </x:c>
      <x:c r="D263" s="80" t="str">
        <x:v>Ferrari 250 LM</x:v>
      </x:c>
      <x:c r="E263" s="80" t="str">
        <x:v>Ferrari 250 LM</x:v>
      </x:c>
      <x:c r="F263" s="82" t="str">
        <x:v>2007 New Models / 23/36</x:v>
      </x:c>
      <x:c r="G263" s="80" t="str"/>
      <x:c r="H263" s="80" t="str">
        <x:v>023/180</x:v>
      </x:c>
      <x:c r="I263" s="83" t="str">
        <x:v>K6155</x:v>
      </x:c>
      <x:c r="J263" s="80" t="str">
        <x:v>Yellow</x:v>
      </x:c>
      <x:c r="K263" s="82" t="str">
        <x:v>White Gumball with Black "21" on Doors and Hood. Ferrari Badge on Sides</x:v>
      </x:c>
      <x:c r="L263" s="82" t="str">
        <x:v>WSP</x:v>
      </x:c>
      <x:c r="M263" s="82" t="str">
        <x:v>Chrome / / / Plastic</x:v>
      </x:c>
      <x:c r="N263" s="82" t="str">
        <x:v>Clear</x:v>
      </x:c>
      <x:c r="O263" s="82" t="str">
        <x:v>Black</x:v>
      </x:c>
      <x:c r="P263" s="82" t="str">
        <x:v>Malaysia</x:v>
      </x:c>
      <x:c r="Q263" s="82" t="str"/>
      <x:c r="R263" s="82" t="str">
        <x:v>Mainline</x:v>
      </x:c>
      <x:c r="S263" s="82" t="str">
        <x:v>Incomum</x:v>
      </x:c>
      <x:c r="T263" s="82" t="str">
        <x:v>Lançado</x:v>
      </x:c>
      <x:c r="U263" s="82" t="str">
        <x:v>Base code(s):</x:v>
      </x:c>
      <x:c r="V263" s="80" t="str">
        <x:v>Coleção principal (~1:64)</x:v>
      </x:c>
      <x:c r="W263" s="82" t="str">
        <x:v>https://hotwheels.fandom.com/wiki/Ferrari_250_LM</x:v>
      </x:c>
      <x:c r="X263" s="82" t="str">
        <x:v>https://hotwheels.fandom.com/wiki/Ferrari_250_LM</x:v>
      </x:c>
    </x:row>
    <x:row r="264">
      <x:c r="A264" s="80" t="str">
        <x:v>Não</x:v>
      </x:c>
      <x:c r="B264" s="80" t="str">
        <x:v>2 — Completar aos poucos</x:v>
      </x:c>
      <x:c r="C264" s="81" t="n">
        <x:v>2007</x:v>
      </x:c>
      <x:c r="D264" s="80" t="str">
        <x:v>Ferrari 330 P4</x:v>
      </x:c>
      <x:c r="E264" s="80" t="str">
        <x:v>Ferrari 330 P4</x:v>
      </x:c>
      <x:c r="F264" s="82" t="str">
        <x:v>Ferrari 5-Pack</x:v>
      </x:c>
      <x:c r="G264" s="80" t="str"/>
      <x:c r="H264" s="80" t="str"/>
      <x:c r="I264" s="83" t="str">
        <x:v>L8243</x:v>
      </x:c>
      <x:c r="J264" s="80" t="str">
        <x:v>Metallic Red</x:v>
      </x:c>
      <x:c r="K264" s="82" t="str">
        <x:v>"07" number</x:v>
      </x:c>
      <x:c r="L264" s="82" t="str">
        <x:v>Chrome 5SP</x:v>
      </x:c>
      <x:c r="M264" s="82" t="str">
        <x:v>Chrome</x:v>
      </x:c>
      <x:c r="N264" s="82" t="str">
        <x:v>Clear</x:v>
      </x:c>
      <x:c r="O264" s="82" t="str">
        <x:v>Chrome</x:v>
      </x:c>
      <x:c r="P264" s="82" t="str">
        <x:v>Thailand</x:v>
      </x:c>
      <x:c r="Q264" s="82" t="str"/>
      <x:c r="R264" s="82" t="str">
        <x:v>Temática / multipack</x:v>
      </x:c>
      <x:c r="S264" s="82" t="str">
        <x:v>Incomum</x:v>
      </x:c>
      <x:c r="T264" s="82" t="str">
        <x:v>Lançado</x:v>
      </x:c>
      <x:c r="U264" s="82" t="str"/>
      <x:c r="V264" s="80" t="str">
        <x:v>Coleção principal (~1:64)</x:v>
      </x:c>
      <x:c r="W264" s="82" t="str">
        <x:v>https://hotwheels.fandom.com/wiki/Ferrari_330_P4</x:v>
      </x:c>
      <x:c r="X264" s="82" t="str">
        <x:v>https://hotwheels.fandom.com/wiki/Ferrari_330_P4</x:v>
      </x:c>
    </x:row>
    <x:row r="265">
      <x:c r="A265" s="80" t="str">
        <x:v>Não</x:v>
      </x:c>
      <x:c r="B265" s="80" t="str">
        <x:v>2 — Completar aos poucos</x:v>
      </x:c>
      <x:c r="C265" s="81" t="n">
        <x:v>2007</x:v>
      </x:c>
      <x:c r="D265" s="80" t="str">
        <x:v>Ferrari 330 P4</x:v>
      </x:c>
      <x:c r="E265" s="80" t="str">
        <x:v>Ferrari 330 P4</x:v>
      </x:c>
      <x:c r="F265" s="82" t="str">
        <x:v>Ferrari 5-Pack</x:v>
      </x:c>
      <x:c r="G265" s="80" t="str"/>
      <x:c r="H265" s="80" t="str"/>
      <x:c r="I265" s="83" t="str">
        <x:v>L8244</x:v>
      </x:c>
      <x:c r="J265" s="80" t="str">
        <x:v>Yellow</x:v>
      </x:c>
      <x:c r="K265" s="82" t="str">
        <x:v>"07" number</x:v>
      </x:c>
      <x:c r="L265" s="82" t="str">
        <x:v>Chrome 5SP</x:v>
      </x:c>
      <x:c r="M265" s="82" t="str">
        <x:v>Chrome</x:v>
      </x:c>
      <x:c r="N265" s="82" t="str">
        <x:v>Clear</x:v>
      </x:c>
      <x:c r="O265" s="82" t="str">
        <x:v>Chrome</x:v>
      </x:c>
      <x:c r="P265" s="82" t="str">
        <x:v>Thailand</x:v>
      </x:c>
      <x:c r="Q265" s="82" t="str"/>
      <x:c r="R265" s="82" t="str">
        <x:v>Temática / multipack</x:v>
      </x:c>
      <x:c r="S265" s="82" t="str">
        <x:v>Incomum</x:v>
      </x:c>
      <x:c r="T265" s="82" t="str">
        <x:v>Lançado</x:v>
      </x:c>
      <x:c r="U265" s="82" t="str"/>
      <x:c r="V265" s="80" t="str">
        <x:v>Coleção principal (~1:64)</x:v>
      </x:c>
      <x:c r="W265" s="82" t="str">
        <x:v>https://hotwheels.fandom.com/wiki/Ferrari_330_P4</x:v>
      </x:c>
      <x:c r="X265" s="82" t="str">
        <x:v>https://hotwheels.fandom.com/wiki/Ferrari_330_P4</x:v>
      </x:c>
    </x:row>
    <x:row r="266">
      <x:c r="A266" s="80" t="str">
        <x:v>Não</x:v>
      </x:c>
      <x:c r="B266" s="80" t="str">
        <x:v>2 — Completar aos poucos</x:v>
      </x:c>
      <x:c r="C266" s="81" t="n">
        <x:v>2007</x:v>
      </x:c>
      <x:c r="D266" s="80" t="str">
        <x:v>Ferrari 333 SP</x:v>
      </x:c>
      <x:c r="E266" s="80" t="str">
        <x:v>Ferrari 333 SP</x:v>
      </x:c>
      <x:c r="F266" s="82" t="str">
        <x:v>All Stars / 7/24</x:v>
      </x:c>
      <x:c r="G266" s="80" t="str"/>
      <x:c r="H266" s="80" t="str">
        <x:v>139/180</x:v>
      </x:c>
      <x:c r="I266" s="83" t="str">
        <x:v>L3092</x:v>
      </x:c>
      <x:c r="J266" s="80" t="str">
        <x:v>Flat Black</x:v>
      </x:c>
      <x:c r="K266" s="82" t="str">
        <x:v>"Ferrari" and Red and Silver flame tampos</x:v>
      </x:c>
      <x:c r="L266" s="82" t="str">
        <x:v>5SP</x:v>
      </x:c>
      <x:c r="M266" s="82" t="str">
        <x:v>Black / / / Plastic</x:v>
      </x:c>
      <x:c r="N266" s="82" t="str"/>
      <x:c r="O266" s="82" t="str">
        <x:v>Red</x:v>
      </x:c>
      <x:c r="P266" s="82" t="str">
        <x:v>Malaysia</x:v>
      </x:c>
      <x:c r="Q266" s="82" t="str"/>
      <x:c r="R266" s="82" t="str">
        <x:v>Mainline</x:v>
      </x:c>
      <x:c r="S266" s="82" t="str">
        <x:v>Incomum</x:v>
      </x:c>
      <x:c r="T266" s="82" t="str">
        <x:v>Lançado</x:v>
      </x:c>
      <x:c r="U266" s="82" t="str">
        <x:v>red base on short card</x:v>
      </x:c>
      <x:c r="V266" s="80" t="str">
        <x:v>Coleção principal (~1:64)</x:v>
      </x:c>
      <x:c r="W266" s="82" t="str">
        <x:v>https://hotwheels.fandom.com/wiki/Ferrari_333_SP</x:v>
      </x:c>
      <x:c r="X266" s="82" t="str">
        <x:v>https://hotwheels.fandom.com/wiki/Ferrari_333_SP</x:v>
      </x:c>
    </x:row>
    <x:row r="267">
      <x:c r="A267" s="80" t="str">
        <x:v>Não</x:v>
      </x:c>
      <x:c r="B267" s="80" t="str">
        <x:v>2 — Completar aos poucos</x:v>
      </x:c>
      <x:c r="C267" s="81" t="n">
        <x:v>2007</x:v>
      </x:c>
      <x:c r="D267" s="80" t="str">
        <x:v>Ferrari 333 SP</x:v>
      </x:c>
      <x:c r="E267" s="80" t="str">
        <x:v>Ferrari 333 SP</x:v>
      </x:c>
      <x:c r="F267" s="82" t="str">
        <x:v>All Stars / 7/24</x:v>
      </x:c>
      <x:c r="G267" s="80" t="str"/>
      <x:c r="H267" s="80" t="str">
        <x:v>139/180</x:v>
      </x:c>
      <x:c r="I267" s="83" t="str">
        <x:v>L3092</x:v>
      </x:c>
      <x:c r="J267" s="80" t="str">
        <x:v>Red</x:v>
      </x:c>
      <x:c r="K267" s="82" t="str">
        <x:v>"Ferrari" and Silver and White flame tampos</x:v>
      </x:c>
      <x:c r="L267" s="82" t="str">
        <x:v>White 5SP</x:v>
      </x:c>
      <x:c r="M267" s="82" t="str">
        <x:v>Black / / / Plastic</x:v>
      </x:c>
      <x:c r="N267" s="82" t="str"/>
      <x:c r="O267" s="82" t="str">
        <x:v>Black</x:v>
      </x:c>
      <x:c r="P267" s="82" t="str">
        <x:v>Malaysia</x:v>
      </x:c>
      <x:c r="Q267" s="82" t="str"/>
      <x:c r="R267" s="82" t="str">
        <x:v>Mainline</x:v>
      </x:c>
      <x:c r="S267" s="82" t="str">
        <x:v>Incomum</x:v>
      </x:c>
      <x:c r="T267" s="82" t="str">
        <x:v>Lançado</x:v>
      </x:c>
      <x:c r="U267" s="82" t="str"/>
      <x:c r="V267" s="80" t="str">
        <x:v>Coleção principal (~1:64)</x:v>
      </x:c>
      <x:c r="W267" s="82" t="str">
        <x:v>https://hotwheels.fandom.com/wiki/Ferrari_333_SP</x:v>
      </x:c>
      <x:c r="X267" s="82" t="str">
        <x:v>https://hotwheels.fandom.com/wiki/Ferrari_333_SP</x:v>
      </x:c>
    </x:row>
    <x:row r="268">
      <x:c r="A268" s="80" t="str">
        <x:v>Não</x:v>
      </x:c>
      <x:c r="B268" s="80" t="str">
        <x:v>2 — Completar aos poucos</x:v>
      </x:c>
      <x:c r="C268" s="81" t="n">
        <x:v>2007</x:v>
      </x:c>
      <x:c r="D268" s="80" t="str">
        <x:v>Ferrari 333 SP</x:v>
      </x:c>
      <x:c r="E268" s="80" t="str">
        <x:v>Ferrari 333 SP</x:v>
      </x:c>
      <x:c r="F268" s="82" t="str">
        <x:v>All Stars / 7/24</x:v>
      </x:c>
      <x:c r="G268" s="80" t="str"/>
      <x:c r="H268" s="80" t="str">
        <x:v>139/180</x:v>
      </x:c>
      <x:c r="I268" s="83" t="str">
        <x:v>L3092</x:v>
      </x:c>
      <x:c r="J268" s="80" t="str">
        <x:v>Yellow</x:v>
      </x:c>
      <x:c r="K268" s="82" t="str">
        <x:v>"Ferrari" and Black and Silver flame tampos</x:v>
      </x:c>
      <x:c r="L268" s="82" t="str">
        <x:v>White 5SP</x:v>
      </x:c>
      <x:c r="M268" s="82" t="str">
        <x:v>Black / / / Plastic</x:v>
      </x:c>
      <x:c r="N268" s="82" t="str"/>
      <x:c r="O268" s="82" t="str">
        <x:v>Black</x:v>
      </x:c>
      <x:c r="P268" s="82" t="str">
        <x:v>Malaysia</x:v>
      </x:c>
      <x:c r="Q268" s="82" t="str"/>
      <x:c r="R268" s="82" t="str">
        <x:v>Mainline</x:v>
      </x:c>
      <x:c r="S268" s="82" t="str">
        <x:v>Incomum</x:v>
      </x:c>
      <x:c r="T268" s="82" t="str">
        <x:v>Lançado</x:v>
      </x:c>
      <x:c r="U268" s="82" t="str"/>
      <x:c r="V268" s="80" t="str">
        <x:v>Coleção principal (~1:64)</x:v>
      </x:c>
      <x:c r="W268" s="82" t="str">
        <x:v>https://hotwheels.fandom.com/wiki/Ferrari_333_SP</x:v>
      </x:c>
      <x:c r="X268" s="82" t="str">
        <x:v>https://hotwheels.fandom.com/wiki/Ferrari_333_SP</x:v>
      </x:c>
    </x:row>
    <x:row r="269">
      <x:c r="A269" s="80" t="str">
        <x:v>Não</x:v>
      </x:c>
      <x:c r="B269" s="80" t="str">
        <x:v>2 — Completar aos poucos</x:v>
      </x:c>
      <x:c r="C269" s="81" t="n">
        <x:v>2007</x:v>
      </x:c>
      <x:c r="D269" s="80" t="str">
        <x:v>Ferrari 333 SP</x:v>
      </x:c>
      <x:c r="E269" s="80" t="str">
        <x:v>Ferrari 333 SP</x:v>
      </x:c>
      <x:c r="F269" s="82" t="str">
        <x:v>Ferrari Racer / 12/24</x:v>
      </x:c>
      <x:c r="G269" s="80" t="str"/>
      <x:c r="H269" s="80" t="str"/>
      <x:c r="I269" s="83" t="str">
        <x:v>M4727</x:v>
      </x:c>
      <x:c r="J269" s="80" t="str">
        <x:v>Metallic Dark Blue</x:v>
      </x:c>
      <x:c r="K269" s="82" t="str">
        <x:v>Yellow, light Blue &amp; White '3' on sides</x:v>
      </x:c>
      <x:c r="L269" s="82" t="str">
        <x:v>CM6</x:v>
      </x:c>
      <x:c r="M269" s="82" t="str">
        <x:v>Black / / / Plastic</x:v>
      </x:c>
      <x:c r="N269" s="82" t="str"/>
      <x:c r="O269" s="82" t="str">
        <x:v>Black</x:v>
      </x:c>
      <x:c r="P269" s="82" t="str">
        <x:v>Malaysia</x:v>
      </x:c>
      <x:c r="Q269" s="82" t="str"/>
      <x:c r="R269" s="82" t="str">
        <x:v>Outra linha</x:v>
      </x:c>
      <x:c r="S269" s="82" t="str">
        <x:v>Incomum</x:v>
      </x:c>
      <x:c r="T269" s="82" t="str">
        <x:v>Lançado</x:v>
      </x:c>
      <x:c r="U269" s="82" t="str"/>
      <x:c r="V269" s="80" t="str">
        <x:v>Coleção principal (~1:64)</x:v>
      </x:c>
      <x:c r="W269" s="82" t="str">
        <x:v>https://hotwheels.fandom.com/wiki/Ferrari_333_SP</x:v>
      </x:c>
      <x:c r="X269" s="82" t="str">
        <x:v>https://hotwheels.fandom.com/wiki/Ferrari_333_SP</x:v>
      </x:c>
    </x:row>
    <x:row r="270">
      <x:c r="A270" s="80" t="str">
        <x:v>Não</x:v>
      </x:c>
      <x:c r="B270" s="80" t="str">
        <x:v>2 — Completar aos poucos</x:v>
      </x:c>
      <x:c r="C270" s="81" t="n">
        <x:v>2007</x:v>
      </x:c>
      <x:c r="D270" s="80" t="str">
        <x:v>Ferrari 333 SP</x:v>
      </x:c>
      <x:c r="E270" s="80" t="str">
        <x:v>Ferrari 333 SP</x:v>
      </x:c>
      <x:c r="F270" s="82" t="str">
        <x:v>Ferrari Racer / 20/24</x:v>
      </x:c>
      <x:c r="G270" s="80" t="str"/>
      <x:c r="H270" s="80" t="str"/>
      <x:c r="I270" s="83" t="str">
        <x:v>M4735</x:v>
      </x:c>
      <x:c r="J270" s="80" t="str">
        <x:v>Satin Red</x:v>
      </x:c>
      <x:c r="K270" s="82" t="str">
        <x:v>Black "13" on side</x:v>
      </x:c>
      <x:c r="L270" s="82" t="str">
        <x:v>Yellow CM6</x:v>
      </x:c>
      <x:c r="M270" s="82" t="str">
        <x:v>Black / / / Plastic</x:v>
      </x:c>
      <x:c r="N270" s="82" t="str"/>
      <x:c r="O270" s="82" t="str">
        <x:v>Black</x:v>
      </x:c>
      <x:c r="P270" s="82" t="str">
        <x:v>Malaysia</x:v>
      </x:c>
      <x:c r="Q270" s="82" t="str"/>
      <x:c r="R270" s="82" t="str">
        <x:v>Outra linha</x:v>
      </x:c>
      <x:c r="S270" s="82" t="str">
        <x:v>Incomum</x:v>
      </x:c>
      <x:c r="T270" s="82" t="str">
        <x:v>Lançado</x:v>
      </x:c>
      <x:c r="U270" s="82" t="str"/>
      <x:c r="V270" s="80" t="str">
        <x:v>Coleção principal (~1:64)</x:v>
      </x:c>
      <x:c r="W270" s="82" t="str">
        <x:v>https://hotwheels.fandom.com/wiki/Ferrari_333_SP</x:v>
      </x:c>
      <x:c r="X270" s="82" t="str">
        <x:v>https://hotwheels.fandom.com/wiki/Ferrari_333_SP</x:v>
      </x:c>
    </x:row>
    <x:row r="271">
      <x:c r="A271" s="80" t="str">
        <x:v>Não</x:v>
      </x:c>
      <x:c r="B271" s="80" t="str">
        <x:v>2 — Completar aos poucos</x:v>
      </x:c>
      <x:c r="C271" s="81" t="n">
        <x:v>2007</x:v>
      </x:c>
      <x:c r="D271" s="80" t="str">
        <x:v>Ferrari 360 Modena</x:v>
      </x:c>
      <x:c r="E271" s="80" t="str">
        <x:v>Ferrari 360 Modena</x:v>
      </x:c>
      <x:c r="F271" s="82" t="str">
        <x:v>Ferrari 5-Pack</x:v>
      </x:c>
      <x:c r="G271" s="80" t="str"/>
      <x:c r="H271" s="80" t="str"/>
      <x:c r="I271" s="83" t="str">
        <x:v>L8243</x:v>
      </x:c>
      <x:c r="J271" s="80" t="str">
        <x:v>Black</x:v>
      </x:c>
      <x:c r="K271" s="82" t="str">
        <x:v>stripes across top</x:v>
      </x:c>
      <x:c r="L271" s="82" t="str">
        <x:v>PR5</x:v>
      </x:c>
      <x:c r="M271" s="82" t="str">
        <x:v>Black / / / Metal</x:v>
      </x:c>
      <x:c r="N271" s="82" t="str">
        <x:v>Clear</x:v>
      </x:c>
      <x:c r="O271" s="82" t="str">
        <x:v>Black</x:v>
      </x:c>
      <x:c r="P271" s="82" t="str">
        <x:v>China</x:v>
      </x:c>
      <x:c r="Q271" s="82" t="str"/>
      <x:c r="R271" s="82" t="str">
        <x:v>Temática / multipack</x:v>
      </x:c>
      <x:c r="S271" s="82" t="str">
        <x:v>Incomum</x:v>
      </x:c>
      <x:c r="T271" s="82" t="str">
        <x:v>Lançado</x:v>
      </x:c>
      <x:c r="U271" s="82" t="str"/>
      <x:c r="V271" s="80" t="str">
        <x:v>Coleção principal (~1:64)</x:v>
      </x:c>
      <x:c r="W271" s="82" t="str">
        <x:v>https://hotwheels.fandom.com/wiki/Ferrari_360_Modena</x:v>
      </x:c>
      <x:c r="X271" s="82" t="str">
        <x:v>https://hotwheels.fandom.com/wiki/Ferrari_360_Modena</x:v>
      </x:c>
    </x:row>
    <x:row r="272">
      <x:c r="A272" s="80" t="str">
        <x:v>Não</x:v>
      </x:c>
      <x:c r="B272" s="80" t="str">
        <x:v>2 — Completar aos poucos</x:v>
      </x:c>
      <x:c r="C272" s="81" t="n">
        <x:v>2007</x:v>
      </x:c>
      <x:c r="D272" s="80" t="str">
        <x:v>Ferrari 360 Modena</x:v>
      </x:c>
      <x:c r="E272" s="80" t="str">
        <x:v>Ferrari 360 Modena</x:v>
      </x:c>
      <x:c r="F272" s="82" t="str">
        <x:v>Ferrari 5-Pack</x:v>
      </x:c>
      <x:c r="G272" s="80" t="str"/>
      <x:c r="H272" s="80" t="str"/>
      <x:c r="I272" s="83" t="str">
        <x:v>L8244</x:v>
      </x:c>
      <x:c r="J272" s="80" t="str">
        <x:v>Metalic Burgundy</x:v>
      </x:c>
      <x:c r="K272" s="82" t="str">
        <x:v>White with Italian Flag Strip</x:v>
      </x:c>
      <x:c r="L272" s="82" t="str">
        <x:v>PR5</x:v>
      </x:c>
      <x:c r="M272" s="82" t="str">
        <x:v>Black / / / Metal</x:v>
      </x:c>
      <x:c r="N272" s="82" t="str">
        <x:v>Clear</x:v>
      </x:c>
      <x:c r="O272" s="82" t="str">
        <x:v>Black</x:v>
      </x:c>
      <x:c r="P272" s="82" t="str">
        <x:v>China</x:v>
      </x:c>
      <x:c r="Q272" s="82" t="str"/>
      <x:c r="R272" s="82" t="str">
        <x:v>Temática / multipack</x:v>
      </x:c>
      <x:c r="S272" s="82" t="str">
        <x:v>Incomum</x:v>
      </x:c>
      <x:c r="T272" s="82" t="str">
        <x:v>Lançado</x:v>
      </x:c>
      <x:c r="U272" s="82" t="str"/>
      <x:c r="V272" s="80" t="str">
        <x:v>Coleção principal (~1:64)</x:v>
      </x:c>
      <x:c r="W272" s="82" t="str">
        <x:v>https://hotwheels.fandom.com/wiki/Ferrari_360_Modena</x:v>
      </x:c>
      <x:c r="X272" s="82" t="str">
        <x:v>https://hotwheels.fandom.com/wiki/Ferrari_360_Modena</x:v>
      </x:c>
    </x:row>
    <x:row r="273">
      <x:c r="A273" s="80" t="str">
        <x:v>Não</x:v>
      </x:c>
      <x:c r="B273" s="80" t="str">
        <x:v>2 — Completar aos poucos</x:v>
      </x:c>
      <x:c r="C273" s="81" t="n">
        <x:v>2007</x:v>
      </x:c>
      <x:c r="D273" s="80" t="str">
        <x:v>Ferrari 360 Modena</x:v>
      </x:c>
      <x:c r="E273" s="80" t="str">
        <x:v>Ferrari 360 Modena</x:v>
      </x:c>
      <x:c r="F273" s="82" t="str">
        <x:v>Ferrari Racer / 10/24</x:v>
      </x:c>
      <x:c r="G273" s="80" t="str"/>
      <x:c r="H273" s="80" t="str"/>
      <x:c r="I273" s="83" t="str">
        <x:v>M4725</x:v>
      </x:c>
      <x:c r="J273" s="80" t="str">
        <x:v>Orange</x:v>
      </x:c>
      <x:c r="K273" s="82" t="str">
        <x:v>Silver, black. White n°"34" on side</x:v>
      </x:c>
      <x:c r="L273" s="82" t="str">
        <x:v>Grey CM6</x:v>
      </x:c>
      <x:c r="M273" s="82" t="str">
        <x:v>ZAMAC</x:v>
      </x:c>
      <x:c r="N273" s="82" t="str">
        <x:v>Clear</x:v>
      </x:c>
      <x:c r="O273" s="82" t="str">
        <x:v>Black</x:v>
      </x:c>
      <x:c r="P273" s="82" t="str">
        <x:v>Malaysia</x:v>
      </x:c>
      <x:c r="Q273" s="82" t="str"/>
      <x:c r="R273" s="82" t="str">
        <x:v>Outra linha</x:v>
      </x:c>
      <x:c r="S273" s="82" t="str">
        <x:v>Incomum</x:v>
      </x:c>
      <x:c r="T273" s="82" t="str">
        <x:v>Lançado</x:v>
      </x:c>
      <x:c r="U273" s="82" t="str"/>
      <x:c r="V273" s="80" t="str">
        <x:v>Coleção principal (~1:64)</x:v>
      </x:c>
      <x:c r="W273" s="82" t="str">
        <x:v>https://hotwheels.fandom.com/wiki/Ferrari_360_Modena</x:v>
      </x:c>
      <x:c r="X273" s="82" t="str">
        <x:v>https://hotwheels.fandom.com/wiki/Ferrari_360_Modena</x:v>
      </x:c>
    </x:row>
    <x:row r="274">
      <x:c r="A274" s="80" t="str">
        <x:v>Não</x:v>
      </x:c>
      <x:c r="B274" s="80" t="str">
        <x:v>2 — Completar aos poucos</x:v>
      </x:c>
      <x:c r="C274" s="81" t="n">
        <x:v>2007</x:v>
      </x:c>
      <x:c r="D274" s="80" t="str">
        <x:v>Ferrari 360 Modena</x:v>
      </x:c>
      <x:c r="E274" s="80" t="str">
        <x:v>Ferrari 360 Modena</x:v>
      </x:c>
      <x:c r="F274" s="82" t="str">
        <x:v>Ferrari Racer / 18/24</x:v>
      </x:c>
      <x:c r="G274" s="80" t="str"/>
      <x:c r="H274" s="80" t="str"/>
      <x:c r="I274" s="83" t="str">
        <x:v>M4733</x:v>
      </x:c>
      <x:c r="J274" s="80" t="str">
        <x:v>Yellow</x:v>
      </x:c>
      <x:c r="K274" s="82" t="str">
        <x:v>Red, White. Black n°"36" on side</x:v>
      </x:c>
      <x:c r="L274" s="82" t="str">
        <x:v>Grey CM6</x:v>
      </x:c>
      <x:c r="M274" s="82" t="str">
        <x:v>ZAMAC</x:v>
      </x:c>
      <x:c r="N274" s="82" t="str">
        <x:v>Clear</x:v>
      </x:c>
      <x:c r="O274" s="82" t="str">
        <x:v>Black</x:v>
      </x:c>
      <x:c r="P274" s="82" t="str">
        <x:v>Malaysia</x:v>
      </x:c>
      <x:c r="Q274" s="82" t="str"/>
      <x:c r="R274" s="82" t="str">
        <x:v>Outra linha</x:v>
      </x:c>
      <x:c r="S274" s="82" t="str">
        <x:v>Incomum</x:v>
      </x:c>
      <x:c r="T274" s="82" t="str">
        <x:v>Lançado</x:v>
      </x:c>
      <x:c r="U274" s="82" t="str"/>
      <x:c r="V274" s="80" t="str">
        <x:v>Coleção principal (~1:64)</x:v>
      </x:c>
      <x:c r="W274" s="82" t="str">
        <x:v>https://hotwheels.fandom.com/wiki/Ferrari_360_Modena</x:v>
      </x:c>
      <x:c r="X274" s="82" t="str">
        <x:v>https://hotwheels.fandom.com/wiki/Ferrari_360_Modena</x:v>
      </x:c>
    </x:row>
    <x:row r="275">
      <x:c r="A275" s="80" t="str">
        <x:v>Não</x:v>
      </x:c>
      <x:c r="B275" s="80" t="str">
        <x:v>2 — Completar aos poucos</x:v>
      </x:c>
      <x:c r="C275" s="81" t="n">
        <x:v>2007</x:v>
      </x:c>
      <x:c r="D275" s="80" t="str">
        <x:v>Ferrari 365 GTB/4</x:v>
      </x:c>
      <x:c r="E275" s="80" t="str">
        <x:v>Ferrari 365 GTB/4</x:v>
      </x:c>
      <x:c r="F275" s="82" t="str">
        <x:v>Ferrari Racer 60th Anniversary / 15/24</x:v>
      </x:c>
      <x:c r="G275" s="80" t="str"/>
      <x:c r="H275" s="80" t="str"/>
      <x:c r="I275" s="83" t="str">
        <x:v>M4730</x:v>
      </x:c>
      <x:c r="J275" s="80" t="str">
        <x:v>Red</x:v>
      </x:c>
      <x:c r="K275" s="82" t="str">
        <x:v>White stripes on hood &amp; "23"</x:v>
      </x:c>
      <x:c r="L275" s="82" t="str">
        <x:v>Gray CM6</x:v>
      </x:c>
      <x:c r="M275" s="82" t="str">
        <x:v>Unpainted / / / Metal</x:v>
      </x:c>
      <x:c r="N275" s="82" t="str">
        <x:v>Smoke</x:v>
      </x:c>
      <x:c r="O275" s="82" t="str">
        <x:v>Black</x:v>
      </x:c>
      <x:c r="P275" s="82" t="str">
        <x:v>Malaysia</x:v>
      </x:c>
      <x:c r="Q275" s="82" t="str"/>
      <x:c r="R275" s="82" t="str">
        <x:v>Outra linha</x:v>
      </x:c>
      <x:c r="S275" s="82" t="str">
        <x:v>Incomum</x:v>
      </x:c>
      <x:c r="T275" s="82" t="str">
        <x:v>Lançado</x:v>
      </x:c>
      <x:c r="U275" s="82" t="str"/>
      <x:c r="V275" s="80" t="str">
        <x:v>Coleção principal (~1:64)</x:v>
      </x:c>
      <x:c r="W275" s="82" t="str">
        <x:v>https://hotwheels.fandom.com/wiki/Ferrari_365_GTB/4</x:v>
      </x:c>
      <x:c r="X275" s="82" t="str">
        <x:v>https://hotwheels.fandom.com/wiki/Ferrari_365_GTB/4</x:v>
      </x:c>
    </x:row>
    <x:row r="276">
      <x:c r="A276" s="80" t="str">
        <x:v>Não</x:v>
      </x:c>
      <x:c r="B276" s="80" t="str">
        <x:v>2 — Completar aos poucos</x:v>
      </x:c>
      <x:c r="C276" s="81" t="n">
        <x:v>2007</x:v>
      </x:c>
      <x:c r="D276" s="80" t="str">
        <x:v>Ferrari 365 GTB/4</x:v>
      </x:c>
      <x:c r="E276" s="80" t="str">
        <x:v>Ferrari 365 GTB/4</x:v>
      </x:c>
      <x:c r="F276" s="82" t="str">
        <x:v>Ferrari Racer 60th Anniversary / 2/24</x:v>
      </x:c>
      <x:c r="G276" s="80" t="str"/>
      <x:c r="H276" s="80" t="str"/>
      <x:c r="I276" s="83" t="str">
        <x:v>M4717</x:v>
      </x:c>
      <x:c r="J276" s="80" t="str">
        <x:v>Metalflake Silver</x:v>
      </x:c>
      <x:c r="K276" s="82" t="str">
        <x:v>Black stripes, Shell logo and "23" on hood and sides, Brembo, Pirelli &amp; Alcoa sponsors and Scuderia Ferrari emblem on sides, Ferrari badge on nose</x:v>
      </x:c>
      <x:c r="L276" s="82" t="str">
        <x:v>Gray CM6</x:v>
      </x:c>
      <x:c r="M276" s="82" t="str">
        <x:v>Unpainted / / / Metal</x:v>
      </x:c>
      <x:c r="N276" s="82" t="str">
        <x:v>Clear</x:v>
      </x:c>
      <x:c r="O276" s="82" t="str">
        <x:v>Black</x:v>
      </x:c>
      <x:c r="P276" s="82" t="str">
        <x:v>Malaysia</x:v>
      </x:c>
      <x:c r="Q276" s="82" t="str"/>
      <x:c r="R276" s="82" t="str">
        <x:v>Outra linha</x:v>
      </x:c>
      <x:c r="S276" s="82" t="str">
        <x:v>Incomum</x:v>
      </x:c>
      <x:c r="T276" s="82" t="str">
        <x:v>Lançado</x:v>
      </x:c>
      <x:c r="U276" s="82" t="str"/>
      <x:c r="V276" s="80" t="str">
        <x:v>Coleção principal (~1:64)</x:v>
      </x:c>
      <x:c r="W276" s="82" t="str">
        <x:v>https://hotwheels.fandom.com/wiki/Ferrari_365_GTB/4</x:v>
      </x:c>
      <x:c r="X276" s="82" t="str">
        <x:v>https://hotwheels.fandom.com/wiki/Ferrari_365_GTB/4</x:v>
      </x:c>
    </x:row>
    <x:row r="277">
      <x:c r="A277" s="80" t="str">
        <x:v>Não</x:v>
      </x:c>
      <x:c r="B277" s="80" t="str">
        <x:v>2 — Completar aos poucos</x:v>
      </x:c>
      <x:c r="C277" s="81" t="n">
        <x:v>2007</x:v>
      </x:c>
      <x:c r="D277" s="80" t="str">
        <x:v>Ferrari 456M</x:v>
      </x:c>
      <x:c r="E277" s="80" t="str">
        <x:v>Ferrari 456M</x:v>
      </x:c>
      <x:c r="F277" s="82" t="str">
        <x:v>Ferrari Racer / 22/24</x:v>
      </x:c>
      <x:c r="G277" s="80" t="str"/>
      <x:c r="H277" s="80" t="str"/>
      <x:c r="I277" s="83" t="str">
        <x:v>M4737</x:v>
      </x:c>
      <x:c r="J277" s="80" t="str">
        <x:v>Red</x:v>
      </x:c>
      <x:c r="K277" s="82" t="str">
        <x:v>Ferrari logo and reacing decos con sides</x:v>
      </x:c>
      <x:c r="L277" s="82" t="str">
        <x:v>Red CM6</x:v>
      </x:c>
      <x:c r="M277" s="82" t="str">
        <x:v>Unpainted / / / Metal</x:v>
      </x:c>
      <x:c r="N277" s="82" t="str">
        <x:v>Black</x:v>
      </x:c>
      <x:c r="O277" s="82" t="str">
        <x:v>Clear</x:v>
      </x:c>
      <x:c r="P277" s="82" t="str">
        <x:v>Malaysia</x:v>
      </x:c>
      <x:c r="Q277" s="82" t="str"/>
      <x:c r="R277" s="82" t="str">
        <x:v>Outra linha</x:v>
      </x:c>
      <x:c r="S277" s="82" t="str">
        <x:v>Incomum</x:v>
      </x:c>
      <x:c r="T277" s="82" t="str">
        <x:v>Lançado</x:v>
      </x:c>
      <x:c r="U277" s="82" t="str"/>
      <x:c r="V277" s="80" t="str">
        <x:v>Coleção principal (~1:64)</x:v>
      </x:c>
      <x:c r="W277" s="82" t="str">
        <x:v>https://hotwheels.fandom.com/wiki/Ferrari_456M</x:v>
      </x:c>
      <x:c r="X277" s="82" t="str">
        <x:v>https://hotwheels.fandom.com/wiki/Ferrari_456M</x:v>
      </x:c>
    </x:row>
    <x:row r="278">
      <x:c r="A278" s="80" t="str">
        <x:v>Não</x:v>
      </x:c>
      <x:c r="B278" s="80" t="str">
        <x:v>2 — Completar aos poucos</x:v>
      </x:c>
      <x:c r="C278" s="81" t="n">
        <x:v>2007</x:v>
      </x:c>
      <x:c r="D278" s="80" t="str">
        <x:v>Ferrari 456M</x:v>
      </x:c>
      <x:c r="E278" s="80" t="str">
        <x:v>Ferrari 456M</x:v>
      </x:c>
      <x:c r="F278" s="82" t="str">
        <x:v>Ferrari Racer / 3/24</x:v>
      </x:c>
      <x:c r="G278" s="80" t="str"/>
      <x:c r="H278" s="80" t="str"/>
      <x:c r="I278" s="83" t="str">
        <x:v>M4718</x:v>
      </x:c>
      <x:c r="J278" s="80" t="str">
        <x:v>Satin Blue</x:v>
      </x:c>
      <x:c r="K278" s="82" t="str">
        <x:v>Ferrari Logo front, and "Ferrari" White rear</x:v>
      </x:c>
      <x:c r="L278" s="82" t="str">
        <x:v>Grey CM6</x:v>
      </x:c>
      <x:c r="M278" s="82" t="str">
        <x:v>Unpainted / / / Metal</x:v>
      </x:c>
      <x:c r="N278" s="82" t="str">
        <x:v>Blue</x:v>
      </x:c>
      <x:c r="O278" s="82" t="str">
        <x:v>Grey</x:v>
      </x:c>
      <x:c r="P278" s="82" t="str">
        <x:v>Malaysia</x:v>
      </x:c>
      <x:c r="Q278" s="82" t="str"/>
      <x:c r="R278" s="82" t="str">
        <x:v>Outra linha</x:v>
      </x:c>
      <x:c r="S278" s="82" t="str">
        <x:v>Incomum</x:v>
      </x:c>
      <x:c r="T278" s="82" t="str">
        <x:v>Lançado</x:v>
      </x:c>
      <x:c r="U278" s="82" t="str"/>
      <x:c r="V278" s="80" t="str">
        <x:v>Coleção principal (~1:64)</x:v>
      </x:c>
      <x:c r="W278" s="82" t="str">
        <x:v>https://hotwheels.fandom.com/wiki/Ferrari_456M</x:v>
      </x:c>
      <x:c r="X278" s="82" t="str">
        <x:v>https://hotwheels.fandom.com/wiki/Ferrari_456M</x:v>
      </x:c>
    </x:row>
    <x:row r="279">
      <x:c r="A279" s="80" t="str">
        <x:v>Não</x:v>
      </x:c>
      <x:c r="B279" s="80" t="str">
        <x:v>2 — Completar aos poucos</x:v>
      </x:c>
      <x:c r="C279" s="81" t="n">
        <x:v>2007</x:v>
      </x:c>
      <x:c r="D279" s="80" t="str">
        <x:v>Ferrari 512 M</x:v>
      </x:c>
      <x:c r="E279" s="80" t="str">
        <x:v>Ferrari 512 M</x:v>
      </x:c>
      <x:c r="F279" s="82" t="str">
        <x:v>Engine Revealers / 1/4</x:v>
      </x:c>
      <x:c r="G279" s="80" t="str"/>
      <x:c r="H279" s="80" t="str">
        <x:v>057/180</x:v>
      </x:c>
      <x:c r="I279" s="83" t="str">
        <x:v>K7574</x:v>
      </x:c>
      <x:c r="J279" s="80" t="str">
        <x:v>Metalflake Red-Orange</x:v>
      </x:c>
      <x:c r="K279" s="82" t="str">
        <x:v>Black, White &amp; Yellow tampos &amp; "4" on sides</x:v>
      </x:c>
      <x:c r="L279" s="82" t="str">
        <x:v>5SP</x:v>
      </x:c>
      <x:c r="M279" s="82" t="str">
        <x:v>Chrome / / / Plastic</x:v>
      </x:c>
      <x:c r="N279" s="82" t="str">
        <x:v>Clear</x:v>
      </x:c>
      <x:c r="O279" s="82" t="str">
        <x:v>Chrome</x:v>
      </x:c>
      <x:c r="P279" s="82" t="str">
        <x:v>Malaysia/Thailand</x:v>
      </x:c>
      <x:c r="Q279" s="82" t="str"/>
      <x:c r="R279" s="82" t="str">
        <x:v>Mainline</x:v>
      </x:c>
      <x:c r="S279" s="82" t="str">
        <x:v>Incomum</x:v>
      </x:c>
      <x:c r="T279" s="82" t="str">
        <x:v>Lançado</x:v>
      </x:c>
      <x:c r="U279" s="82" t="str"/>
      <x:c r="V279" s="80" t="str">
        <x:v>Coleção principal (~1:64)</x:v>
      </x:c>
      <x:c r="W279" s="82" t="str">
        <x:v>https://hotwheels.fandom.com/wiki/Ferrari_512_M</x:v>
      </x:c>
      <x:c r="X279" s="82" t="str">
        <x:v>https://hotwheels.fandom.com/wiki/Ferrari_512_M</x:v>
      </x:c>
    </x:row>
    <x:row r="280">
      <x:c r="A280" s="80" t="str">
        <x:v>Não</x:v>
      </x:c>
      <x:c r="B280" s="80" t="str">
        <x:v>2 — Completar aos poucos</x:v>
      </x:c>
      <x:c r="C280" s="81" t="n">
        <x:v>2007</x:v>
      </x:c>
      <x:c r="D280" s="80" t="str">
        <x:v>Ferrari 512 M</x:v>
      </x:c>
      <x:c r="E280" s="80" t="str">
        <x:v>Ferrari 512 M</x:v>
      </x:c>
      <x:c r="F280" s="82" t="str">
        <x:v>Engine Revealers / 1/4</x:v>
      </x:c>
      <x:c r="G280" s="80" t="str"/>
      <x:c r="H280" s="80" t="str">
        <x:v>057/180</x:v>
      </x:c>
      <x:c r="I280" s="83" t="str">
        <x:v>K7574</x:v>
      </x:c>
      <x:c r="J280" s="80" t="str">
        <x:v>Metalflake Red-Orange</x:v>
      </x:c>
      <x:c r="K280" s="82" t="str">
        <x:v>Black, White &amp; Yellow tampos &amp; "4" on sides</x:v>
      </x:c>
      <x:c r="L280" s="82" t="str">
        <x:v>PR5</x:v>
      </x:c>
      <x:c r="M280" s="82" t="str">
        <x:v>Chrome / / / Plastic</x:v>
      </x:c>
      <x:c r="N280" s="82" t="str">
        <x:v>Clear</x:v>
      </x:c>
      <x:c r="O280" s="82" t="str">
        <x:v>Chrome</x:v>
      </x:c>
      <x:c r="P280" s="82" t="str">
        <x:v>Malaysia</x:v>
      </x:c>
      <x:c r="Q280" s="82" t="str"/>
      <x:c r="R280" s="82" t="str">
        <x:v>Mainline</x:v>
      </x:c>
      <x:c r="S280" s="82" t="str">
        <x:v>Incomum</x:v>
      </x:c>
      <x:c r="T280" s="82" t="str">
        <x:v>Lançado</x:v>
      </x:c>
      <x:c r="U280" s="82" t="str"/>
      <x:c r="V280" s="80" t="str">
        <x:v>Coleção principal (~1:64)</x:v>
      </x:c>
      <x:c r="W280" s="82" t="str">
        <x:v>https://hotwheels.fandom.com/wiki/Ferrari_512_M</x:v>
      </x:c>
      <x:c r="X280" s="82" t="str">
        <x:v>https://hotwheels.fandom.com/wiki/Ferrari_512_M</x:v>
      </x:c>
    </x:row>
    <x:row r="281">
      <x:c r="A281" s="80" t="str">
        <x:v>Não</x:v>
      </x:c>
      <x:c r="B281" s="80" t="str">
        <x:v>2 — Completar aos poucos</x:v>
      </x:c>
      <x:c r="C281" s="81" t="n">
        <x:v>2007</x:v>
      </x:c>
      <x:c r="D281" s="80" t="str">
        <x:v>Ferrari 550 Maranello</x:v>
      </x:c>
      <x:c r="E281" s="80" t="str">
        <x:v>Ferrari 550 Maranello</x:v>
      </x:c>
      <x:c r="F281" s="82" t="str">
        <x:v>Ferrari 5-Pack</x:v>
      </x:c>
      <x:c r="G281" s="80" t="str"/>
      <x:c r="H281" s="80" t="str"/>
      <x:c r="I281" s="83" t="str">
        <x:v>L8243</x:v>
      </x:c>
      <x:c r="J281" s="80" t="str">
        <x:v>Black</x:v>
      </x:c>
      <x:c r="K281" s="82" t="str">
        <x:v>Ferrari logo on hood</x:v>
      </x:c>
      <x:c r="L281" s="82" t="str">
        <x:v>5SP</x:v>
      </x:c>
      <x:c r="M281" s="82" t="str">
        <x:v>Unpainted / / / Metal</x:v>
      </x:c>
      <x:c r="N281" s="82" t="str">
        <x:v>Clear</x:v>
      </x:c>
      <x:c r="O281" s="82" t="str">
        <x:v>Red</x:v>
      </x:c>
      <x:c r="P281" s="82" t="str">
        <x:v>China</x:v>
      </x:c>
      <x:c r="Q281" s="82" t="str"/>
      <x:c r="R281" s="82" t="str">
        <x:v>Temática / multipack</x:v>
      </x:c>
      <x:c r="S281" s="82" t="str">
        <x:v>Incomum</x:v>
      </x:c>
      <x:c r="T281" s="82" t="str">
        <x:v>Lançado</x:v>
      </x:c>
      <x:c r="U281" s="82" t="str"/>
      <x:c r="V281" s="80" t="str">
        <x:v>Coleção principal (~1:64)</x:v>
      </x:c>
      <x:c r="W281" s="82" t="str">
        <x:v>https://hotwheels.fandom.com/wiki/Ferrari_550_Maranello</x:v>
      </x:c>
      <x:c r="X281" s="82" t="str">
        <x:v>https://hotwheels.fandom.com/wiki/Ferrari_550_Maranello</x:v>
      </x:c>
    </x:row>
    <x:row r="282">
      <x:c r="A282" s="80" t="str">
        <x:v>Não</x:v>
      </x:c>
      <x:c r="B282" s="80" t="str">
        <x:v>2 — Completar aos poucos</x:v>
      </x:c>
      <x:c r="C282" s="81" t="n">
        <x:v>2007</x:v>
      </x:c>
      <x:c r="D282" s="80" t="str">
        <x:v>Ferrari 550 Maranello</x:v>
      </x:c>
      <x:c r="E282" s="80" t="str">
        <x:v>Ferrari 550 Maranello</x:v>
      </x:c>
      <x:c r="F282" s="82" t="str">
        <x:v>Ferrari 5-Pack</x:v>
      </x:c>
      <x:c r="G282" s="80" t="str"/>
      <x:c r="H282" s="80" t="str"/>
      <x:c r="I282" s="83" t="str">
        <x:v>L8244</x:v>
      </x:c>
      <x:c r="J282" s="80" t="str">
        <x:v>Silver</x:v>
      </x:c>
      <x:c r="K282" s="82" t="str">
        <x:v>Ferrari logo on hood</x:v>
      </x:c>
      <x:c r="L282" s="82" t="str">
        <x:v>Chrome 5SP</x:v>
      </x:c>
      <x:c r="M282" s="82" t="str">
        <x:v>Unpainted / / / metal</x:v>
      </x:c>
      <x:c r="N282" s="82" t="str">
        <x:v>Clear</x:v>
      </x:c>
      <x:c r="O282" s="82" t="str">
        <x:v>Black</x:v>
      </x:c>
      <x:c r="P282" s="82" t="str">
        <x:v>China</x:v>
      </x:c>
      <x:c r="Q282" s="82" t="str"/>
      <x:c r="R282" s="82" t="str">
        <x:v>Temática / multipack</x:v>
      </x:c>
      <x:c r="S282" s="82" t="str">
        <x:v>Incomum</x:v>
      </x:c>
      <x:c r="T282" s="82" t="str">
        <x:v>Lançado</x:v>
      </x:c>
      <x:c r="U282" s="82" t="str"/>
      <x:c r="V282" s="80" t="str">
        <x:v>Coleção principal (~1:64)</x:v>
      </x:c>
      <x:c r="W282" s="82" t="str">
        <x:v>https://hotwheels.fandom.com/wiki/Ferrari_550_Maranello</x:v>
      </x:c>
      <x:c r="X282" s="82" t="str">
        <x:v>https://hotwheels.fandom.com/wiki/Ferrari_550_Maranello</x:v>
      </x:c>
    </x:row>
    <x:row r="283">
      <x:c r="A283" s="80" t="str">
        <x:v>Não</x:v>
      </x:c>
      <x:c r="B283" s="80" t="str">
        <x:v>2 — Completar aos poucos</x:v>
      </x:c>
      <x:c r="C283" s="81" t="n">
        <x:v>2007</x:v>
      </x:c>
      <x:c r="D283" s="80" t="str">
        <x:v>Ferrari 550 Maranello</x:v>
      </x:c>
      <x:c r="E283" s="80" t="str">
        <x:v>Ferrari 550 Maranello</x:v>
      </x:c>
      <x:c r="F283" s="82" t="str">
        <x:v>Ferrari Service Center</x:v>
      </x:c>
      <x:c r="G283" s="80" t="str"/>
      <x:c r="H283" s="80" t="str"/>
      <x:c r="I283" s="83" t="str"/>
      <x:c r="J283" s="80" t="str">
        <x:v>Silver</x:v>
      </x:c>
      <x:c r="K283" s="82" t="str">
        <x:v>Ferrari logo on hood and tail lights</x:v>
      </x:c>
      <x:c r="L283" s="82" t="str">
        <x:v>5SP</x:v>
      </x:c>
      <x:c r="M283" s="82" t="str">
        <x:v>Unpainted / / / Metal</x:v>
      </x:c>
      <x:c r="N283" s="82" t="str">
        <x:v>Clear</x:v>
      </x:c>
      <x:c r="O283" s="82" t="str">
        <x:v>Black</x:v>
      </x:c>
      <x:c r="P283" s="82" t="str">
        <x:v>China</x:v>
      </x:c>
      <x:c r="Q283" s="82" t="str"/>
      <x:c r="R283" s="82" t="str">
        <x:v>Outra linha</x:v>
      </x:c>
      <x:c r="S283" s="82" t="str">
        <x:v>Incomum</x:v>
      </x:c>
      <x:c r="T283" s="82" t="str">
        <x:v>Lançado</x:v>
      </x:c>
      <x:c r="U283" s="82" t="str"/>
      <x:c r="V283" s="80" t="str">
        <x:v>Coleção principal (~1:64)</x:v>
      </x:c>
      <x:c r="W283" s="82" t="str">
        <x:v>https://hotwheels.fandom.com/wiki/Ferrari_550_Maranello</x:v>
      </x:c>
      <x:c r="X283" s="82" t="str">
        <x:v>https://hotwheels.fandom.com/wiki/Ferrari_550_Maranello</x:v>
      </x:c>
    </x:row>
    <x:row r="284">
      <x:c r="A284" s="80" t="str">
        <x:v>Não</x:v>
      </x:c>
      <x:c r="B284" s="80" t="str">
        <x:v>2 — Completar aos poucos</x:v>
      </x:c>
      <x:c r="C284" s="81" t="n">
        <x:v>2007</x:v>
      </x:c>
      <x:c r="D284" s="80" t="str">
        <x:v>Ferrari 575 GTC</x:v>
      </x:c>
      <x:c r="E284" s="80" t="str">
        <x:v>Ferrari 575 GTC</x:v>
      </x:c>
      <x:c r="F284" s="82" t="str">
        <x:v>Ferrari Racer / 16/24</x:v>
      </x:c>
      <x:c r="G284" s="80" t="str"/>
      <x:c r="H284" s="80" t="str"/>
      <x:c r="I284" s="83" t="str">
        <x:v>M4731</x:v>
      </x:c>
      <x:c r="J284" s="80" t="str">
        <x:v>Metalflake Silver</x:v>
      </x:c>
      <x:c r="K284" s="82" t="str">
        <x:v>Red sides &amp; hood, White lines, "57" on hood &amp; sides, "Brembo", "Pirelli" &amp; Ferrari logos on sides</x:v>
      </x:c>
      <x:c r="L284" s="82" t="str">
        <x:v>CM6</x:v>
      </x:c>
      <x:c r="M284" s="82" t="str">
        <x:v>Black / / / Metal</x:v>
      </x:c>
      <x:c r="N284" s="82" t="str">
        <x:v>Clear</x:v>
      </x:c>
      <x:c r="O284" s="82" t="str">
        <x:v>Grey</x:v>
      </x:c>
      <x:c r="P284" s="82" t="str">
        <x:v>Malaysia</x:v>
      </x:c>
      <x:c r="Q284" s="82" t="str"/>
      <x:c r="R284" s="82" t="str">
        <x:v>Outra linha</x:v>
      </x:c>
      <x:c r="S284" s="82" t="str">
        <x:v>Incomum</x:v>
      </x:c>
      <x:c r="T284" s="82" t="str">
        <x:v>Lançado</x:v>
      </x:c>
      <x:c r="U284" s="82" t="str"/>
      <x:c r="V284" s="80" t="str">
        <x:v>Coleção principal (~1:64)</x:v>
      </x:c>
      <x:c r="W284" s="82" t="str">
        <x:v>https://hotwheels.fandom.com/wiki/Ferrari_575_GTC</x:v>
      </x:c>
      <x:c r="X284" s="82" t="str">
        <x:v>https://hotwheels.fandom.com/wiki/Ferrari_575_GTC</x:v>
      </x:c>
    </x:row>
    <x:row r="285">
      <x:c r="A285" s="80" t="str">
        <x:v>Não</x:v>
      </x:c>
      <x:c r="B285" s="80" t="str">
        <x:v>2 — Completar aos poucos</x:v>
      </x:c>
      <x:c r="C285" s="81" t="n">
        <x:v>2007</x:v>
      </x:c>
      <x:c r="D285" s="80" t="str">
        <x:v>Ferrari 575 GTC</x:v>
      </x:c>
      <x:c r="E285" s="80" t="str">
        <x:v>Ferrari 575 GTC</x:v>
      </x:c>
      <x:c r="F285" s="82" t="str">
        <x:v>Ferrari Racer / 4/24</x:v>
      </x:c>
      <x:c r="G285" s="80" t="str"/>
      <x:c r="H285" s="80" t="str"/>
      <x:c r="I285" s="83" t="str">
        <x:v>M4719</x:v>
      </x:c>
      <x:c r="J285" s="80" t="str">
        <x:v>Satin Red</x:v>
      </x:c>
      <x:c r="K285" s="82" t="str">
        <x:v>Black &amp; White graphics, Ferrari &amp; Shell logos on sides, "63" on hood &amp; side</x:v>
      </x:c>
      <x:c r="L285" s="82" t="str">
        <x:v>Red rim, Grey CM6</x:v>
      </x:c>
      <x:c r="M285" s="82" t="str">
        <x:v>Black / / / Plastic</x:v>
      </x:c>
      <x:c r="N285" s="82" t="str">
        <x:v>Dark Tinted</x:v>
      </x:c>
      <x:c r="O285" s="82" t="str">
        <x:v>Black</x:v>
      </x:c>
      <x:c r="P285" s="82" t="str">
        <x:v>Malaysia</x:v>
      </x:c>
      <x:c r="Q285" s="82" t="str"/>
      <x:c r="R285" s="82" t="str">
        <x:v>Outra linha</x:v>
      </x:c>
      <x:c r="S285" s="82" t="str">
        <x:v>Incomum</x:v>
      </x:c>
      <x:c r="T285" s="82" t="str">
        <x:v>Lançado</x:v>
      </x:c>
      <x:c r="U285" s="82" t="str"/>
      <x:c r="V285" s="80" t="str">
        <x:v>Coleção principal (~1:64)</x:v>
      </x:c>
      <x:c r="W285" s="82" t="str">
        <x:v>https://hotwheels.fandom.com/wiki/Ferrari_575_GTC</x:v>
      </x:c>
      <x:c r="X285" s="82" t="str">
        <x:v>https://hotwheels.fandom.com/wiki/Ferrari_575_GTC</x:v>
      </x:c>
    </x:row>
    <x:row r="286">
      <x:c r="A286" s="80" t="str">
        <x:v>Não</x:v>
      </x:c>
      <x:c r="B286" s="80" t="str">
        <x:v>2 — Completar aos poucos</x:v>
      </x:c>
      <x:c r="C286" s="81" t="n">
        <x:v>2007</x:v>
      </x:c>
      <x:c r="D286" s="80" t="str">
        <x:v>Ferrari 575 GTC</x:v>
      </x:c>
      <x:c r="E286" s="80" t="str">
        <x:v>Ferrari 575 GTC</x:v>
      </x:c>
      <x:c r="F286" s="82" t="str">
        <x:v>Roll-Up Raceway</x:v>
      </x:c>
      <x:c r="G286" s="80" t="str"/>
      <x:c r="H286" s="80" t="str"/>
      <x:c r="I286" s="83" t="str">
        <x:v>M2743</x:v>
      </x:c>
      <x:c r="J286" s="80" t="str">
        <x:v>Red</x:v>
      </x:c>
      <x:c r="K286" s="82" t="str">
        <x:v>Black hood, yellow stripes, "75" on hood &amp; sides, Hot Wheels &amp; Ferrari logos on sides</x:v>
      </x:c>
      <x:c r="L286" s="82" t="str">
        <x:v>PR5</x:v>
      </x:c>
      <x:c r="M286" s="82" t="str">
        <x:v>Unpainted / / / Metal</x:v>
      </x:c>
      <x:c r="N286" s="82" t="str">
        <x:v>Clear</x:v>
      </x:c>
      <x:c r="O286" s="82" t="str">
        <x:v>Grey</x:v>
      </x:c>
      <x:c r="P286" s="82" t="str">
        <x:v>Thailand</x:v>
      </x:c>
      <x:c r="Q286" s="82" t="str"/>
      <x:c r="R286" s="82" t="str">
        <x:v>Outra linha</x:v>
      </x:c>
      <x:c r="S286" s="82" t="str">
        <x:v>Incomum</x:v>
      </x:c>
      <x:c r="T286" s="82" t="str">
        <x:v>Lançado</x:v>
      </x:c>
      <x:c r="U286" s="82" t="str">
        <x:v>Base code(s): B12</x:v>
      </x:c>
      <x:c r="V286" s="80" t="str">
        <x:v>Coleção principal (~1:64)</x:v>
      </x:c>
      <x:c r="W286" s="82" t="str">
        <x:v>https://hotwheels.fandom.com/wiki/Ferrari_575_GTC</x:v>
      </x:c>
      <x:c r="X286" s="82" t="str">
        <x:v>https://hotwheels.fandom.com/wiki/Ferrari_575_GTC</x:v>
      </x:c>
    </x:row>
    <x:row r="287">
      <x:c r="A287" s="80" t="str">
        <x:v>Não</x:v>
      </x:c>
      <x:c r="B287" s="80" t="str">
        <x:v>2 — Completar aos poucos</x:v>
      </x:c>
      <x:c r="C287" s="81" t="n">
        <x:v>2007</x:v>
      </x:c>
      <x:c r="D287" s="80" t="str">
        <x:v>Ferrari 599 GTB Fiorano</x:v>
      </x:c>
      <x:c r="E287" s="80" t="str">
        <x:v>Ferrari 599 GTB Fiorano</x:v>
      </x:c>
      <x:c r="F287" s="82" t="str">
        <x:v>2007 New Models / 14/36</x:v>
      </x:c>
      <x:c r="G287" s="80" t="str"/>
      <x:c r="H287" s="80" t="str">
        <x:v>014/180</x:v>
      </x:c>
      <x:c r="I287" s="83" t="str">
        <x:v>K6146</x:v>
      </x:c>
      <x:c r="J287" s="80" t="str">
        <x:v>Black</x:v>
      </x:c>
      <x:c r="K287" s="82" t="str">
        <x:v>Ferrari logo on sides and hood</x:v>
      </x:c>
      <x:c r="L287" s="82" t="str">
        <x:v>PR5</x:v>
      </x:c>
      <x:c r="M287" s="82" t="str">
        <x:v>Black / / / Plastic</x:v>
      </x:c>
      <x:c r="N287" s="82" t="str">
        <x:v>Clear</x:v>
      </x:c>
      <x:c r="O287" s="82" t="str">
        <x:v>Light Gray</x:v>
      </x:c>
      <x:c r="P287" s="82" t="str">
        <x:v>Malaysia</x:v>
      </x:c>
      <x:c r="Q287" s="82" t="str"/>
      <x:c r="R287" s="82" t="str">
        <x:v>Mainline</x:v>
      </x:c>
      <x:c r="S287" s="82" t="str">
        <x:v>Incomum</x:v>
      </x:c>
      <x:c r="T287" s="82" t="str">
        <x:v>Lançado</x:v>
      </x:c>
      <x:c r="U287" s="82" t="str">
        <x:v>Named Ferrari 599 GTB</x:v>
      </x:c>
      <x:c r="V287" s="80" t="str">
        <x:v>Coleção principal (~1:64)</x:v>
      </x:c>
      <x:c r="W287" s="82" t="str">
        <x:v>https://hotwheels.fandom.com/wiki/Ferrari_599_GTB_Fiorano</x:v>
      </x:c>
      <x:c r="X287" s="82" t="str">
        <x:v>https://hotwheels.fandom.com/wiki/Ferrari_599_GTB_Fiorano</x:v>
      </x:c>
    </x:row>
    <x:row r="288">
      <x:c r="A288" s="80" t="str">
        <x:v>Não</x:v>
      </x:c>
      <x:c r="B288" s="80" t="str">
        <x:v>2 — Completar aos poucos</x:v>
      </x:c>
      <x:c r="C288" s="81" t="n">
        <x:v>2007</x:v>
      </x:c>
      <x:c r="D288" s="80" t="str">
        <x:v>Ferrari 599 GTB Fiorano</x:v>
      </x:c>
      <x:c r="E288" s="80" t="str">
        <x:v>Ferrari 599 GTB Fiorano</x:v>
      </x:c>
      <x:c r="F288" s="82" t="str">
        <x:v>2007 New Models / 14/36</x:v>
      </x:c>
      <x:c r="G288" s="80" t="str"/>
      <x:c r="H288" s="80" t="str">
        <x:v>014/180</x:v>
      </x:c>
      <x:c r="I288" s="83" t="str">
        <x:v>K6146</x:v>
      </x:c>
      <x:c r="J288" s="80" t="str">
        <x:v>Red</x:v>
      </x:c>
      <x:c r="K288" s="82" t="str">
        <x:v>Ferrari logo on sides and hood, missing Orange in headlights</x:v>
      </x:c>
      <x:c r="L288" s="82" t="str">
        <x:v>PR5</x:v>
      </x:c>
      <x:c r="M288" s="82" t="str">
        <x:v>Black / / / Plastic</x:v>
      </x:c>
      <x:c r="N288" s="82" t="str">
        <x:v>Clear</x:v>
      </x:c>
      <x:c r="O288" s="82" t="str">
        <x:v>Tan</x:v>
      </x:c>
      <x:c r="P288" s="82" t="str">
        <x:v>Malaysia</x:v>
      </x:c>
      <x:c r="Q288" s="82" t="str"/>
      <x:c r="R288" s="82" t="str">
        <x:v>Mainline</x:v>
      </x:c>
      <x:c r="S288" s="82" t="str">
        <x:v>Incomum</x:v>
      </x:c>
      <x:c r="T288" s="82" t="str">
        <x:v>Lançado</x:v>
      </x:c>
      <x:c r="U288" s="82" t="str">
        <x:v>Named Ferrari 599 GTB</x:v>
      </x:c>
      <x:c r="V288" s="80" t="str">
        <x:v>Coleção principal (~1:64)</x:v>
      </x:c>
      <x:c r="W288" s="82" t="str">
        <x:v>https://hotwheels.fandom.com/wiki/Ferrari_599_GTB_Fiorano</x:v>
      </x:c>
      <x:c r="X288" s="82" t="str">
        <x:v>https://hotwheels.fandom.com/wiki/Ferrari_599_GTB_Fiorano</x:v>
      </x:c>
    </x:row>
    <x:row r="289">
      <x:c r="A289" s="80" t="str">
        <x:v>Não</x:v>
      </x:c>
      <x:c r="B289" s="80" t="str">
        <x:v>2 — Completar aos poucos</x:v>
      </x:c>
      <x:c r="C289" s="81" t="n">
        <x:v>2007</x:v>
      </x:c>
      <x:c r="D289" s="80" t="str">
        <x:v>Ferrari 599 GTB Fiorano</x:v>
      </x:c>
      <x:c r="E289" s="80" t="str">
        <x:v>Ferrari 599 GTB Fiorano</x:v>
      </x:c>
      <x:c r="F289" s="82" t="str">
        <x:v>2007 New Models / 14/36</x:v>
      </x:c>
      <x:c r="G289" s="80" t="str"/>
      <x:c r="H289" s="80" t="str">
        <x:v>014/180</x:v>
      </x:c>
      <x:c r="I289" s="83" t="str">
        <x:v>K6146</x:v>
      </x:c>
      <x:c r="J289" s="80" t="str">
        <x:v>Yellow</x:v>
      </x:c>
      <x:c r="K289" s="82" t="str">
        <x:v>Ferrari logo on sides and hood</x:v>
      </x:c>
      <x:c r="L289" s="82" t="str">
        <x:v>PR5</x:v>
      </x:c>
      <x:c r="M289" s="82" t="str">
        <x:v>Black / / / Plastic</x:v>
      </x:c>
      <x:c r="N289" s="82" t="str">
        <x:v>Clear</x:v>
      </x:c>
      <x:c r="O289" s="82" t="str">
        <x:v>Black</x:v>
      </x:c>
      <x:c r="P289" s="82" t="str">
        <x:v>Malaysia</x:v>
      </x:c>
      <x:c r="Q289" s="82" t="str"/>
      <x:c r="R289" s="82" t="str">
        <x:v>Mainline</x:v>
      </x:c>
      <x:c r="S289" s="82" t="str">
        <x:v>Incomum</x:v>
      </x:c>
      <x:c r="T289" s="82" t="str">
        <x:v>Lançado</x:v>
      </x:c>
      <x:c r="U289" s="82" t="str">
        <x:v>Named Ferrari 599 GTB</x:v>
      </x:c>
      <x:c r="V289" s="80" t="str">
        <x:v>Coleção principal (~1:64)</x:v>
      </x:c>
      <x:c r="W289" s="82" t="str">
        <x:v>https://hotwheels.fandom.com/wiki/Ferrari_599_GTB_Fiorano</x:v>
      </x:c>
      <x:c r="X289" s="82" t="str">
        <x:v>https://hotwheels.fandom.com/wiki/Ferrari_599_GTB_Fiorano</x:v>
      </x:c>
    </x:row>
    <x:row r="290">
      <x:c r="A290" s="80" t="str">
        <x:v>Não</x:v>
      </x:c>
      <x:c r="B290" s="80" t="str">
        <x:v>2 — Completar aos poucos</x:v>
      </x:c>
      <x:c r="C290" s="81" t="n">
        <x:v>2007</x:v>
      </x:c>
      <x:c r="D290" s="80" t="str">
        <x:v>Ferrari F355 Challenge</x:v>
      </x:c>
      <x:c r="E290" s="80" t="str">
        <x:v>Ferrari F355 Challenge</x:v>
      </x:c>
      <x:c r="F290" s="82" t="str">
        <x:v>Ferrari Racer / 14/24</x:v>
      </x:c>
      <x:c r="G290" s="80" t="str"/>
      <x:c r="H290" s="80" t="str"/>
      <x:c r="I290" s="83" t="str">
        <x:v>M4729</x:v>
      </x:c>
      <x:c r="J290" s="80" t="str">
        <x:v>Yellow</x:v>
      </x:c>
      <x:c r="K290" s="82" t="str">
        <x:v>White, Black &amp; Red "Shell" on hood &amp; side, White "Ferrari" on front window</x:v>
      </x:c>
      <x:c r="L290" s="82" t="str">
        <x:v>Black CM6</x:v>
      </x:c>
      <x:c r="M290" s="82" t="str">
        <x:v>Unpainted / Metal</x:v>
      </x:c>
      <x:c r="N290" s="82" t="str">
        <x:v>yellow tint</x:v>
      </x:c>
      <x:c r="O290" s="82" t="str">
        <x:v>Black</x:v>
      </x:c>
      <x:c r="P290" s="82" t="str">
        <x:v>Malaysia</x:v>
      </x:c>
      <x:c r="Q290" s="82" t="str"/>
      <x:c r="R290" s="82" t="str">
        <x:v>Outra linha</x:v>
      </x:c>
      <x:c r="S290" s="82" t="str">
        <x:v>Incomum</x:v>
      </x:c>
      <x:c r="T290" s="82" t="str">
        <x:v>Lançado</x:v>
      </x:c>
      <x:c r="U290" s="82" t="str"/>
      <x:c r="V290" s="80" t="str">
        <x:v>Coleção principal (~1:64)</x:v>
      </x:c>
      <x:c r="W290" s="82" t="str">
        <x:v>https://hotwheels.fandom.com/wiki/Ferrari_F355_Challenge</x:v>
      </x:c>
      <x:c r="X290" s="82" t="str">
        <x:v>https://hotwheels.fandom.com/wiki/Ferrari_F355_Challenge</x:v>
      </x:c>
    </x:row>
    <x:row r="291">
      <x:c r="A291" s="80" t="str">
        <x:v>Não</x:v>
      </x:c>
      <x:c r="B291" s="80" t="str">
        <x:v>2 — Completar aos poucos</x:v>
      </x:c>
      <x:c r="C291" s="81" t="n">
        <x:v>2007</x:v>
      </x:c>
      <x:c r="D291" s="80" t="str">
        <x:v>Ferrari F355 Challenge</x:v>
      </x:c>
      <x:c r="E291" s="80" t="str">
        <x:v>Ferrari F355 Challenge</x:v>
      </x:c>
      <x:c r="F291" s="82" t="str">
        <x:v>Ferrari Racer / 7/24</x:v>
      </x:c>
      <x:c r="G291" s="80" t="str"/>
      <x:c r="H291" s="80" t="str"/>
      <x:c r="I291" s="83" t="str">
        <x:v>L9691</x:v>
      </x:c>
      <x:c r="J291" s="80" t="str">
        <x:v>Black</x:v>
      </x:c>
      <x:c r="K291" s="82" t="str">
        <x:v>"355", spider web &amp; shell logos on front &amp; sides</x:v>
      </x:c>
      <x:c r="L291" s="82" t="str">
        <x:v>Red CM6</x:v>
      </x:c>
      <x:c r="M291" s="82" t="str">
        <x:v>Unpainted / Metal</x:v>
      </x:c>
      <x:c r="N291" s="82" t="str">
        <x:v>Clear</x:v>
      </x:c>
      <x:c r="O291" s="82" t="str">
        <x:v>Red</x:v>
      </x:c>
      <x:c r="P291" s="82" t="str">
        <x:v>Malaysia</x:v>
      </x:c>
      <x:c r="Q291" s="82" t="str"/>
      <x:c r="R291" s="82" t="str">
        <x:v>Outra linha</x:v>
      </x:c>
      <x:c r="S291" s="82" t="str">
        <x:v>Incomum</x:v>
      </x:c>
      <x:c r="T291" s="82" t="str">
        <x:v>Lançado</x:v>
      </x:c>
      <x:c r="U291" s="82" t="str"/>
      <x:c r="V291" s="80" t="str">
        <x:v>Coleção principal (~1:64)</x:v>
      </x:c>
      <x:c r="W291" s="82" t="str">
        <x:v>https://hotwheels.fandom.com/wiki/Ferrari_F355_Challenge</x:v>
      </x:c>
      <x:c r="X291" s="82" t="str">
        <x:v>https://hotwheels.fandom.com/wiki/Ferrari_F355_Challenge</x:v>
      </x:c>
    </x:row>
    <x:row r="292">
      <x:c r="A292" s="80" t="str">
        <x:v>Não</x:v>
      </x:c>
      <x:c r="B292" s="80" t="str">
        <x:v>2 — Completar aos poucos</x:v>
      </x:c>
      <x:c r="C292" s="81" t="n">
        <x:v>2007</x:v>
      </x:c>
      <x:c r="D292" s="80" t="str">
        <x:v>Ferrari F355 Spider</x:v>
      </x:c>
      <x:c r="E292" s="80" t="str">
        <x:v>Ferrari F355 Spider</x:v>
      </x:c>
      <x:c r="F292" s="82" t="str">
        <x:v>Ferrari 5-Pack</x:v>
      </x:c>
      <x:c r="G292" s="80" t="str"/>
      <x:c r="H292" s="80" t="str"/>
      <x:c r="I292" s="83" t="str">
        <x:v>L8244</x:v>
      </x:c>
      <x:c r="J292" s="80" t="str">
        <x:v>Red</x:v>
      </x:c>
      <x:c r="K292" s="82" t="str">
        <x:v>Ferrari emblem</x:v>
      </x:c>
      <x:c r="L292" s="82" t="str">
        <x:v>5SP</x:v>
      </x:c>
      <x:c r="M292" s="82" t="str">
        <x:v>Unpainted / / / Metal</x:v>
      </x:c>
      <x:c r="N292" s="82" t="str">
        <x:v>Clear</x:v>
      </x:c>
      <x:c r="O292" s="82" t="str">
        <x:v>Grey</x:v>
      </x:c>
      <x:c r="P292" s="82" t="str">
        <x:v>China</x:v>
      </x:c>
      <x:c r="Q292" s="82" t="str"/>
      <x:c r="R292" s="82" t="str">
        <x:v>Temática / multipack</x:v>
      </x:c>
      <x:c r="S292" s="82" t="str">
        <x:v>Incomum</x:v>
      </x:c>
      <x:c r="T292" s="82" t="str">
        <x:v>Lançado</x:v>
      </x:c>
      <x:c r="U292" s="82" t="str"/>
      <x:c r="V292" s="80" t="str">
        <x:v>Coleção principal (~1:64)</x:v>
      </x:c>
      <x:c r="W292" s="82" t="str">
        <x:v>https://hotwheels.fandom.com/wiki/Ferrari_F355_Spider</x:v>
      </x:c>
      <x:c r="X292" s="82" t="str">
        <x:v>https://hotwheels.fandom.com/wiki/Ferrari_F355_Spider</x:v>
      </x:c>
    </x:row>
    <x:row r="293">
      <x:c r="A293" s="80" t="str">
        <x:v>Não</x:v>
      </x:c>
      <x:c r="B293" s="80" t="str">
        <x:v>2 — Completar aos poucos</x:v>
      </x:c>
      <x:c r="C293" s="81" t="n">
        <x:v>2007</x:v>
      </x:c>
      <x:c r="D293" s="80" t="str">
        <x:v>Ferrari F355 Spider</x:v>
      </x:c>
      <x:c r="E293" s="80" t="str">
        <x:v>Ferrari F355 Spider</x:v>
      </x:c>
      <x:c r="F293" s="82" t="str">
        <x:v>Ferrari 5-Pack</x:v>
      </x:c>
      <x:c r="G293" s="80" t="str"/>
      <x:c r="H293" s="80" t="str"/>
      <x:c r="I293" s="83" t="str">
        <x:v>L8243</x:v>
      </x:c>
      <x:c r="J293" s="80" t="str">
        <x:v>Yellow</x:v>
      </x:c>
      <x:c r="K293" s="82" t="str">
        <x:v>Ferrari logo on hood</x:v>
      </x:c>
      <x:c r="L293" s="82" t="str">
        <x:v>5SP</x:v>
      </x:c>
      <x:c r="M293" s="82" t="str">
        <x:v>ZAMAC</x:v>
      </x:c>
      <x:c r="N293" s="82" t="str">
        <x:v>Clear</x:v>
      </x:c>
      <x:c r="O293" s="82" t="str">
        <x:v>Beige</x:v>
      </x:c>
      <x:c r="P293" s="82" t="str">
        <x:v>China</x:v>
      </x:c>
      <x:c r="Q293" s="82" t="str"/>
      <x:c r="R293" s="82" t="str">
        <x:v>Temática / multipack</x:v>
      </x:c>
      <x:c r="S293" s="82" t="str">
        <x:v>Incomum</x:v>
      </x:c>
      <x:c r="T293" s="82" t="str">
        <x:v>Lançado</x:v>
      </x:c>
      <x:c r="U293" s="82" t="str"/>
      <x:c r="V293" s="80" t="str">
        <x:v>Coleção principal (~1:64)</x:v>
      </x:c>
      <x:c r="W293" s="82" t="str">
        <x:v>https://hotwheels.fandom.com/wiki/Ferrari_F355_Spider</x:v>
      </x:c>
      <x:c r="X293" s="82" t="str">
        <x:v>https://hotwheels.fandom.com/wiki/Ferrari_F355_Spider</x:v>
      </x:c>
    </x:row>
    <x:row r="294">
      <x:c r="A294" s="80" t="str">
        <x:v>Não</x:v>
      </x:c>
      <x:c r="B294" s="80" t="str">
        <x:v>2 — Completar aos poucos</x:v>
      </x:c>
      <x:c r="C294" s="81" t="n">
        <x:v>2007</x:v>
      </x:c>
      <x:c r="D294" s="80" t="str">
        <x:v>Ferrari F40</x:v>
      </x:c>
      <x:c r="E294" s="80" t="str">
        <x:v>Ferrari F40</x:v>
      </x:c>
      <x:c r="F294" s="82" t="str">
        <x:v>Ferrari Racer / 23/24</x:v>
      </x:c>
      <x:c r="G294" s="80" t="str"/>
      <x:c r="H294" s="80" t="str"/>
      <x:c r="I294" s="83" t="str">
        <x:v>M3682</x:v>
      </x:c>
      <x:c r="J294" s="80" t="str">
        <x:v>White</x:v>
      </x:c>
      <x:c r="K294" s="82" t="str">
        <x:v>Blue with 2 little silver stripes</x:v>
      </x:c>
      <x:c r="L294" s="82" t="str">
        <x:v>Black CM6</x:v>
      </x:c>
      <x:c r="M294" s="82" t="str">
        <x:v>ZAMAC</x:v>
      </x:c>
      <x:c r="N294" s="82" t="str">
        <x:v>Smoke tint</x:v>
      </x:c>
      <x:c r="O294" s="82" t="str">
        <x:v>Grey</x:v>
      </x:c>
      <x:c r="P294" s="82" t="str">
        <x:v>Malaysia</x:v>
      </x:c>
      <x:c r="Q294" s="82" t="str"/>
      <x:c r="R294" s="82" t="str">
        <x:v>Outra linha</x:v>
      </x:c>
      <x:c r="S294" s="82" t="str">
        <x:v>Incomum</x:v>
      </x:c>
      <x:c r="T294" s="82" t="str">
        <x:v>Lançado</x:v>
      </x:c>
      <x:c r="U294" s="82" t="str"/>
      <x:c r="V294" s="80" t="str">
        <x:v>Coleção principal (~1:64)</x:v>
      </x:c>
      <x:c r="W294" s="82" t="str">
        <x:v>https://hotwheels.fandom.com/wiki/Ferrari_F40</x:v>
      </x:c>
      <x:c r="X294" s="82" t="str">
        <x:v>https://hotwheels.fandom.com/wiki/Ferrari_F40</x:v>
      </x:c>
    </x:row>
    <x:row r="295">
      <x:c r="A295" s="80" t="str">
        <x:v>Não</x:v>
      </x:c>
      <x:c r="B295" s="80" t="str">
        <x:v>2 — Completar aos poucos</x:v>
      </x:c>
      <x:c r="C295" s="81" t="n">
        <x:v>2007</x:v>
      </x:c>
      <x:c r="D295" s="80" t="str">
        <x:v>Ferrari F40</x:v>
      </x:c>
      <x:c r="E295" s="80" t="str">
        <x:v>Ferrari F40</x:v>
      </x:c>
      <x:c r="F295" s="82" t="str">
        <x:v>Ferrari Racer / 5/24</x:v>
      </x:c>
      <x:c r="G295" s="80" t="str"/>
      <x:c r="H295" s="80" t="str"/>
      <x:c r="I295" s="83" t="str">
        <x:v>M4720</x:v>
      </x:c>
      <x:c r="J295" s="80" t="str">
        <x:v>Red</x:v>
      </x:c>
      <x:c r="K295" s="82" t="str">
        <x:v>Shell logo on sides, "8" on sides &amp; hood</x:v>
      </x:c>
      <x:c r="L295" s="82" t="str">
        <x:v>CM6</x:v>
      </x:c>
      <x:c r="M295" s="82" t="str">
        <x:v>ZAMAC</x:v>
      </x:c>
      <x:c r="N295" s="82" t="str">
        <x:v>Blue tint</x:v>
      </x:c>
      <x:c r="O295" s="82" t="str">
        <x:v>Black</x:v>
      </x:c>
      <x:c r="P295" s="82" t="str">
        <x:v>Malaysia</x:v>
      </x:c>
      <x:c r="Q295" s="82" t="str"/>
      <x:c r="R295" s="82" t="str">
        <x:v>Outra linha</x:v>
      </x:c>
      <x:c r="S295" s="82" t="str">
        <x:v>Incomum</x:v>
      </x:c>
      <x:c r="T295" s="82" t="str">
        <x:v>Lançado</x:v>
      </x:c>
      <x:c r="U295" s="82" t="str"/>
      <x:c r="V295" s="80" t="str">
        <x:v>Coleção principal (~1:64)</x:v>
      </x:c>
      <x:c r="W295" s="82" t="str">
        <x:v>https://hotwheels.fandom.com/wiki/Ferrari_F40</x:v>
      </x:c>
      <x:c r="X295" s="82" t="str">
        <x:v>https://hotwheels.fandom.com/wiki/Ferrari_F40</x:v>
      </x:c>
    </x:row>
    <x:row r="296">
      <x:c r="A296" s="80" t="str">
        <x:v>Não</x:v>
      </x:c>
      <x:c r="B296" s="80" t="str">
        <x:v>2 — Completar aos poucos</x:v>
      </x:c>
      <x:c r="C296" s="81" t="n">
        <x:v>2007</x:v>
      </x:c>
      <x:c r="D296" s="80" t="str">
        <x:v>Ferrari F430 Spider</x:v>
      </x:c>
      <x:c r="E296" s="80" t="str">
        <x:v>Ferrari F430 Spider</x:v>
      </x:c>
      <x:c r="F296" s="82" t="str">
        <x:v>Ferrari 5-Pack</x:v>
      </x:c>
      <x:c r="G296" s="80" t="str"/>
      <x:c r="H296" s="80" t="str"/>
      <x:c r="I296" s="83" t="str">
        <x:v>8244</x:v>
      </x:c>
      <x:c r="J296" s="80" t="str">
        <x:v>Metallic Gray</x:v>
      </x:c>
      <x:c r="K296" s="82" t="str">
        <x:v>Ferrari Logo on Side and Hood</x:v>
      </x:c>
      <x:c r="L296" s="82" t="str">
        <x:v>PR5</x:v>
      </x:c>
      <x:c r="M296" s="82" t="str">
        <x:v>Chrome / / / Plastic</x:v>
      </x:c>
      <x:c r="N296" s="82" t="str">
        <x:v>Clear</x:v>
      </x:c>
      <x:c r="O296" s="82" t="str">
        <x:v>Red</x:v>
      </x:c>
      <x:c r="P296" s="82" t="str">
        <x:v>China</x:v>
      </x:c>
      <x:c r="Q296" s="82" t="str"/>
      <x:c r="R296" s="82" t="str">
        <x:v>Temática / multipack</x:v>
      </x:c>
      <x:c r="S296" s="82" t="str">
        <x:v>Incomum</x:v>
      </x:c>
      <x:c r="T296" s="82" t="str">
        <x:v>Lançado</x:v>
      </x:c>
      <x:c r="U296" s="82" t="str">
        <x:v>Released in the American Version of 5-Pack</x:v>
      </x:c>
      <x:c r="V296" s="80" t="str">
        <x:v>Coleção principal (~1:64)</x:v>
      </x:c>
      <x:c r="W296" s="82" t="str">
        <x:v>https://hotwheels.fandom.com/wiki/Ferrari_F430_Spider</x:v>
      </x:c>
      <x:c r="X296" s="82" t="str">
        <x:v>https://hotwheels.fandom.com/wiki/Ferrari_F430_Spider</x:v>
      </x:c>
    </x:row>
    <x:row r="297">
      <x:c r="A297" s="80" t="str">
        <x:v>Não</x:v>
      </x:c>
      <x:c r="B297" s="80" t="str">
        <x:v>2 — Completar aos poucos</x:v>
      </x:c>
      <x:c r="C297" s="81" t="n">
        <x:v>2007</x:v>
      </x:c>
      <x:c r="D297" s="80" t="str">
        <x:v>Ferrari F430 Spider</x:v>
      </x:c>
      <x:c r="E297" s="80" t="str">
        <x:v>Ferrari F430 Spider</x:v>
      </x:c>
      <x:c r="F297" s="82" t="str">
        <x:v>Ferrari 5-Pack</x:v>
      </x:c>
      <x:c r="G297" s="80" t="str"/>
      <x:c r="H297" s="80" t="str"/>
      <x:c r="I297" s="83" t="str">
        <x:v>4269</x:v>
      </x:c>
      <x:c r="J297" s="80" t="str">
        <x:v>Silver</x:v>
      </x:c>
      <x:c r="K297" s="82" t="str">
        <x:v>Ferrari Logo on Side and Hood</x:v>
      </x:c>
      <x:c r="L297" s="82" t="str">
        <x:v>PR5</x:v>
      </x:c>
      <x:c r="M297" s="82" t="str">
        <x:v>Chrome / / / Plastic</x:v>
      </x:c>
      <x:c r="N297" s="82" t="str">
        <x:v>Clear</x:v>
      </x:c>
      <x:c r="O297" s="82" t="str">
        <x:v>Black</x:v>
      </x:c>
      <x:c r="P297" s="82" t="str">
        <x:v>China</x:v>
      </x:c>
      <x:c r="Q297" s="82" t="str"/>
      <x:c r="R297" s="82" t="str">
        <x:v>Temática / multipack</x:v>
      </x:c>
      <x:c r="S297" s="82" t="str">
        <x:v>Incomum</x:v>
      </x:c>
      <x:c r="T297" s="82" t="str">
        <x:v>Lançado</x:v>
      </x:c>
      <x:c r="U297" s="82" t="str">
        <x:v>Released in the International Version of 5-Pack</x:v>
      </x:c>
      <x:c r="V297" s="80" t="str">
        <x:v>Coleção principal (~1:64)</x:v>
      </x:c>
      <x:c r="W297" s="82" t="str">
        <x:v>https://hotwheels.fandom.com/wiki/Ferrari_F430_Spider</x:v>
      </x:c>
      <x:c r="X297" s="82" t="str">
        <x:v>https://hotwheels.fandom.com/wiki/Ferrari_F430_Spider</x:v>
      </x:c>
    </x:row>
    <x:row r="298">
      <x:c r="A298" s="80" t="str">
        <x:v>Não</x:v>
      </x:c>
      <x:c r="B298" s="80" t="str">
        <x:v>2 — Completar aos poucos</x:v>
      </x:c>
      <x:c r="C298" s="81" t="n">
        <x:v>2007</x:v>
      </x:c>
      <x:c r="D298" s="80" t="str">
        <x:v>Ferrari F430 Spider</x:v>
      </x:c>
      <x:c r="E298" s="80" t="str">
        <x:v>Ferrari F430 Spider</x:v>
      </x:c>
      <x:c r="F298" s="82" t="str">
        <x:v>Ferrari Racer / 8/24</x:v>
      </x:c>
      <x:c r="G298" s="80" t="str"/>
      <x:c r="H298" s="80" t="str"/>
      <x:c r="I298" s="83" t="str">
        <x:v>M4723</x:v>
      </x:c>
      <x:c r="J298" s="80" t="str">
        <x:v>Matte Black</x:v>
      </x:c>
      <x:c r="K298" s="82" t="str">
        <x:v>Ferrari Logo on Hood, 2 Red Racing stripes</x:v>
      </x:c>
      <x:c r="L298" s="82" t="str">
        <x:v>Red rim, Gray CM6</x:v>
      </x:c>
      <x:c r="M298" s="82" t="str">
        <x:v>Chrome / / / Plastic</x:v>
      </x:c>
      <x:c r="N298" s="82" t="str">
        <x:v>Clear</x:v>
      </x:c>
      <x:c r="O298" s="82" t="str">
        <x:v>Red</x:v>
      </x:c>
      <x:c r="P298" s="82" t="str">
        <x:v>Malaysia</x:v>
      </x:c>
      <x:c r="Q298" s="82" t="str"/>
      <x:c r="R298" s="82" t="str">
        <x:v>Outra linha</x:v>
      </x:c>
      <x:c r="S298" s="82" t="str">
        <x:v>Incomum</x:v>
      </x:c>
      <x:c r="T298" s="82" t="str">
        <x:v>Lançado</x:v>
      </x:c>
      <x:c r="U298" s="82" t="str"/>
      <x:c r="V298" s="80" t="str">
        <x:v>Coleção principal (~1:64)</x:v>
      </x:c>
      <x:c r="W298" s="82" t="str">
        <x:v>https://hotwheels.fandom.com/wiki/Ferrari_F430_Spider</x:v>
      </x:c>
      <x:c r="X298" s="82" t="str">
        <x:v>https://hotwheels.fandom.com/wiki/Ferrari_F430_Spider</x:v>
      </x:c>
    </x:row>
    <x:row r="299">
      <x:c r="A299" s="80" t="str">
        <x:v>Não</x:v>
      </x:c>
      <x:c r="B299" s="80" t="str">
        <x:v>2 — Completar aos poucos</x:v>
      </x:c>
      <x:c r="C299" s="81" t="n">
        <x:v>2007</x:v>
      </x:c>
      <x:c r="D299" s="80" t="str">
        <x:v>Ferrari F430 Spider</x:v>
      </x:c>
      <x:c r="E299" s="80" t="str">
        <x:v>Ferrari F430 Spider</x:v>
      </x:c>
      <x:c r="F299" s="82" t="str">
        <x:v>Ferrari Racer / 8/24</x:v>
      </x:c>
      <x:c r="G299" s="80" t="str"/>
      <x:c r="H299" s="80" t="str"/>
      <x:c r="I299" s="83" t="str">
        <x:v>M4739</x:v>
      </x:c>
      <x:c r="J299" s="80" t="str">
        <x:v>Silk Silver</x:v>
      </x:c>
      <x:c r="K299" s="82" t="str">
        <x:v>Ferrari Logo on Side and Hood, Blue stripes &amp; "FERRARI", "68"</x:v>
      </x:c>
      <x:c r="L299" s="82" t="str">
        <x:v>Red rim, Blue CM6</x:v>
      </x:c>
      <x:c r="M299" s="82" t="str">
        <x:v>Chrome / / / Plastic</x:v>
      </x:c>
      <x:c r="N299" s="82" t="str">
        <x:v>Clear</x:v>
      </x:c>
      <x:c r="O299" s="82" t="str">
        <x:v>Blue</x:v>
      </x:c>
      <x:c r="P299" s="82" t="str">
        <x:v>Malaysia</x:v>
      </x:c>
      <x:c r="Q299" s="82" t="str"/>
      <x:c r="R299" s="82" t="str">
        <x:v>Outra linha</x:v>
      </x:c>
      <x:c r="S299" s="82" t="str">
        <x:v>Incomum</x:v>
      </x:c>
      <x:c r="T299" s="82" t="str">
        <x:v>Lançado</x:v>
      </x:c>
      <x:c r="U299" s="82" t="str"/>
      <x:c r="V299" s="80" t="str">
        <x:v>Coleção principal (~1:64)</x:v>
      </x:c>
      <x:c r="W299" s="82" t="str">
        <x:v>https://hotwheels.fandom.com/wiki/Ferrari_F430_Spider</x:v>
      </x:c>
      <x:c r="X299" s="82" t="str">
        <x:v>https://hotwheels.fandom.com/wiki/Ferrari_F430_Spider</x:v>
      </x:c>
    </x:row>
    <x:row r="300">
      <x:c r="A300" s="80" t="str">
        <x:v>Não</x:v>
      </x:c>
      <x:c r="B300" s="80" t="str">
        <x:v>2 — Completar aos poucos</x:v>
      </x:c>
      <x:c r="C300" s="81" t="n">
        <x:v>2007</x:v>
      </x:c>
      <x:c r="D300" s="80" t="str">
        <x:v>Ferrari F430 Spider</x:v>
      </x:c>
      <x:c r="E300" s="80" t="str">
        <x:v>Ferrari F430 Spider</x:v>
      </x:c>
      <x:c r="F300" s="82" t="str">
        <x:v>Mattel MDC Employee Exclusive</x:v>
      </x:c>
      <x:c r="G300" s="80" t="str"/>
      <x:c r="H300" s="80" t="str"/>
      <x:c r="I300" s="83" t="str"/>
      <x:c r="J300" s="80" t="str">
        <x:v>Red</x:v>
      </x:c>
      <x:c r="K300" s="82" t="str">
        <x:v>Ferrari Logo on Hood, Hot Wheels and Matchbox logos on sides</x:v>
      </x:c>
      <x:c r="L300" s="82" t="str">
        <x:v>PR5</x:v>
      </x:c>
      <x:c r="M300" s="82" t="str">
        <x:v>Chrome / / / Plastic</x:v>
      </x:c>
      <x:c r="N300" s="82" t="str">
        <x:v>Clear</x:v>
      </x:c>
      <x:c r="O300" s="82" t="str">
        <x:v>Black</x:v>
      </x:c>
      <x:c r="P300" s="82" t="str">
        <x:v>Malaysia</x:v>
      </x:c>
      <x:c r="Q300" s="82" t="str"/>
      <x:c r="R300" s="82" t="str">
        <x:v>Outra linha</x:v>
      </x:c>
      <x:c r="S300" s="82" t="str">
        <x:v>Incomum</x:v>
      </x:c>
      <x:c r="T300" s="82" t="str">
        <x:v>Lançado</x:v>
      </x:c>
      <x:c r="U300" s="82" t="str"/>
      <x:c r="V300" s="80" t="str">
        <x:v>Coleção principal (~1:64)</x:v>
      </x:c>
      <x:c r="W300" s="82" t="str">
        <x:v>https://hotwheels.fandom.com/wiki/Ferrari_F430_Spider</x:v>
      </x:c>
      <x:c r="X300" s="82" t="str">
        <x:v>https://hotwheels.fandom.com/wiki/Ferrari_F430_Spider</x:v>
      </x:c>
    </x:row>
    <x:row r="301">
      <x:c r="A301" s="80" t="str">
        <x:v>Não</x:v>
      </x:c>
      <x:c r="B301" s="80" t="str">
        <x:v>2 — Completar aos poucos</x:v>
      </x:c>
      <x:c r="C301" s="81" t="n">
        <x:v>2007</x:v>
      </x:c>
      <x:c r="D301" s="80" t="str">
        <x:v>Ferrari F50 Challenge</x:v>
      </x:c>
      <x:c r="E301" s="80" t="str">
        <x:v>Ferrari F50 Challenge</x:v>
      </x:c>
      <x:c r="F301" s="82" t="str">
        <x:v>All Stars / 16/24</x:v>
      </x:c>
      <x:c r="G301" s="80" t="str"/>
      <x:c r="H301" s="80" t="str">
        <x:v>148/180</x:v>
      </x:c>
      <x:c r="I301" s="83" t="str">
        <x:v>L3101</x:v>
      </x:c>
      <x:c r="J301" s="80" t="str">
        <x:v>Red</x:v>
      </x:c>
      <x:c r="K301" s="82" t="str">
        <x:v>Ferrari logo on sides &amp; hood</x:v>
      </x:c>
      <x:c r="L301" s="82" t="str">
        <x:v>PR5</x:v>
      </x:c>
      <x:c r="M301" s="82" t="str">
        <x:v>Black / / / Plastic</x:v>
      </x:c>
      <x:c r="N301" s="82" t="str">
        <x:v>Clear</x:v>
      </x:c>
      <x:c r="O301" s="82" t="str">
        <x:v>Black</x:v>
      </x:c>
      <x:c r="P301" s="82" t="str">
        <x:v>Malaysia</x:v>
      </x:c>
      <x:c r="Q301" s="82" t="str"/>
      <x:c r="R301" s="82" t="str">
        <x:v>Mainline</x:v>
      </x:c>
      <x:c r="S301" s="82" t="str">
        <x:v>Incomum</x:v>
      </x:c>
      <x:c r="T301" s="82" t="str">
        <x:v>Lançado</x:v>
      </x:c>
      <x:c r="U301" s="82" t="str"/>
      <x:c r="V301" s="80" t="str">
        <x:v>Coleção principal (~1:64)</x:v>
      </x:c>
      <x:c r="W301" s="82" t="str">
        <x:v>https://hotwheels.fandom.com/wiki/Ferrari_F50_Challenge</x:v>
      </x:c>
      <x:c r="X301" s="82" t="str">
        <x:v>https://hotwheels.fandom.com/wiki/Ferrari_F50_Challenge</x:v>
      </x:c>
    </x:row>
    <x:row r="302">
      <x:c r="A302" s="80" t="str">
        <x:v>Não</x:v>
      </x:c>
      <x:c r="B302" s="80" t="str">
        <x:v>2 — Completar aos poucos</x:v>
      </x:c>
      <x:c r="C302" s="81" t="n">
        <x:v>2007</x:v>
      </x:c>
      <x:c r="D302" s="80" t="str">
        <x:v>Ferrari F50 Challenge</x:v>
      </x:c>
      <x:c r="E302" s="80" t="str">
        <x:v>Ferrari F50 Challenge</x:v>
      </x:c>
      <x:c r="F302" s="82" t="str">
        <x:v>Ferrari Racer / 11/24</x:v>
      </x:c>
      <x:c r="G302" s="80" t="str"/>
      <x:c r="H302" s="80" t="str"/>
      <x:c r="I302" s="83" t="str">
        <x:v>M4726</x:v>
      </x:c>
      <x:c r="J302" s="80" t="str">
        <x:v>Black</x:v>
      </x:c>
      <x:c r="K302" s="82" t="str">
        <x:v>"28" Red, White &amp; Yellow tampos on sides</x:v>
      </x:c>
      <x:c r="L302" s="82" t="str">
        <x:v>CM6</x:v>
      </x:c>
      <x:c r="M302" s="82" t="str">
        <x:v>Black / / / Plastic</x:v>
      </x:c>
      <x:c r="N302" s="82" t="str">
        <x:v>Clear</x:v>
      </x:c>
      <x:c r="O302" s="82" t="str">
        <x:v>Red</x:v>
      </x:c>
      <x:c r="P302" s="82" t="str">
        <x:v>Malaysia</x:v>
      </x:c>
      <x:c r="Q302" s="82" t="str"/>
      <x:c r="R302" s="82" t="str">
        <x:v>Outra linha</x:v>
      </x:c>
      <x:c r="S302" s="82" t="str">
        <x:v>Incomum</x:v>
      </x:c>
      <x:c r="T302" s="82" t="str">
        <x:v>Lançado</x:v>
      </x:c>
      <x:c r="U302" s="82" t="str"/>
      <x:c r="V302" s="80" t="str">
        <x:v>Coleção principal (~1:64)</x:v>
      </x:c>
      <x:c r="W302" s="82" t="str">
        <x:v>https://hotwheels.fandom.com/wiki/Ferrari_F50_Challenge</x:v>
      </x:c>
      <x:c r="X302" s="82" t="str">
        <x:v>https://hotwheels.fandom.com/wiki/Ferrari_F50_Challenge</x:v>
      </x:c>
    </x:row>
    <x:row r="303">
      <x:c r="A303" s="80" t="str">
        <x:v>Não</x:v>
      </x:c>
      <x:c r="B303" s="80" t="str">
        <x:v>2 — Completar aos poucos</x:v>
      </x:c>
      <x:c r="C303" s="81" t="n">
        <x:v>2007</x:v>
      </x:c>
      <x:c r="D303" s="80" t="str">
        <x:v>Ferrari F50 Challenge</x:v>
      </x:c>
      <x:c r="E303" s="80" t="str">
        <x:v>Ferrari F50 Challenge</x:v>
      </x:c>
      <x:c r="F303" s="82" t="str">
        <x:v>Ferrari Racer / 19/24</x:v>
      </x:c>
      <x:c r="G303" s="80" t="str"/>
      <x:c r="H303" s="80" t="str"/>
      <x:c r="I303" s="83" t="str">
        <x:v>M3678</x:v>
      </x:c>
      <x:c r="J303" s="80" t="str">
        <x:v>White</x:v>
      </x:c>
      <x:c r="K303" s="82" t="str">
        <x:v>"07" Black, Red, Dark Grey &amp; Black</x:v>
      </x:c>
      <x:c r="L303" s="82" t="str">
        <x:v>Red CM6</x:v>
      </x:c>
      <x:c r="M303" s="82" t="str">
        <x:v>Black / / / Plastic</x:v>
      </x:c>
      <x:c r="N303" s="82" t="str">
        <x:v>Red</x:v>
      </x:c>
      <x:c r="O303" s="82" t="str">
        <x:v>Red</x:v>
      </x:c>
      <x:c r="P303" s="82" t="str">
        <x:v>Malaysia</x:v>
      </x:c>
      <x:c r="Q303" s="82" t="str"/>
      <x:c r="R303" s="82" t="str">
        <x:v>Outra linha</x:v>
      </x:c>
      <x:c r="S303" s="82" t="str">
        <x:v>Incomum</x:v>
      </x:c>
      <x:c r="T303" s="82" t="str">
        <x:v>Lançado</x:v>
      </x:c>
      <x:c r="U303" s="82" t="str"/>
      <x:c r="V303" s="80" t="str">
        <x:v>Coleção principal (~1:64)</x:v>
      </x:c>
      <x:c r="W303" s="82" t="str">
        <x:v>https://hotwheels.fandom.com/wiki/Ferrari_F50_Challenge</x:v>
      </x:c>
      <x:c r="X303" s="82" t="str">
        <x:v>https://hotwheels.fandom.com/wiki/Ferrari_F50_Challenge</x:v>
      </x:c>
    </x:row>
    <x:row r="304">
      <x:c r="A304" s="80" t="str">
        <x:v>Não</x:v>
      </x:c>
      <x:c r="B304" s="80" t="str">
        <x:v>2 — Completar aos poucos</x:v>
      </x:c>
      <x:c r="C304" s="81" t="n">
        <x:v>2007</x:v>
      </x:c>
      <x:c r="D304" s="80" t="str">
        <x:v>Ferrari F512M</x:v>
      </x:c>
      <x:c r="E304" s="80" t="str">
        <x:v>Ferrari F512M</x:v>
      </x:c>
      <x:c r="F304" s="82" t="str">
        <x:v>Ferrari Racer / 13/24</x:v>
      </x:c>
      <x:c r="G304" s="80" t="str"/>
      <x:c r="H304" s="80" t="str"/>
      <x:c r="I304" s="83" t="str">
        <x:v>M4728</x:v>
      </x:c>
      <x:c r="J304" s="80" t="str">
        <x:v>Satin Red</x:v>
      </x:c>
      <x:c r="K304" s="82" t="str">
        <x:v>Ferrari Logo Front and "Ferrari" Rear</x:v>
      </x:c>
      <x:c r="L304" s="82" t="str">
        <x:v>CM6 Grey</x:v>
      </x:c>
      <x:c r="M304" s="82" t="str">
        <x:v>ZAMAC</x:v>
      </x:c>
      <x:c r="N304" s="82" t="str">
        <x:v>Tinted</x:v>
      </x:c>
      <x:c r="O304" s="82" t="str">
        <x:v>Chrome</x:v>
      </x:c>
      <x:c r="P304" s="82" t="str">
        <x:v>Malaysia</x:v>
      </x:c>
      <x:c r="Q304" s="82" t="str"/>
      <x:c r="R304" s="82" t="str">
        <x:v>Outra linha</x:v>
      </x:c>
      <x:c r="S304" s="82" t="str">
        <x:v>Incomum</x:v>
      </x:c>
      <x:c r="T304" s="82" t="str">
        <x:v>Lançado</x:v>
      </x:c>
      <x:c r="U304" s="82" t="str"/>
      <x:c r="V304" s="80" t="str">
        <x:v>Coleção principal (~1:64)</x:v>
      </x:c>
      <x:c r="W304" s="82" t="str">
        <x:v>https://hotwheels.fandom.com/wiki/Ferrari_F512M</x:v>
      </x:c>
      <x:c r="X304" s="82" t="str">
        <x:v>https://hotwheels.fandom.com/wiki/Ferrari_F512M</x:v>
      </x:c>
    </x:row>
    <x:row r="305">
      <x:c r="A305" s="80" t="str">
        <x:v>Não</x:v>
      </x:c>
      <x:c r="B305" s="80" t="str">
        <x:v>2 — Completar aos poucos</x:v>
      </x:c>
      <x:c r="C305" s="81" t="n">
        <x:v>2007</x:v>
      </x:c>
      <x:c r="D305" s="80" t="str">
        <x:v>Ferrari F512M</x:v>
      </x:c>
      <x:c r="E305" s="80" t="str">
        <x:v>Ferrari F512M</x:v>
      </x:c>
      <x:c r="F305" s="82" t="str">
        <x:v>Ferrari Racer / 6/24</x:v>
      </x:c>
      <x:c r="G305" s="80" t="str"/>
      <x:c r="H305" s="80" t="str"/>
      <x:c r="I305" s="83" t="str">
        <x:v>M4721</x:v>
      </x:c>
      <x:c r="J305" s="80" t="str">
        <x:v>Satin Blue</x:v>
      </x:c>
      <x:c r="K305" s="82" t="str">
        <x:v>Ferrari Logo Front and "Ferrari" Rear</x:v>
      </x:c>
      <x:c r="L305" s="82" t="str">
        <x:v>CM6 Gold with Silver Lines</x:v>
      </x:c>
      <x:c r="M305" s="82" t="str">
        <x:v>ZAMAC</x:v>
      </x:c>
      <x:c r="N305" s="82" t="str">
        <x:v>Blue</x:v>
      </x:c>
      <x:c r="O305" s="82" t="str">
        <x:v>Chrome</x:v>
      </x:c>
      <x:c r="P305" s="82" t="str">
        <x:v>Malaysia</x:v>
      </x:c>
      <x:c r="Q305" s="82" t="str"/>
      <x:c r="R305" s="82" t="str">
        <x:v>Outra linha</x:v>
      </x:c>
      <x:c r="S305" s="82" t="str">
        <x:v>Incomum</x:v>
      </x:c>
      <x:c r="T305" s="82" t="str">
        <x:v>Lançado</x:v>
      </x:c>
      <x:c r="U305" s="82" t="str"/>
      <x:c r="V305" s="80" t="str">
        <x:v>Coleção principal (~1:64)</x:v>
      </x:c>
      <x:c r="W305" s="82" t="str">
        <x:v>https://hotwheels.fandom.com/wiki/Ferrari_F512M</x:v>
      </x:c>
      <x:c r="X305" s="82" t="str">
        <x:v>https://hotwheels.fandom.com/wiki/Ferrari_F512M</x:v>
      </x:c>
    </x:row>
    <x:row r="306">
      <x:c r="A306" s="80" t="str">
        <x:v>Não</x:v>
      </x:c>
      <x:c r="B306" s="80" t="str">
        <x:v>2 — Completar aos poucos</x:v>
      </x:c>
      <x:c r="C306" s="81" t="n">
        <x:v>2006</x:v>
      </x:c>
      <x:c r="D306" s="80" t="str">
        <x:v>Enzo Ferrari (100%)</x:v>
      </x:c>
      <x:c r="E306" s="80" t="str">
        <x:v>Enzo Ferrari</x:v>
      </x:c>
      <x:c r="F306" s="82" t="str">
        <x:v>Nuremberg Toy Fair</x:v>
      </x:c>
      <x:c r="G306" s="80" t="str"/>
      <x:c r="H306" s="80" t="str"/>
      <x:c r="I306" s="83" t="str"/>
      <x:c r="J306" s="80" t="str">
        <x:v>Red</x:v>
      </x:c>
      <x:c r="K306" s="82" t="str">
        <x:v>Ferrari Badge on side &amp; on top front</x:v>
      </x:c>
      <x:c r="L306" s="82" t="str">
        <x:v>RR</x:v>
      </x:c>
      <x:c r="M306" s="82" t="str">
        <x:v>Black / / / Metal</x:v>
      </x:c>
      <x:c r="N306" s="82" t="str">
        <x:v>Clear</x:v>
      </x:c>
      <x:c r="O306" s="82" t="str">
        <x:v>Black</x:v>
      </x:c>
      <x:c r="P306" s="82" t="str">
        <x:v>China</x:v>
      </x:c>
      <x:c r="Q306" s="82" t="str"/>
      <x:c r="R306" s="82" t="str">
        <x:v>Outra linha</x:v>
      </x:c>
      <x:c r="S306" s="82" t="str">
        <x:v>Incomum</x:v>
      </x:c>
      <x:c r="T306" s="82" t="str">
        <x:v>Lançado</x:v>
      </x:c>
      <x:c r="U306" s="82" t="str"/>
      <x:c r="V306" s="80" t="str">
        <x:v>Coleção principal (~1:64)</x:v>
      </x:c>
      <x:c r="W306" s="82" t="str">
        <x:v>https://hotwheels.fandom.com/wiki/Enzo_Ferrari_(100%25)</x:v>
      </x:c>
      <x:c r="X306" s="82" t="str">
        <x:v>https://hotwheels.fandom.com/wiki/Enzo_Ferrari_(100%25)</x:v>
      </x:c>
    </x:row>
    <x:row r="307">
      <x:c r="A307" s="80" t="str">
        <x:v>Não</x:v>
      </x:c>
      <x:c r="B307" s="80" t="str">
        <x:v>2 — Completar aos poucos</x:v>
      </x:c>
      <x:c r="C307" s="81" t="n">
        <x:v>2006</x:v>
      </x:c>
      <x:c r="D307" s="80" t="str">
        <x:v>Ferrari 333 SP</x:v>
      </x:c>
      <x:c r="E307" s="80" t="str">
        <x:v>Ferrari 333 SP</x:v>
      </x:c>
      <x:c r="F307" s="82" t="str">
        <x:v>Mainline</x:v>
      </x:c>
      <x:c r="G307" s="80" t="str"/>
      <x:c r="H307" s="80" t="str">
        <x:v>195</x:v>
      </x:c>
      <x:c r="I307" s="83" t="str">
        <x:v>J8025</x:v>
      </x:c>
      <x:c r="J307" s="80" t="str">
        <x:v>Black</x:v>
      </x:c>
      <x:c r="K307" s="82" t="str">
        <x:v>Yellow, Orange and Red flame tampos</x:v>
      </x:c>
      <x:c r="L307" s="82" t="str">
        <x:v>5SP</x:v>
      </x:c>
      <x:c r="M307" s="82" t="str">
        <x:v>Black / / / Plastic</x:v>
      </x:c>
      <x:c r="N307" s="82" t="str"/>
      <x:c r="O307" s="82" t="str">
        <x:v>Blue</x:v>
      </x:c>
      <x:c r="P307" s="82" t="str">
        <x:v>Malaysia</x:v>
      </x:c>
      <x:c r="Q307" s="82" t="str"/>
      <x:c r="R307" s="82" t="str">
        <x:v>Mainline</x:v>
      </x:c>
      <x:c r="S307" s="82" t="str">
        <x:v>Incomum</x:v>
      </x:c>
      <x:c r="T307" s="82" t="str">
        <x:v>Lançado</x:v>
      </x:c>
      <x:c r="U307" s="82" t="str">
        <x:v>Updated tooling</x:v>
      </x:c>
      <x:c r="V307" s="80" t="str">
        <x:v>Coleção principal (~1:64)</x:v>
      </x:c>
      <x:c r="W307" s="82" t="str">
        <x:v>https://hotwheels.fandom.com/wiki/Ferrari_333_SP</x:v>
      </x:c>
      <x:c r="X307" s="82" t="str">
        <x:v>https://hotwheels.fandom.com/wiki/Ferrari_333_SP</x:v>
      </x:c>
    </x:row>
    <x:row r="308">
      <x:c r="A308" s="80" t="str">
        <x:v>Não</x:v>
      </x:c>
      <x:c r="B308" s="80" t="str">
        <x:v>2 — Completar aos poucos</x:v>
      </x:c>
      <x:c r="C308" s="81" t="n">
        <x:v>2006</x:v>
      </x:c>
      <x:c r="D308" s="80" t="str">
        <x:v>Ferrari 360 Modena ('Tooned)</x:v>
      </x:c>
      <x:c r="E308" s="80" t="str">
        <x:v>Ferrari 360 Modena</x:v>
      </x:c>
      <x:c r="F308" s="82" t="str">
        <x:v>Mainline</x:v>
      </x:c>
      <x:c r="G308" s="80" t="str"/>
      <x:c r="H308" s="80" t="str"/>
      <x:c r="I308" s="83" t="str">
        <x:v>J3458</x:v>
      </x:c>
      <x:c r="J308" s="80" t="str">
        <x:v>Metalflake Dark Red</x:v>
      </x:c>
      <x:c r="K308" s="82" t="str">
        <x:v>Flames on sides</x:v>
      </x:c>
      <x:c r="L308" s="82" t="str">
        <x:v>PR5</x:v>
      </x:c>
      <x:c r="M308" s="82" t="str">
        <x:v>Black / / / Plastic</x:v>
      </x:c>
      <x:c r="N308" s="82" t="str">
        <x:v>Black</x:v>
      </x:c>
      <x:c r="O308" s="82" t="str"/>
      <x:c r="P308" s="82" t="str">
        <x:v>Malaysia</x:v>
      </x:c>
      <x:c r="Q308" s="82" t="str"/>
      <x:c r="R308" s="82" t="str">
        <x:v>Mainline</x:v>
      </x:c>
      <x:c r="S308" s="82" t="str">
        <x:v>Incomum</x:v>
      </x:c>
      <x:c r="T308" s="82" t="str">
        <x:v>Lançado</x:v>
      </x:c>
      <x:c r="U308" s="82" t="str"/>
      <x:c r="V308" s="80" t="str">
        <x:v>Coleção principal (~1:64)</x:v>
      </x:c>
      <x:c r="W308" s="82" t="str">
        <x:v>https://hotwheels.fandom.com/wiki/Ferrari_360_Modena_(%27Tooned)</x:v>
      </x:c>
      <x:c r="X308" s="82" t="str">
        <x:v>https://hotwheels.fandom.com/wiki/Ferrari_360_Modena_(%27Tooned)</x:v>
      </x:c>
    </x:row>
    <x:row r="309">
      <x:c r="A309" s="80" t="str">
        <x:v>Não</x:v>
      </x:c>
      <x:c r="B309" s="80" t="str">
        <x:v>2 — Completar aos poucos</x:v>
      </x:c>
      <x:c r="C309" s="81" t="n">
        <x:v>2006</x:v>
      </x:c>
      <x:c r="D309" s="80" t="str">
        <x:v>Ferrari 360 Modena (X-Raycers)</x:v>
      </x:c>
      <x:c r="E309" s="80" t="str">
        <x:v>Ferrari 360 Modena</x:v>
      </x:c>
      <x:c r="F309" s="82" t="str">
        <x:v>Holiday Hotrods</x:v>
      </x:c>
      <x:c r="G309" s="80" t="str"/>
      <x:c r="H309" s="80" t="str"/>
      <x:c r="I309" s="83" t="str">
        <x:v>L1188</x:v>
      </x:c>
      <x:c r="J309" s="80" t="str">
        <x:v>Satin Red</x:v>
      </x:c>
      <x:c r="K309" s="82" t="str">
        <x:v>No Tampos</x:v>
      </x:c>
      <x:c r="L309" s="82" t="str">
        <x:v>PR5</x:v>
      </x:c>
      <x:c r="M309" s="82" t="str">
        <x:v>Black / / / Metal</x:v>
      </x:c>
      <x:c r="N309" s="82" t="str">
        <x:v>Tinted (Black)</x:v>
      </x:c>
      <x:c r="O309" s="82" t="str">
        <x:v>Gray</x:v>
      </x:c>
      <x:c r="P309" s="82" t="str">
        <x:v>Malaysia</x:v>
      </x:c>
      <x:c r="Q309" s="82" t="str"/>
      <x:c r="R309" s="82" t="str">
        <x:v>Outra linha</x:v>
      </x:c>
      <x:c r="S309" s="82" t="str">
        <x:v>Incomum</x:v>
      </x:c>
      <x:c r="T309" s="82" t="str">
        <x:v>Lançado</x:v>
      </x:c>
      <x:c r="U309" s="82" t="str"/>
      <x:c r="V309" s="80" t="str">
        <x:v>Coleção principal (~1:64)</x:v>
      </x:c>
      <x:c r="W309" s="82" t="str">
        <x:v>https://hotwheels.fandom.com/wiki/Ferrari_360_Modena_(X-Raycers)</x:v>
      </x:c>
      <x:c r="X309" s="82" t="str">
        <x:v>https://hotwheels.fandom.com/wiki/Ferrari_360_Modena_(X-Raycers)</x:v>
      </x:c>
    </x:row>
    <x:row r="310">
      <x:c r="A310" s="80" t="str">
        <x:v>Não</x:v>
      </x:c>
      <x:c r="B310" s="80" t="str">
        <x:v>2 — Completar aos poucos</x:v>
      </x:c>
      <x:c r="C310" s="81" t="n">
        <x:v>2006</x:v>
      </x:c>
      <x:c r="D310" s="80" t="str">
        <x:v>Ferrari 360 Modena (X-Raycers)</x:v>
      </x:c>
      <x:c r="E310" s="80" t="str">
        <x:v>Ferrari 360 Modena</x:v>
      </x:c>
      <x:c r="F310" s="82" t="str">
        <x:v>Track Aces / 1/10</x:v>
      </x:c>
      <x:c r="G310" s="80" t="str"/>
      <x:c r="H310" s="80" t="str">
        <x:v>111</x:v>
      </x:c>
      <x:c r="I310" s="83" t="str">
        <x:v>J3486</x:v>
      </x:c>
      <x:c r="J310" s="80" t="str">
        <x:v>Clear</x:v>
      </x:c>
      <x:c r="K310" s="82" t="str">
        <x:v>Orange Flames with Black Outline</x:v>
      </x:c>
      <x:c r="L310" s="82" t="str">
        <x:v>PR5</x:v>
      </x:c>
      <x:c r="M310" s="82" t="str">
        <x:v>Unpainted / / / Metal</x:v>
      </x:c>
      <x:c r="N310" s="82" t="str">
        <x:v>Orange Tint</x:v>
      </x:c>
      <x:c r="O310" s="82" t="str">
        <x:v>Chrome</x:v>
      </x:c>
      <x:c r="P310" s="82" t="str">
        <x:v>Malaysia</x:v>
      </x:c>
      <x:c r="Q310" s="82" t="str"/>
      <x:c r="R310" s="82" t="str">
        <x:v>Mainline</x:v>
      </x:c>
      <x:c r="S310" s="82" t="str">
        <x:v>Incomum</x:v>
      </x:c>
      <x:c r="T310" s="82" t="str">
        <x:v>Lançado</x:v>
      </x:c>
      <x:c r="U310" s="82" t="str"/>
      <x:c r="V310" s="80" t="str">
        <x:v>Coleção principal (~1:64)</x:v>
      </x:c>
      <x:c r="W310" s="82" t="str">
        <x:v>https://hotwheels.fandom.com/wiki/Ferrari_360_Modena_(X-Raycers)</x:v>
      </x:c>
      <x:c r="X310" s="82" t="str">
        <x:v>https://hotwheels.fandom.com/wiki/Ferrari_360_Modena_(X-Raycers)</x:v>
      </x:c>
    </x:row>
    <x:row r="311">
      <x:c r="A311" s="80" t="str">
        <x:v>Não</x:v>
      </x:c>
      <x:c r="B311" s="80" t="str">
        <x:v>2 — Completar aos poucos</x:v>
      </x:c>
      <x:c r="C311" s="81" t="n">
        <x:v>2006</x:v>
      </x:c>
      <x:c r="D311" s="80" t="str">
        <x:v>Ferrari 360 Modena (X-Raycers)</x:v>
      </x:c>
      <x:c r="E311" s="80" t="str">
        <x:v>Ferrari 360 Modena</x:v>
      </x:c>
      <x:c r="F311" s="82" t="str">
        <x:v>X-Raycers 5-Pack</x:v>
      </x:c>
      <x:c r="G311" s="80" t="str"/>
      <x:c r="H311" s="80" t="str"/>
      <x:c r="I311" s="83" t="str">
        <x:v>J3304</x:v>
      </x:c>
      <x:c r="J311" s="80" t="str">
        <x:v>Transparent yellow</x:v>
      </x:c>
      <x:c r="K311" s="82" t="str">
        <x:v>Ferrari logo on hood</x:v>
      </x:c>
      <x:c r="L311" s="82" t="str">
        <x:v>5SP</x:v>
      </x:c>
      <x:c r="M311" s="82" t="str">
        <x:v>Unpainted / / / Metal</x:v>
      </x:c>
      <x:c r="N311" s="82" t="str">
        <x:v>Clear</x:v>
      </x:c>
      <x:c r="O311" s="82" t="str">
        <x:v>Chrome</x:v>
      </x:c>
      <x:c r="P311" s="82" t="str">
        <x:v>China</x:v>
      </x:c>
      <x:c r="Q311" s="82" t="str"/>
      <x:c r="R311" s="82" t="str">
        <x:v>Temática / multipack</x:v>
      </x:c>
      <x:c r="S311" s="82" t="str">
        <x:v>Incomum</x:v>
      </x:c>
      <x:c r="T311" s="82" t="str">
        <x:v>Lançado</x:v>
      </x:c>
      <x:c r="U311" s="82" t="str">
        <x:v>Only came in early versions of the 5-pack, was replaced by Vandetta.</x:v>
      </x:c>
      <x:c r="V311" s="80" t="str">
        <x:v>Coleção principal (~1:64)</x:v>
      </x:c>
      <x:c r="W311" s="82" t="str">
        <x:v>https://hotwheels.fandom.com/wiki/Ferrari_360_Modena_(X-Raycers)</x:v>
      </x:c>
      <x:c r="X311" s="82" t="str">
        <x:v>https://hotwheels.fandom.com/wiki/Ferrari_360_Modena_(X-Raycers)</x:v>
      </x:c>
    </x:row>
    <x:row r="312">
      <x:c r="A312" s="80" t="str">
        <x:v>Não</x:v>
      </x:c>
      <x:c r="B312" s="80" t="str">
        <x:v>2 — Completar aos poucos</x:v>
      </x:c>
      <x:c r="C312" s="81" t="n">
        <x:v>2006</x:v>
      </x:c>
      <x:c r="D312" s="80" t="str">
        <x:v>Ferrari 512 M</x:v>
      </x:c>
      <x:c r="E312" s="80" t="str">
        <x:v>Ferrari 512 M</x:v>
      </x:c>
      <x:c r="F312" s="82" t="str">
        <x:v>2006 First Editions / 5/38</x:v>
      </x:c>
      <x:c r="G312" s="80" t="str"/>
      <x:c r="H312" s="80" t="str">
        <x:v>005</x:v>
      </x:c>
      <x:c r="I312" s="83" t="str">
        <x:v>J3246</x:v>
      </x:c>
      <x:c r="J312" s="80" t="str">
        <x:v>Blue</x:v>
      </x:c>
      <x:c r="K312" s="82" t="str">
        <x:v>Large "6" on side, Black &amp; White "Ferrari" logo on sides</x:v>
      </x:c>
      <x:c r="L312" s="82" t="str">
        <x:v>Gold 5SP</x:v>
      </x:c>
      <x:c r="M312" s="82" t="str">
        <x:v>Chrome / / / Plastic</x:v>
      </x:c>
      <x:c r="N312" s="82" t="str">
        <x:v>Clear</x:v>
      </x:c>
      <x:c r="O312" s="82" t="str">
        <x:v>Chrome</x:v>
      </x:c>
      <x:c r="P312" s="82" t="str">
        <x:v>Malaysia</x:v>
      </x:c>
      <x:c r="Q312" s="82" t="str"/>
      <x:c r="R312" s="82" t="str">
        <x:v>Mainline</x:v>
      </x:c>
      <x:c r="S312" s="82" t="str">
        <x:v>Incomum</x:v>
      </x:c>
      <x:c r="T312" s="82" t="str">
        <x:v>Lançado</x:v>
      </x:c>
      <x:c r="U312" s="82" t="str"/>
      <x:c r="V312" s="80" t="str">
        <x:v>Coleção principal (~1:64)</x:v>
      </x:c>
      <x:c r="W312" s="82" t="str">
        <x:v>https://hotwheels.fandom.com/wiki/Ferrari_512_M</x:v>
      </x:c>
      <x:c r="X312" s="82" t="str">
        <x:v>https://hotwheels.fandom.com/wiki/Ferrari_512_M</x:v>
      </x:c>
    </x:row>
    <x:row r="313">
      <x:c r="A313" s="80" t="str">
        <x:v>Não</x:v>
      </x:c>
      <x:c r="B313" s="80" t="str">
        <x:v>2 — Completar aos poucos</x:v>
      </x:c>
      <x:c r="C313" s="81" t="n">
        <x:v>2006</x:v>
      </x:c>
      <x:c r="D313" s="80" t="str">
        <x:v>Ferrari 512 M</x:v>
      </x:c>
      <x:c r="E313" s="80" t="str">
        <x:v>Ferrari 512 M</x:v>
      </x:c>
      <x:c r="F313" s="82" t="str">
        <x:v>2006 First Editions / 5/38</x:v>
      </x:c>
      <x:c r="G313" s="80" t="str"/>
      <x:c r="H313" s="80" t="str">
        <x:v>005</x:v>
      </x:c>
      <x:c r="I313" s="83" t="str">
        <x:v>J3246</x:v>
      </x:c>
      <x:c r="J313" s="80" t="str">
        <x:v>Blue</x:v>
      </x:c>
      <x:c r="K313" s="82" t="str">
        <x:v>Large "6" on side, Black &amp; White "Ferrari" logo on sides</x:v>
      </x:c>
      <x:c r="L313" s="82" t="str">
        <x:v>FTE</x:v>
      </x:c>
      <x:c r="M313" s="82" t="str">
        <x:v>Chrome / / / Plastic</x:v>
      </x:c>
      <x:c r="N313" s="82" t="str">
        <x:v>Clear</x:v>
      </x:c>
      <x:c r="O313" s="82" t="str">
        <x:v>Chrome</x:v>
      </x:c>
      <x:c r="P313" s="82" t="str">
        <x:v>Malaysia</x:v>
      </x:c>
      <x:c r="Q313" s="82" t="str"/>
      <x:c r="R313" s="82" t="str">
        <x:v>Mainline</x:v>
      </x:c>
      <x:c r="S313" s="82" t="str">
        <x:v>Incomum</x:v>
      </x:c>
      <x:c r="T313" s="82" t="str">
        <x:v>Lançado</x:v>
      </x:c>
      <x:c r="U313" s="82" t="str"/>
      <x:c r="V313" s="80" t="str">
        <x:v>Coleção principal (~1:64)</x:v>
      </x:c>
      <x:c r="W313" s="82" t="str">
        <x:v>https://hotwheels.fandom.com/wiki/Ferrari_512_M</x:v>
      </x:c>
      <x:c r="X313" s="82" t="str">
        <x:v>https://hotwheels.fandom.com/wiki/Ferrari_512_M</x:v>
      </x:c>
    </x:row>
    <x:row r="314">
      <x:c r="A314" s="80" t="str">
        <x:v>Não</x:v>
      </x:c>
      <x:c r="B314" s="80" t="str">
        <x:v>2 — Completar aos poucos</x:v>
      </x:c>
      <x:c r="C314" s="81" t="n">
        <x:v>2006</x:v>
      </x:c>
      <x:c r="D314" s="80" t="str">
        <x:v>Ferrari 512 M</x:v>
      </x:c>
      <x:c r="E314" s="80" t="str">
        <x:v>Ferrari 512 M</x:v>
      </x:c>
      <x:c r="F314" s="82" t="str">
        <x:v>2006 First Editions / 5/38</x:v>
      </x:c>
      <x:c r="G314" s="80" t="str"/>
      <x:c r="H314" s="80" t="str">
        <x:v>005</x:v>
      </x:c>
      <x:c r="I314" s="83" t="str">
        <x:v>J3246</x:v>
      </x:c>
      <x:c r="J314" s="80" t="str">
        <x:v>Metalflake Gray</x:v>
      </x:c>
      <x:c r="K314" s="82" t="str">
        <x:v>Small "6" &amp; "Hot Wheels" logo on side, Black &amp; Yellow "Ferrari" logo on spoiler</x:v>
      </x:c>
      <x:c r="L314" s="82" t="str">
        <x:v>Gold 5SP</x:v>
      </x:c>
      <x:c r="M314" s="82" t="str">
        <x:v>Chrome / / / Plastic</x:v>
      </x:c>
      <x:c r="N314" s="82" t="str">
        <x:v>Clear</x:v>
      </x:c>
      <x:c r="O314" s="82" t="str">
        <x:v>Chrome</x:v>
      </x:c>
      <x:c r="P314" s="82" t="str">
        <x:v>Malaysia</x:v>
      </x:c>
      <x:c r="Q314" s="82" t="str"/>
      <x:c r="R314" s="82" t="str">
        <x:v>Mainline</x:v>
      </x:c>
      <x:c r="S314" s="82" t="str">
        <x:v>Incomum</x:v>
      </x:c>
      <x:c r="T314" s="82" t="str">
        <x:v>Lançado</x:v>
      </x:c>
      <x:c r="U314" s="82" t="str"/>
      <x:c r="V314" s="80" t="str">
        <x:v>Coleção principal (~1:64)</x:v>
      </x:c>
      <x:c r="W314" s="82" t="str">
        <x:v>https://hotwheels.fandom.com/wiki/Ferrari_512_M</x:v>
      </x:c>
      <x:c r="X314" s="82" t="str">
        <x:v>https://hotwheels.fandom.com/wiki/Ferrari_512_M</x:v>
      </x:c>
    </x:row>
    <x:row r="315">
      <x:c r="A315" s="80" t="str">
        <x:v>Não</x:v>
      </x:c>
      <x:c r="B315" s="80" t="str">
        <x:v>2 — Completar aos poucos</x:v>
      </x:c>
      <x:c r="C315" s="81" t="n">
        <x:v>2006</x:v>
      </x:c>
      <x:c r="D315" s="80" t="str">
        <x:v>Ferrari 512 M</x:v>
      </x:c>
      <x:c r="E315" s="80" t="str">
        <x:v>Ferrari 512 M</x:v>
      </x:c>
      <x:c r="F315" s="82" t="str">
        <x:v>2006 First Editions / 5/38</x:v>
      </x:c>
      <x:c r="G315" s="80" t="str"/>
      <x:c r="H315" s="80" t="str">
        <x:v>005</x:v>
      </x:c>
      <x:c r="I315" s="83" t="str">
        <x:v>J3246</x:v>
      </x:c>
      <x:c r="J315" s="80" t="str">
        <x:v>Red</x:v>
      </x:c>
      <x:c r="K315" s="82" t="str">
        <x:v>Large "6" &amp; "Hot Wheels" logo on side, Black &amp; Yellow "Ferrari" logo on spoiler</x:v>
      </x:c>
      <x:c r="L315" s="82" t="str">
        <x:v>Gold 5SP</x:v>
      </x:c>
      <x:c r="M315" s="82" t="str">
        <x:v>Chrome / / / Plastic</x:v>
      </x:c>
      <x:c r="N315" s="82" t="str">
        <x:v>Clear</x:v>
      </x:c>
      <x:c r="O315" s="82" t="str">
        <x:v>Chrome</x:v>
      </x:c>
      <x:c r="P315" s="82" t="str">
        <x:v>Malaysia</x:v>
      </x:c>
      <x:c r="Q315" s="82" t="str"/>
      <x:c r="R315" s="82" t="str">
        <x:v>Mainline</x:v>
      </x:c>
      <x:c r="S315" s="82" t="str">
        <x:v>Incomum</x:v>
      </x:c>
      <x:c r="T315" s="82" t="str">
        <x:v>Lançado</x:v>
      </x:c>
      <x:c r="U315" s="82" t="str"/>
      <x:c r="V315" s="80" t="str">
        <x:v>Coleção principal (~1:64)</x:v>
      </x:c>
      <x:c r="W315" s="82" t="str">
        <x:v>https://hotwheels.fandom.com/wiki/Ferrari_512_M</x:v>
      </x:c>
      <x:c r="X315" s="82" t="str">
        <x:v>https://hotwheels.fandom.com/wiki/Ferrari_512_M</x:v>
      </x:c>
    </x:row>
    <x:row r="316">
      <x:c r="A316" s="80" t="str">
        <x:v>Não</x:v>
      </x:c>
      <x:c r="B316" s="80" t="str">
        <x:v>2 — Completar aos poucos</x:v>
      </x:c>
      <x:c r="C316" s="81" t="n">
        <x:v>2006</x:v>
      </x:c>
      <x:c r="D316" s="80" t="str">
        <x:v>Ferrari 575 GTC</x:v>
      </x:c>
      <x:c r="E316" s="80" t="str">
        <x:v>Ferrari 575 GTC</x:v>
      </x:c>
      <x:c r="F316" s="82" t="str">
        <x:v>Mainline</x:v>
      </x:c>
      <x:c r="G316" s="80" t="str"/>
      <x:c r="H316" s="80" t="str">
        <x:v>201/223</x:v>
      </x:c>
      <x:c r="I316" s="83" t="str">
        <x:v>J8032</x:v>
      </x:c>
      <x:c r="J316" s="80" t="str">
        <x:v>Grey</x:v>
      </x:c>
      <x:c r="K316" s="82" t="str">
        <x:v>Black hood, Red "575 GTC" on sides, Ferrari logo on hood</x:v>
      </x:c>
      <x:c r="L316" s="82" t="str">
        <x:v>PR5</x:v>
      </x:c>
      <x:c r="M316" s="82" t="str">
        <x:v>Black / / / Plastic</x:v>
      </x:c>
      <x:c r="N316" s="82" t="str">
        <x:v>Clear</x:v>
      </x:c>
      <x:c r="O316" s="82" t="str">
        <x:v>Grey</x:v>
      </x:c>
      <x:c r="P316" s="82" t="str">
        <x:v>Malaysia</x:v>
      </x:c>
      <x:c r="Q316" s="82" t="str"/>
      <x:c r="R316" s="82" t="str">
        <x:v>Mainline</x:v>
      </x:c>
      <x:c r="S316" s="82" t="str">
        <x:v>Incomum</x:v>
      </x:c>
      <x:c r="T316" s="82" t="str">
        <x:v>Lançado</x:v>
      </x:c>
      <x:c r="U316" s="82" t="str"/>
      <x:c r="V316" s="80" t="str">
        <x:v>Coleção principal (~1:64)</x:v>
      </x:c>
      <x:c r="W316" s="82" t="str">
        <x:v>https://hotwheels.fandom.com/wiki/Ferrari_575_GTC</x:v>
      </x:c>
      <x:c r="X316" s="82" t="str">
        <x:v>https://hotwheels.fandom.com/wiki/Ferrari_575_GTC</x:v>
      </x:c>
    </x:row>
    <x:row r="317">
      <x:c r="A317" s="80" t="str">
        <x:v>Não</x:v>
      </x:c>
      <x:c r="B317" s="80" t="str">
        <x:v>2 — Completar aos poucos</x:v>
      </x:c>
      <x:c r="C317" s="81" t="n">
        <x:v>2006</x:v>
      </x:c>
      <x:c r="D317" s="80" t="str">
        <x:v>Ferrari F430 Spider</x:v>
      </x:c>
      <x:c r="E317" s="80" t="str">
        <x:v>Ferrari F430 Spider</x:v>
      </x:c>
      <x:c r="F317" s="82" t="str">
        <x:v>2006 First Editions / 33/38</x:v>
      </x:c>
      <x:c r="G317" s="80" t="str"/>
      <x:c r="H317" s="80" t="str">
        <x:v>033</x:v>
      </x:c>
      <x:c r="I317" s="83" t="str">
        <x:v>J3274</x:v>
      </x:c>
      <x:c r="J317" s="80" t="str">
        <x:v>Black</x:v>
      </x:c>
      <x:c r="K317" s="82" t="str">
        <x:v>Ferrari Logo on Side and Hood</x:v>
      </x:c>
      <x:c r="L317" s="82" t="str">
        <x:v>PR5</x:v>
      </x:c>
      <x:c r="M317" s="82" t="str">
        <x:v>Chrome / / / Plastic</x:v>
      </x:c>
      <x:c r="N317" s="82" t="str">
        <x:v>Clear</x:v>
      </x:c>
      <x:c r="O317" s="82" t="str">
        <x:v>Tan</x:v>
      </x:c>
      <x:c r="P317" s="82" t="str">
        <x:v>Malaysia</x:v>
      </x:c>
      <x:c r="Q317" s="82" t="str"/>
      <x:c r="R317" s="82" t="str">
        <x:v>Mainline</x:v>
      </x:c>
      <x:c r="S317" s="82" t="str">
        <x:v>Incomum</x:v>
      </x:c>
      <x:c r="T317" s="82" t="str">
        <x:v>Lançado</x:v>
      </x:c>
      <x:c r="U317" s="82" t="str"/>
      <x:c r="V317" s="80" t="str">
        <x:v>Coleção principal (~1:64)</x:v>
      </x:c>
      <x:c r="W317" s="82" t="str">
        <x:v>https://hotwheels.fandom.com/wiki/Ferrari_F430_Spider</x:v>
      </x:c>
      <x:c r="X317" s="82" t="str">
        <x:v>https://hotwheels.fandom.com/wiki/Ferrari_F430_Spider</x:v>
      </x:c>
    </x:row>
    <x:row r="318">
      <x:c r="A318" s="80" t="str">
        <x:v>Não</x:v>
      </x:c>
      <x:c r="B318" s="80" t="str">
        <x:v>2 — Completar aos poucos</x:v>
      </x:c>
      <x:c r="C318" s="81" t="n">
        <x:v>2006</x:v>
      </x:c>
      <x:c r="D318" s="80" t="str">
        <x:v>Ferrari F430 Spider</x:v>
      </x:c>
      <x:c r="E318" s="80" t="str">
        <x:v>Ferrari F430 Spider</x:v>
      </x:c>
      <x:c r="F318" s="82" t="str">
        <x:v>2006 First Editions / 33/38</x:v>
      </x:c>
      <x:c r="G318" s="80" t="str"/>
      <x:c r="H318" s="80" t="str">
        <x:v>033</x:v>
      </x:c>
      <x:c r="I318" s="83" t="str">
        <x:v>J3274</x:v>
      </x:c>
      <x:c r="J318" s="80" t="str">
        <x:v>Black</x:v>
      </x:c>
      <x:c r="K318" s="82" t="str">
        <x:v>Ferrari Logo on Side and Hood</x:v>
      </x:c>
      <x:c r="L318" s="82" t="str">
        <x:v>PR5</x:v>
      </x:c>
      <x:c r="M318" s="82" t="str">
        <x:v>Chrome / / / Plastic</x:v>
      </x:c>
      <x:c r="N318" s="82" t="str">
        <x:v>Clear</x:v>
      </x:c>
      <x:c r="O318" s="82" t="str">
        <x:v>Black</x:v>
      </x:c>
      <x:c r="P318" s="82" t="str">
        <x:v>Malaysia</x:v>
      </x:c>
      <x:c r="Q318" s="82" t="str"/>
      <x:c r="R318" s="82" t="str">
        <x:v>Mainline</x:v>
      </x:c>
      <x:c r="S318" s="82" t="str">
        <x:v>Incomum</x:v>
      </x:c>
      <x:c r="T318" s="82" t="str">
        <x:v>Lançado</x:v>
      </x:c>
      <x:c r="U318" s="82" t="str"/>
      <x:c r="V318" s="80" t="str">
        <x:v>Coleção principal (~1:64)</x:v>
      </x:c>
      <x:c r="W318" s="82" t="str">
        <x:v>https://hotwheels.fandom.com/wiki/Ferrari_F430_Spider</x:v>
      </x:c>
      <x:c r="X318" s="82" t="str">
        <x:v>https://hotwheels.fandom.com/wiki/Ferrari_F430_Spider</x:v>
      </x:c>
    </x:row>
    <x:row r="319">
      <x:c r="A319" s="80" t="str">
        <x:v>Não</x:v>
      </x:c>
      <x:c r="B319" s="80" t="str">
        <x:v>2 — Completar aos poucos</x:v>
      </x:c>
      <x:c r="C319" s="81" t="n">
        <x:v>2006</x:v>
      </x:c>
      <x:c r="D319" s="80" t="str">
        <x:v>Ferrari F430 Spider</x:v>
      </x:c>
      <x:c r="E319" s="80" t="str">
        <x:v>Ferrari F430 Spider</x:v>
      </x:c>
      <x:c r="F319" s="82" t="str">
        <x:v>2006 First Editions / 33/38</x:v>
      </x:c>
      <x:c r="G319" s="80" t="str"/>
      <x:c r="H319" s="80" t="str">
        <x:v>033/223</x:v>
      </x:c>
      <x:c r="I319" s="83" t="str">
        <x:v>J3274</x:v>
      </x:c>
      <x:c r="J319" s="80" t="str">
        <x:v>Red</x:v>
      </x:c>
      <x:c r="K319" s="82" t="str">
        <x:v>Ferrari Logo on Side and Hood</x:v>
      </x:c>
      <x:c r="L319" s="82" t="str">
        <x:v>PR5</x:v>
      </x:c>
      <x:c r="M319" s="82" t="str">
        <x:v>Chrome / / / Plastic</x:v>
      </x:c>
      <x:c r="N319" s="82" t="str">
        <x:v>Clear</x:v>
      </x:c>
      <x:c r="O319" s="82" t="str">
        <x:v>Black</x:v>
      </x:c>
      <x:c r="P319" s="82" t="str">
        <x:v>Malaysia</x:v>
      </x:c>
      <x:c r="Q319" s="82" t="str"/>
      <x:c r="R319" s="82" t="str">
        <x:v>Mainline</x:v>
      </x:c>
      <x:c r="S319" s="82" t="str">
        <x:v>Incomum</x:v>
      </x:c>
      <x:c r="T319" s="82" t="str">
        <x:v>Lançado</x:v>
      </x:c>
      <x:c r="U319" s="82" t="str"/>
      <x:c r="V319" s="80" t="str">
        <x:v>Coleção principal (~1:64)</x:v>
      </x:c>
      <x:c r="W319" s="82" t="str">
        <x:v>https://hotwheels.fandom.com/wiki/Ferrari_F430_Spider</x:v>
      </x:c>
      <x:c r="X319" s="82" t="str">
        <x:v>https://hotwheels.fandom.com/wiki/Ferrari_F430_Spider</x:v>
      </x:c>
    </x:row>
    <x:row r="320">
      <x:c r="A320" s="80" t="str">
        <x:v>Não</x:v>
      </x:c>
      <x:c r="B320" s="80" t="str">
        <x:v>2 — Completar aos poucos</x:v>
      </x:c>
      <x:c r="C320" s="81" t="n">
        <x:v>2006</x:v>
      </x:c>
      <x:c r="D320" s="80" t="str">
        <x:v>Ferrari F430 Spider</x:v>
      </x:c>
      <x:c r="E320" s="80" t="str">
        <x:v>Ferrari F430 Spider</x:v>
      </x:c>
      <x:c r="F320" s="82" t="str">
        <x:v>2006 First Editions / 33/38</x:v>
      </x:c>
      <x:c r="G320" s="80" t="str"/>
      <x:c r="H320" s="80" t="str">
        <x:v>033/223</x:v>
      </x:c>
      <x:c r="I320" s="83" t="str">
        <x:v>J3274</x:v>
      </x:c>
      <x:c r="J320" s="80" t="str">
        <x:v>Red</x:v>
      </x:c>
      <x:c r="K320" s="82" t="str">
        <x:v>Ferrari Logo on Side and Hood</x:v>
      </x:c>
      <x:c r="L320" s="82" t="str">
        <x:v>FTE</x:v>
      </x:c>
      <x:c r="M320" s="82" t="str">
        <x:v>Chrome / / / Plastic</x:v>
      </x:c>
      <x:c r="N320" s="82" t="str">
        <x:v>Clear</x:v>
      </x:c>
      <x:c r="O320" s="82" t="str">
        <x:v>Black</x:v>
      </x:c>
      <x:c r="P320" s="82" t="str">
        <x:v>Malaysia</x:v>
      </x:c>
      <x:c r="Q320" s="82" t="str"/>
      <x:c r="R320" s="82" t="str">
        <x:v>Mainline</x:v>
      </x:c>
      <x:c r="S320" s="82" t="str">
        <x:v>Incomum</x:v>
      </x:c>
      <x:c r="T320" s="82" t="str">
        <x:v>Lançado</x:v>
      </x:c>
      <x:c r="U320" s="82" t="str"/>
      <x:c r="V320" s="80" t="str">
        <x:v>Coleção principal (~1:64)</x:v>
      </x:c>
      <x:c r="W320" s="82" t="str">
        <x:v>https://hotwheels.fandom.com/wiki/Ferrari_F430_Spider</x:v>
      </x:c>
      <x:c r="X320" s="82" t="str">
        <x:v>https://hotwheels.fandom.com/wiki/Ferrari_F430_Spider</x:v>
      </x:c>
    </x:row>
    <x:row r="321">
      <x:c r="A321" s="80" t="str">
        <x:v>Não</x:v>
      </x:c>
      <x:c r="B321" s="80" t="str">
        <x:v>2 — Completar aos poucos</x:v>
      </x:c>
      <x:c r="C321" s="81" t="n">
        <x:v>2006</x:v>
      </x:c>
      <x:c r="D321" s="80" t="str">
        <x:v>Ferrari F430 Spider</x:v>
      </x:c>
      <x:c r="E321" s="80" t="str">
        <x:v>Ferrari F430 Spider</x:v>
      </x:c>
      <x:c r="F321" s="82" t="str">
        <x:v>2006 First Editions / 33/38</x:v>
      </x:c>
      <x:c r="G321" s="80" t="str"/>
      <x:c r="H321" s="80" t="str">
        <x:v>033</x:v>
      </x:c>
      <x:c r="I321" s="83" t="str">
        <x:v>3274</x:v>
      </x:c>
      <x:c r="J321" s="80" t="str">
        <x:v>Yellow</x:v>
      </x:c>
      <x:c r="K321" s="82" t="str">
        <x:v>Ferrari Logo on Side and Hood</x:v>
      </x:c>
      <x:c r="L321" s="82" t="str">
        <x:v>PR5</x:v>
      </x:c>
      <x:c r="M321" s="82" t="str">
        <x:v>Chrome / / / Plastic</x:v>
      </x:c>
      <x:c r="N321" s="82" t="str">
        <x:v>Clear</x:v>
      </x:c>
      <x:c r="O321" s="82" t="str">
        <x:v>Black</x:v>
      </x:c>
      <x:c r="P321" s="82" t="str">
        <x:v>Malaysia</x:v>
      </x:c>
      <x:c r="Q321" s="82" t="str"/>
      <x:c r="R321" s="82" t="str">
        <x:v>Mainline</x:v>
      </x:c>
      <x:c r="S321" s="82" t="str">
        <x:v>Incomum</x:v>
      </x:c>
      <x:c r="T321" s="82" t="str">
        <x:v>Lançado</x:v>
      </x:c>
      <x:c r="U321" s="82" t="str"/>
      <x:c r="V321" s="80" t="str">
        <x:v>Coleção principal (~1:64)</x:v>
      </x:c>
      <x:c r="W321" s="82" t="str">
        <x:v>https://hotwheels.fandom.com/wiki/Ferrari_F430_Spider</x:v>
      </x:c>
      <x:c r="X321" s="82" t="str">
        <x:v>https://hotwheels.fandom.com/wiki/Ferrari_F430_Spider</x:v>
      </x:c>
    </x:row>
    <x:row r="322">
      <x:c r="A322" s="80" t="str">
        <x:v>Não</x:v>
      </x:c>
      <x:c r="B322" s="80" t="str">
        <x:v>2 — Completar aos poucos</x:v>
      </x:c>
      <x:c r="C322" s="81" t="n">
        <x:v>2005</x:v>
      </x:c>
      <x:c r="D322" s="80" t="str">
        <x:v>Enzo Ferrari ('Tooned)</x:v>
      </x:c>
      <x:c r="E322" s="80" t="str">
        <x:v>Enzo Ferrari</x:v>
      </x:c>
      <x:c r="F322" s="82" t="str">
        <x:v>Singapore Polytechnic</x:v>
      </x:c>
      <x:c r="G322" s="80" t="str"/>
      <x:c r="H322" s="80" t="str"/>
      <x:c r="I322" s="83" t="str"/>
      <x:c r="J322" s="80" t="str">
        <x:v>Red</x:v>
      </x:c>
      <x:c r="K322" s="82" t="str">
        <x:v>Ferrari emblem on front &amp; sides, Silver headlights, Yellow flames on top 7 sides, 'Pro/E Design Competition 2005' on back, Singapore Polytechnic logo on front</x:v>
      </x:c>
      <x:c r="L322" s="82" t="str">
        <x:v>PR5</x:v>
      </x:c>
      <x:c r="M322" s="82" t="str">
        <x:v>Black / / / Plastic</x:v>
      </x:c>
      <x:c r="N322" s="82" t="str">
        <x:v>Tinted (Black)</x:v>
      </x:c>
      <x:c r="O322" s="82" t="str">
        <x:v>Chrome</x:v>
      </x:c>
      <x:c r="P322" s="82" t="str"/>
      <x:c r="Q322" s="82" t="str"/>
      <x:c r="R322" s="82" t="str">
        <x:v>Outra linha</x:v>
      </x:c>
      <x:c r="S322" s="82" t="str">
        <x:v>Incomum</x:v>
      </x:c>
      <x:c r="T322" s="82" t="str">
        <x:v>Lançado</x:v>
      </x:c>
      <x:c r="U322" s="82" t="str">
        <x:v>Only 500 released / Released March 9th, 2005</x:v>
      </x:c>
      <x:c r="V322" s="80" t="str">
        <x:v>Coleção principal (~1:64)</x:v>
      </x:c>
      <x:c r="W322" s="82" t="str">
        <x:v>https://hotwheels.fandom.com/wiki/Enzo_Ferrari_(%27Tooned)</x:v>
      </x:c>
      <x:c r="X322" s="82" t="str">
        <x:v>https://hotwheels.fandom.com/wiki/Enzo_Ferrari_(%27Tooned)</x:v>
      </x:c>
    </x:row>
    <x:row r="323">
      <x:c r="A323" s="80" t="str">
        <x:v>Não</x:v>
      </x:c>
      <x:c r="B323" s="80" t="str">
        <x:v>2 — Completar aos poucos</x:v>
      </x:c>
      <x:c r="C323" s="81" t="n">
        <x:v>2005</x:v>
      </x:c>
      <x:c r="D323" s="80" t="str">
        <x:v>Enzo Ferrari (100%)</x:v>
      </x:c>
      <x:c r="E323" s="80" t="str">
        <x:v>Enzo Ferrari</x:v>
      </x:c>
      <x:c r="F323" s="82" t="str">
        <x:v>100% Hot Wheels</x:v>
      </x:c>
      <x:c r="G323" s="80" t="str"/>
      <x:c r="H323" s="80" t="str"/>
      <x:c r="I323" s="83" t="str">
        <x:v>G9232</x:v>
      </x:c>
      <x:c r="J323" s="80" t="str">
        <x:v>Red</x:v>
      </x:c>
      <x:c r="K323" s="82" t="str">
        <x:v>Ferrari Badge on side &amp; on top front</x:v>
      </x:c>
      <x:c r="L323" s="82" t="str">
        <x:v>RR</x:v>
      </x:c>
      <x:c r="M323" s="82" t="str">
        <x:v>Black / / / Metal</x:v>
      </x:c>
      <x:c r="N323" s="82" t="str">
        <x:v>Clear</x:v>
      </x:c>
      <x:c r="O323" s="82" t="str">
        <x:v>Black</x:v>
      </x:c>
      <x:c r="P323" s="82" t="str">
        <x:v>China</x:v>
      </x:c>
      <x:c r="Q323" s="82" t="str"/>
      <x:c r="R323" s="82" t="str">
        <x:v>100% / Collectibles</x:v>
      </x:c>
      <x:c r="S323" s="82" t="str">
        <x:v>Incomum</x:v>
      </x:c>
      <x:c r="T323" s="82" t="str">
        <x:v>Lançado</x:v>
      </x:c>
      <x:c r="U323" s="82" t="str">
        <x:v>Packaged in canister</x:v>
      </x:c>
      <x:c r="V323" s="80" t="str">
        <x:v>Coleção principal (~1:64)</x:v>
      </x:c>
      <x:c r="W323" s="82" t="str">
        <x:v>https://hotwheels.fandom.com/wiki/Enzo_Ferrari_(100%25)</x:v>
      </x:c>
      <x:c r="X323" s="82" t="str">
        <x:v>https://hotwheels.fandom.com/wiki/Enzo_Ferrari_(100%25)</x:v>
      </x:c>
    </x:row>
    <x:row r="324">
      <x:c r="A324" s="80" t="str">
        <x:v>Não</x:v>
      </x:c>
      <x:c r="B324" s="80" t="str">
        <x:v>2 — Completar aos poucos</x:v>
      </x:c>
      <x:c r="C324" s="81" t="n">
        <x:v>2005</x:v>
      </x:c>
      <x:c r="D324" s="80" t="str">
        <x:v>Enzo Ferrari (100%)</x:v>
      </x:c>
      <x:c r="E324" s="80" t="str">
        <x:v>Enzo Ferrari</x:v>
      </x:c>
      <x:c r="F324" s="82" t="str">
        <x:v>FAO Schwarz Hot Wheels Factory</x:v>
      </x:c>
      <x:c r="G324" s="80" t="str"/>
      <x:c r="H324" s="80" t="str"/>
      <x:c r="I324" s="83" t="str"/>
      <x:c r="J324" s="80" t="str">
        <x:v>Candy Red</x:v>
      </x:c>
      <x:c r="K324" s="82" t="str">
        <x:v>Ferrari Badge on side &amp; on top front</x:v>
      </x:c>
      <x:c r="L324" s="82" t="str">
        <x:v>RR</x:v>
      </x:c>
      <x:c r="M324" s="82" t="str">
        <x:v>Black / / / Metal</x:v>
      </x:c>
      <x:c r="N324" s="82" t="str">
        <x:v>Clear</x:v>
      </x:c>
      <x:c r="O324" s="82" t="str">
        <x:v>Black</x:v>
      </x:c>
      <x:c r="P324" s="82" t="str">
        <x:v>China</x:v>
      </x:c>
      <x:c r="Q324" s="82" t="str"/>
      <x:c r="R324" s="82" t="str">
        <x:v>Outra linha</x:v>
      </x:c>
      <x:c r="S324" s="82" t="str">
        <x:v>Incomum</x:v>
      </x:c>
      <x:c r="T324" s="82" t="str">
        <x:v>Lançado</x:v>
      </x:c>
      <x:c r="U324" s="82" t="str">
        <x:v>Production Date(s): 2066ME, 2847ME</x:v>
      </x:c>
      <x:c r="V324" s="80" t="str">
        <x:v>Coleção principal (~1:64)</x:v>
      </x:c>
      <x:c r="W324" s="82" t="str">
        <x:v>https://hotwheels.fandom.com/wiki/Enzo_Ferrari_(100%25)</x:v>
      </x:c>
      <x:c r="X324" s="82" t="str">
        <x:v>https://hotwheels.fandom.com/wiki/Enzo_Ferrari_(100%25)</x:v>
      </x:c>
    </x:row>
    <x:row r="325">
      <x:c r="A325" s="80" t="str">
        <x:v>Não</x:v>
      </x:c>
      <x:c r="B325" s="80" t="str">
        <x:v>2 — Completar aos poucos</x:v>
      </x:c>
      <x:c r="C325" s="81" t="n">
        <x:v>2005</x:v>
      </x:c>
      <x:c r="D325" s="80" t="str">
        <x:v>Enzo Ferrari (100%)</x:v>
      </x:c>
      <x:c r="E325" s="80" t="str">
        <x:v>Enzo Ferrari</x:v>
      </x:c>
      <x:c r="F325" s="82" t="str">
        <x:v>FAO Schwarz Hot Wheels Factory</x:v>
      </x:c>
      <x:c r="G325" s="80" t="str"/>
      <x:c r="H325" s="80" t="str"/>
      <x:c r="I325" s="83" t="str"/>
      <x:c r="J325" s="80" t="str">
        <x:v>Yellow</x:v>
      </x:c>
      <x:c r="K325" s="82" t="str">
        <x:v>Ferrari Badge on side &amp; on top front</x:v>
      </x:c>
      <x:c r="L325" s="82" t="str">
        <x:v>RR</x:v>
      </x:c>
      <x:c r="M325" s="82" t="str">
        <x:v>Black / / / Metal</x:v>
      </x:c>
      <x:c r="N325" s="82" t="str">
        <x:v>Clear</x:v>
      </x:c>
      <x:c r="O325" s="82" t="str">
        <x:v>Black</x:v>
      </x:c>
      <x:c r="P325" s="82" t="str">
        <x:v>China</x:v>
      </x:c>
      <x:c r="Q325" s="82" t="str"/>
      <x:c r="R325" s="82" t="str">
        <x:v>Outra linha</x:v>
      </x:c>
      <x:c r="S325" s="82" t="str">
        <x:v>Incomum</x:v>
      </x:c>
      <x:c r="T325" s="82" t="str">
        <x:v>Lançado</x:v>
      </x:c>
      <x:c r="U325" s="82" t="str">
        <x:v>Production Date(s): 2847ME</x:v>
      </x:c>
      <x:c r="V325" s="80" t="str">
        <x:v>Coleção principal (~1:64)</x:v>
      </x:c>
      <x:c r="W325" s="82" t="str">
        <x:v>https://hotwheels.fandom.com/wiki/Enzo_Ferrari_(100%25)</x:v>
      </x:c>
      <x:c r="X325" s="82" t="str">
        <x:v>https://hotwheels.fandom.com/wiki/Enzo_Ferrari_(100%25)</x:v>
      </x:c>
    </x:row>
    <x:row r="326">
      <x:c r="A326" s="80" t="str">
        <x:v>Não</x:v>
      </x:c>
      <x:c r="B326" s="80" t="str">
        <x:v>2 — Completar aos poucos</x:v>
      </x:c>
      <x:c r="C326" s="81" t="n">
        <x:v>2005</x:v>
      </x:c>
      <x:c r="D326" s="80" t="str">
        <x:v>Enzo Ferrari (100%)</x:v>
      </x:c>
      <x:c r="E326" s="80" t="str">
        <x:v>Enzo Ferrari</x:v>
      </x:c>
      <x:c r="F326" s="82" t="str">
        <x:v>Ferrari 2-Car Set</x:v>
      </x:c>
      <x:c r="G326" s="80" t="str"/>
      <x:c r="H326" s="80" t="str"/>
      <x:c r="I326" s="83" t="str">
        <x:v>H6979</x:v>
      </x:c>
      <x:c r="J326" s="80" t="str">
        <x:v>Red</x:v>
      </x:c>
      <x:c r="K326" s="82" t="str">
        <x:v>Ferrari Badge on side &amp; on top front</x:v>
      </x:c>
      <x:c r="L326" s="82" t="str">
        <x:v>RR</x:v>
      </x:c>
      <x:c r="M326" s="82" t="str">
        <x:v>Black / / / Metal</x:v>
      </x:c>
      <x:c r="N326" s="82" t="str">
        <x:v>Clear</x:v>
      </x:c>
      <x:c r="O326" s="82" t="str">
        <x:v>Black</x:v>
      </x:c>
      <x:c r="P326" s="82" t="str">
        <x:v>China</x:v>
      </x:c>
      <x:c r="Q326" s="82" t="str"/>
      <x:c r="R326" s="82" t="str">
        <x:v>Outra linha</x:v>
      </x:c>
      <x:c r="S326" s="82" t="str">
        <x:v>Incomum</x:v>
      </x:c>
      <x:c r="T326" s="82" t="str">
        <x:v>Lançado</x:v>
      </x:c>
      <x:c r="U326" s="82" t="str"/>
      <x:c r="V326" s="80" t="str">
        <x:v>Coleção principal (~1:64)</x:v>
      </x:c>
      <x:c r="W326" s="82" t="str">
        <x:v>https://hotwheels.fandom.com/wiki/Enzo_Ferrari_(100%25)</x:v>
      </x:c>
      <x:c r="X326" s="82" t="str">
        <x:v>https://hotwheels.fandom.com/wiki/Enzo_Ferrari_(100%25)</x:v>
      </x:c>
    </x:row>
    <x:row r="327">
      <x:c r="A327" s="80" t="str">
        <x:v>Não</x:v>
      </x:c>
      <x:c r="B327" s="80" t="str">
        <x:v>2 — Completar aos poucos</x:v>
      </x:c>
      <x:c r="C327" s="81" t="n">
        <x:v>2005</x:v>
      </x:c>
      <x:c r="D327" s="80" t="str">
        <x:v>Ferrari 250 GTO (100%)</x:v>
      </x:c>
      <x:c r="E327" s="80" t="str">
        <x:v>Ferrari 250 GTO</x:v>
      </x:c>
      <x:c r="F327" s="82" t="str">
        <x:v>Ferrari 2-Car Set</x:v>
      </x:c>
      <x:c r="G327" s="80" t="str"/>
      <x:c r="H327" s="80" t="str"/>
      <x:c r="I327" s="83" t="str">
        <x:v>H6979</x:v>
      </x:c>
      <x:c r="J327" s="80" t="str">
        <x:v>Red</x:v>
      </x:c>
      <x:c r="K327" s="82" t="str">
        <x:v>Taillights and trim</x:v>
      </x:c>
      <x:c r="L327" s="82" t="str">
        <x:v>RR</x:v>
      </x:c>
      <x:c r="M327" s="82" t="str">
        <x:v>Black / / / Metal</x:v>
      </x:c>
      <x:c r="N327" s="82" t="str">
        <x:v>Clear</x:v>
      </x:c>
      <x:c r="O327" s="82" t="str">
        <x:v>Black with red seats</x:v>
      </x:c>
      <x:c r="P327" s="82" t="str">
        <x:v>China</x:v>
      </x:c>
      <x:c r="Q327" s="82" t="str"/>
      <x:c r="R327" s="82" t="str">
        <x:v>Outra linha</x:v>
      </x:c>
      <x:c r="S327" s="82" t="str">
        <x:v>Incomum</x:v>
      </x:c>
      <x:c r="T327" s="82" t="str">
        <x:v>Lançado</x:v>
      </x:c>
      <x:c r="U327" s="82" t="str"/>
      <x:c r="V327" s="80" t="str">
        <x:v>Coleção principal (~1:64)</x:v>
      </x:c>
      <x:c r="W327" s="82" t="str">
        <x:v>https://hotwheels.fandom.com/wiki/Ferrari_250_GTO_(100%25)</x:v>
      </x:c>
      <x:c r="X327" s="82" t="str">
        <x:v>https://hotwheels.fandom.com/wiki/Ferrari_250_GTO_(100%25)</x:v>
      </x:c>
    </x:row>
    <x:row r="328">
      <x:c r="A328" s="80" t="str">
        <x:v>Não</x:v>
      </x:c>
      <x:c r="B328" s="80" t="str">
        <x:v>2 — Completar aos poucos</x:v>
      </x:c>
      <x:c r="C328" s="81" t="n">
        <x:v>2005</x:v>
      </x:c>
      <x:c r="D328" s="80" t="str">
        <x:v>Ferrari 330 P4</x:v>
      </x:c>
      <x:c r="E328" s="80" t="str">
        <x:v>Ferrari 330 P4</x:v>
      </x:c>
      <x:c r="F328" s="82" t="str">
        <x:v>Ferrari 5-Pack</x:v>
      </x:c>
      <x:c r="G328" s="80" t="str"/>
      <x:c r="H328" s="80" t="str"/>
      <x:c r="I328" s="83" t="str">
        <x:v>G6920</x:v>
      </x:c>
      <x:c r="J328" s="80" t="str">
        <x:v>Flat Black</x:v>
      </x:c>
      <x:c r="K328" s="82" t="str">
        <x:v>Red, black, and white flames on sides, "20" on sides</x:v>
      </x:c>
      <x:c r="L328" s="82" t="str">
        <x:v>Gold 5SP</x:v>
      </x:c>
      <x:c r="M328" s="82" t="str">
        <x:v>Chrome</x:v>
      </x:c>
      <x:c r="N328" s="82" t="str">
        <x:v>Clear</x:v>
      </x:c>
      <x:c r="O328" s="82" t="str">
        <x:v>Chrome</x:v>
      </x:c>
      <x:c r="P328" s="82" t="str">
        <x:v>Thailand</x:v>
      </x:c>
      <x:c r="Q328" s="82" t="str"/>
      <x:c r="R328" s="82" t="str">
        <x:v>Temática / multipack</x:v>
      </x:c>
      <x:c r="S328" s="82" t="str">
        <x:v>Incomum</x:v>
      </x:c>
      <x:c r="T328" s="82" t="str">
        <x:v>Lançado</x:v>
      </x:c>
      <x:c r="U328" s="82" t="str"/>
      <x:c r="V328" s="80" t="str">
        <x:v>Coleção principal (~1:64)</x:v>
      </x:c>
      <x:c r="W328" s="82" t="str">
        <x:v>https://hotwheels.fandom.com/wiki/Ferrari_330_P4</x:v>
      </x:c>
      <x:c r="X328" s="82" t="str">
        <x:v>https://hotwheels.fandom.com/wiki/Ferrari_330_P4</x:v>
      </x:c>
    </x:row>
    <x:row r="329">
      <x:c r="A329" s="80" t="str">
        <x:v>Não</x:v>
      </x:c>
      <x:c r="B329" s="80" t="str">
        <x:v>2 — Completar aos poucos</x:v>
      </x:c>
      <x:c r="C329" s="81" t="n">
        <x:v>2005</x:v>
      </x:c>
      <x:c r="D329" s="80" t="str">
        <x:v>Ferrari 333 SP</x:v>
      </x:c>
      <x:c r="E329" s="80" t="str">
        <x:v>Ferrari 333 SP</x:v>
      </x:c>
      <x:c r="F329" s="82" t="str">
        <x:v>Ferrari 5-Pack</x:v>
      </x:c>
      <x:c r="G329" s="80" t="str"/>
      <x:c r="H329" s="80" t="str"/>
      <x:c r="I329" s="83" t="str">
        <x:v>G6920</x:v>
      </x:c>
      <x:c r="J329" s="80" t="str">
        <x:v>Red</x:v>
      </x:c>
      <x:c r="K329" s="82" t="str">
        <x:v>Ferrari" and Black and Yellow flame tampos</x:v>
      </x:c>
      <x:c r="L329" s="82" t="str">
        <x:v>5SP</x:v>
      </x:c>
      <x:c r="M329" s="82" t="str">
        <x:v>Black / / / Plastic</x:v>
      </x:c>
      <x:c r="N329" s="82" t="str"/>
      <x:c r="O329" s="82" t="str">
        <x:v>Black</x:v>
      </x:c>
      <x:c r="P329" s="82" t="str">
        <x:v>Thailand</x:v>
      </x:c>
      <x:c r="Q329" s="82" t="str"/>
      <x:c r="R329" s="82" t="str">
        <x:v>Temática / multipack</x:v>
      </x:c>
      <x:c r="S329" s="82" t="str">
        <x:v>Incomum</x:v>
      </x:c>
      <x:c r="T329" s="82" t="str">
        <x:v>Lançado</x:v>
      </x:c>
      <x:c r="U329" s="82" t="str"/>
      <x:c r="V329" s="80" t="str">
        <x:v>Coleção principal (~1:64)</x:v>
      </x:c>
      <x:c r="W329" s="82" t="str">
        <x:v>https://hotwheels.fandom.com/wiki/Ferrari_333_SP</x:v>
      </x:c>
      <x:c r="X329" s="82" t="str">
        <x:v>https://hotwheels.fandom.com/wiki/Ferrari_333_SP</x:v>
      </x:c>
    </x:row>
    <x:row r="330">
      <x:c r="A330" s="80" t="str">
        <x:v>Não</x:v>
      </x:c>
      <x:c r="B330" s="80" t="str">
        <x:v>2 — Completar aos poucos</x:v>
      </x:c>
      <x:c r="C330" s="81" t="n">
        <x:v>2005</x:v>
      </x:c>
      <x:c r="D330" s="80" t="str">
        <x:v>Ferrari 360 Modena (X-Raycers)</x:v>
      </x:c>
      <x:c r="E330" s="80" t="str">
        <x:v>Ferrari 360 Modena</x:v>
      </x:c>
      <x:c r="F330" s="82" t="str">
        <x:v>2005 First Editions: X‑Raycers / 01/10</x:v>
      </x:c>
      <x:c r="G330" s="80" t="str"/>
      <x:c r="H330" s="80" t="str">
        <x:v>051</x:v>
      </x:c>
      <x:c r="I330" s="83" t="str">
        <x:v>G6712</x:v>
      </x:c>
      <x:c r="J330" s="80" t="str">
        <x:v>Transparent Dark Red</x:v>
      </x:c>
      <x:c r="K330" s="82" t="str">
        <x:v>Detailed head- &amp; taillights, Ferrari logo on front, 'Ferrari' on hood</x:v>
      </x:c>
      <x:c r="L330" s="82" t="str">
        <x:v>PR5</x:v>
      </x:c>
      <x:c r="M330" s="82" t="str">
        <x:v>Unpainted / / / Metal</x:v>
      </x:c>
      <x:c r="N330" s="82" t="str">
        <x:v>Clear</x:v>
      </x:c>
      <x:c r="O330" s="82" t="str">
        <x:v>Chrome</x:v>
      </x:c>
      <x:c r="P330" s="82" t="str">
        <x:v>Malaysia</x:v>
      </x:c>
      <x:c r="Q330" s="82" t="str"/>
      <x:c r="R330" s="82" t="str">
        <x:v>Mainline</x:v>
      </x:c>
      <x:c r="S330" s="82" t="str">
        <x:v>Incomum</x:v>
      </x:c>
      <x:c r="T330" s="82" t="str">
        <x:v>Lançado</x:v>
      </x:c>
      <x:c r="U330" s="82" t="str"/>
      <x:c r="V330" s="80" t="str">
        <x:v>Coleção principal (~1:64)</x:v>
      </x:c>
      <x:c r="W330" s="82" t="str">
        <x:v>https://hotwheels.fandom.com/wiki/Ferrari_360_Modena_(X-Raycers)</x:v>
      </x:c>
      <x:c r="X330" s="82" t="str">
        <x:v>https://hotwheels.fandom.com/wiki/Ferrari_360_Modena_(X-Raycers)</x:v>
      </x:c>
    </x:row>
    <x:row r="331">
      <x:c r="A331" s="80" t="str">
        <x:v>Não</x:v>
      </x:c>
      <x:c r="B331" s="80" t="str">
        <x:v>2 — Completar aos poucos</x:v>
      </x:c>
      <x:c r="C331" s="81" t="n">
        <x:v>2005</x:v>
      </x:c>
      <x:c r="D331" s="80" t="str">
        <x:v>Ferrari 360 Modena (X-Raycers)</x:v>
      </x:c>
      <x:c r="E331" s="80" t="str">
        <x:v>Ferrari 360 Modena</x:v>
      </x:c>
      <x:c r="F331" s="82" t="str">
        <x:v>2005 First Editions: X‑Raycers / 01/10</x:v>
      </x:c>
      <x:c r="G331" s="80" t="str"/>
      <x:c r="H331" s="80" t="str">
        <x:v>051</x:v>
      </x:c>
      <x:c r="I331" s="83" t="str">
        <x:v>G6712</x:v>
      </x:c>
      <x:c r="J331" s="80" t="str">
        <x:v>Transparent Dark Red</x:v>
      </x:c>
      <x:c r="K331" s="82" t="str">
        <x:v>Detailed head- &amp; taillights, Ferrari logo on front, 'Ferrari' on hood</x:v>
      </x:c>
      <x:c r="L331" s="82" t="str">
        <x:v>FTE</x:v>
      </x:c>
      <x:c r="M331" s="82" t="str">
        <x:v>Unpainted / / / Metal</x:v>
      </x:c>
      <x:c r="N331" s="82" t="str">
        <x:v>Clear</x:v>
      </x:c>
      <x:c r="O331" s="82" t="str">
        <x:v>Chrome</x:v>
      </x:c>
      <x:c r="P331" s="82" t="str">
        <x:v>Malaysia</x:v>
      </x:c>
      <x:c r="Q331" s="82" t="str"/>
      <x:c r="R331" s="82" t="str">
        <x:v>Mainline</x:v>
      </x:c>
      <x:c r="S331" s="82" t="str">
        <x:v>Incomum</x:v>
      </x:c>
      <x:c r="T331" s="82" t="str">
        <x:v>Lançado</x:v>
      </x:c>
      <x:c r="U331" s="82" t="str"/>
      <x:c r="V331" s="80" t="str">
        <x:v>Coleção principal (~1:64)</x:v>
      </x:c>
      <x:c r="W331" s="82" t="str">
        <x:v>https://hotwheels.fandom.com/wiki/Ferrari_360_Modena_(X-Raycers)</x:v>
      </x:c>
      <x:c r="X331" s="82" t="str">
        <x:v>https://hotwheels.fandom.com/wiki/Ferrari_360_Modena_(X-Raycers)</x:v>
      </x:c>
    </x:row>
    <x:row r="332">
      <x:c r="A332" s="80" t="str">
        <x:v>Não</x:v>
      </x:c>
      <x:c r="B332" s="80" t="str">
        <x:v>2 — Completar aos poucos</x:v>
      </x:c>
      <x:c r="C332" s="81" t="n">
        <x:v>2005</x:v>
      </x:c>
      <x:c r="D332" s="80" t="str">
        <x:v>Ferrari 365 GTB/4</x:v>
      </x:c>
      <x:c r="E332" s="80" t="str">
        <x:v>Ferrari 365 GTB/4</x:v>
      </x:c>
      <x:c r="F332" s="82" t="str">
        <x:v>Ferrari 5-Pack</x:v>
      </x:c>
      <x:c r="G332" s="80" t="str"/>
      <x:c r="H332" s="80" t="str"/>
      <x:c r="I332" s="83" t="str">
        <x:v>G6920</x:v>
      </x:c>
      <x:c r="J332" s="80" t="str">
        <x:v>Red</x:v>
      </x:c>
      <x:c r="K332" s="82" t="str">
        <x:v>Yellow outlined Black flames, "21"</x:v>
      </x:c>
      <x:c r="L332" s="82" t="str">
        <x:v>PR5</x:v>
      </x:c>
      <x:c r="M332" s="82" t="str">
        <x:v>Unpainted / / / Metal</x:v>
      </x:c>
      <x:c r="N332" s="82" t="str">
        <x:v>Clear</x:v>
      </x:c>
      <x:c r="O332" s="82" t="str">
        <x:v>Black</x:v>
      </x:c>
      <x:c r="P332" s="82" t="str">
        <x:v>Thailand</x:v>
      </x:c>
      <x:c r="Q332" s="82" t="str"/>
      <x:c r="R332" s="82" t="str">
        <x:v>Temática / multipack</x:v>
      </x:c>
      <x:c r="S332" s="82" t="str">
        <x:v>Incomum</x:v>
      </x:c>
      <x:c r="T332" s="82" t="str">
        <x:v>Lançado</x:v>
      </x:c>
      <x:c r="U332" s="82" t="str"/>
      <x:c r="V332" s="80" t="str">
        <x:v>Coleção principal (~1:64)</x:v>
      </x:c>
      <x:c r="W332" s="82" t="str">
        <x:v>https://hotwheels.fandom.com/wiki/Ferrari_365_GTB/4</x:v>
      </x:c>
      <x:c r="X332" s="82" t="str">
        <x:v>https://hotwheels.fandom.com/wiki/Ferrari_365_GTB/4</x:v>
      </x:c>
    </x:row>
    <x:row r="333">
      <x:c r="A333" s="80" t="str">
        <x:v>Não</x:v>
      </x:c>
      <x:c r="B333" s="80" t="str">
        <x:v>2 — Completar aos poucos</x:v>
      </x:c>
      <x:c r="C333" s="81" t="n">
        <x:v>2005</x:v>
      </x:c>
      <x:c r="D333" s="80" t="str">
        <x:v>Ferrari 365 GTB/4</x:v>
      </x:c>
      <x:c r="E333" s="80" t="str">
        <x:v>Ferrari 365 GTB/4</x:v>
      </x:c>
      <x:c r="F333" s="82" t="str">
        <x:v>Ferrari 5-Pack</x:v>
      </x:c>
      <x:c r="G333" s="80" t="str"/>
      <x:c r="H333" s="80" t="str">
        <x:v>5SP</x:v>
      </x:c>
      <x:c r="I333" s="83" t="str">
        <x:v>G6920</x:v>
      </x:c>
      <x:c r="J333" s="80" t="str">
        <x:v>Red</x:v>
      </x:c>
      <x:c r="K333" s="82" t="str">
        <x:v>Yellow outlined Black flames, "21"</x:v>
      </x:c>
      <x:c r="L333" s="82" t="str"/>
      <x:c r="M333" s="82" t="str">
        <x:v>Unpainted / / / Metal</x:v>
      </x:c>
      <x:c r="N333" s="82" t="str">
        <x:v>Clear</x:v>
      </x:c>
      <x:c r="O333" s="82" t="str">
        <x:v>Black</x:v>
      </x:c>
      <x:c r="P333" s="82" t="str">
        <x:v>Thailand</x:v>
      </x:c>
      <x:c r="Q333" s="82" t="str"/>
      <x:c r="R333" s="82" t="str">
        <x:v>Temática / multipack</x:v>
      </x:c>
      <x:c r="S333" s="82" t="str">
        <x:v>Incomum</x:v>
      </x:c>
      <x:c r="T333" s="82" t="str">
        <x:v>Lançado</x:v>
      </x:c>
      <x:c r="U333" s="82" t="str"/>
      <x:c r="V333" s="80" t="str">
        <x:v>Coleção principal (~1:64)</x:v>
      </x:c>
      <x:c r="W333" s="82" t="str">
        <x:v>https://hotwheels.fandom.com/wiki/Ferrari_365_GTB/4</x:v>
      </x:c>
      <x:c r="X333" s="82" t="str">
        <x:v>https://hotwheels.fandom.com/wiki/Ferrari_365_GTB/4</x:v>
      </x:c>
    </x:row>
    <x:row r="334">
      <x:c r="A334" s="80" t="str">
        <x:v>Não</x:v>
      </x:c>
      <x:c r="B334" s="80" t="str">
        <x:v>2 — Completar aos poucos</x:v>
      </x:c>
      <x:c r="C334" s="81" t="n">
        <x:v>2005</x:v>
      </x:c>
      <x:c r="D334" s="80" t="str">
        <x:v>Ferrari 575 GTC</x:v>
      </x:c>
      <x:c r="E334" s="80" t="str">
        <x:v>Ferrari 575 GTC</x:v>
      </x:c>
      <x:c r="F334" s="82" t="str">
        <x:v>2005 First Editions: Realistix / 3/20</x:v>
      </x:c>
      <x:c r="G334" s="80" t="str"/>
      <x:c r="H334" s="80" t="str">
        <x:v>003</x:v>
      </x:c>
      <x:c r="I334" s="83" t="str">
        <x:v>G6690</x:v>
      </x:c>
      <x:c r="J334" s="80" t="str">
        <x:v>Red</x:v>
      </x:c>
      <x:c r="K334" s="82" t="str">
        <x:v>Orange Hot Wheels logo, White "Ferrari", "Team 573", "Pirelli" on sides &amp; Ferrari logo on hood</x:v>
      </x:c>
      <x:c r="L334" s="82" t="str">
        <x:v>PR5</x:v>
      </x:c>
      <x:c r="M334" s="82" t="str">
        <x:v>Black / / / Metal</x:v>
      </x:c>
      <x:c r="N334" s="82" t="str">
        <x:v>Clear</x:v>
      </x:c>
      <x:c r="O334" s="82" t="str">
        <x:v>Grey</x:v>
      </x:c>
      <x:c r="P334" s="82" t="str">
        <x:v>Malaysia</x:v>
      </x:c>
      <x:c r="Q334" s="82" t="str"/>
      <x:c r="R334" s="82" t="str">
        <x:v>Mainline</x:v>
      </x:c>
      <x:c r="S334" s="82" t="str">
        <x:v>Incomum</x:v>
      </x:c>
      <x:c r="T334" s="82" t="str">
        <x:v>Lançado</x:v>
      </x:c>
      <x:c r="U334" s="82" t="str"/>
      <x:c r="V334" s="80" t="str">
        <x:v>Coleção principal (~1:64)</x:v>
      </x:c>
      <x:c r="W334" s="82" t="str">
        <x:v>https://hotwheels.fandom.com/wiki/Ferrari_575_GTC</x:v>
      </x:c>
      <x:c r="X334" s="82" t="str">
        <x:v>https://hotwheels.fandom.com/wiki/Ferrari_575_GTC</x:v>
      </x:c>
    </x:row>
    <x:row r="335">
      <x:c r="A335" s="80" t="str">
        <x:v>Não</x:v>
      </x:c>
      <x:c r="B335" s="80" t="str">
        <x:v>2 — Completar aos poucos</x:v>
      </x:c>
      <x:c r="C335" s="81" t="n">
        <x:v>2005</x:v>
      </x:c>
      <x:c r="D335" s="80" t="str">
        <x:v>Ferrari 575 GTC</x:v>
      </x:c>
      <x:c r="E335" s="80" t="str">
        <x:v>Ferrari 575 GTC</x:v>
      </x:c>
      <x:c r="F335" s="82" t="str">
        <x:v>2005 First Editions: Realistix / 3/20</x:v>
      </x:c>
      <x:c r="G335" s="80" t="str"/>
      <x:c r="H335" s="80" t="str">
        <x:v>003</x:v>
      </x:c>
      <x:c r="I335" s="83" t="str">
        <x:v>G6690</x:v>
      </x:c>
      <x:c r="J335" s="80" t="str">
        <x:v>Red</x:v>
      </x:c>
      <x:c r="K335" s="82" t="str">
        <x:v>Orange Hot Wheels logo, White "Ferrari", "Team 573", "Pirelli" on sides &amp; Ferrari logo on hood</x:v>
      </x:c>
      <x:c r="L335" s="82" t="str">
        <x:v>10SP</x:v>
      </x:c>
      <x:c r="M335" s="82" t="str">
        <x:v>Black / / / Metal</x:v>
      </x:c>
      <x:c r="N335" s="82" t="str">
        <x:v>Clear</x:v>
      </x:c>
      <x:c r="O335" s="82" t="str">
        <x:v>Grey</x:v>
      </x:c>
      <x:c r="P335" s="82" t="str">
        <x:v>Malaysia</x:v>
      </x:c>
      <x:c r="Q335" s="82" t="str"/>
      <x:c r="R335" s="82" t="str">
        <x:v>Mainline</x:v>
      </x:c>
      <x:c r="S335" s="82" t="str">
        <x:v>Incomum</x:v>
      </x:c>
      <x:c r="T335" s="82" t="str">
        <x:v>Lançado</x:v>
      </x:c>
      <x:c r="U335" s="82" t="str"/>
      <x:c r="V335" s="80" t="str">
        <x:v>Coleção principal (~1:64)</x:v>
      </x:c>
      <x:c r="W335" s="82" t="str">
        <x:v>https://hotwheels.fandom.com/wiki/Ferrari_575_GTC</x:v>
      </x:c>
      <x:c r="X335" s="82" t="str">
        <x:v>https://hotwheels.fandom.com/wiki/Ferrari_575_GTC</x:v>
      </x:c>
    </x:row>
    <x:row r="336">
      <x:c r="A336" s="80" t="str">
        <x:v>Não</x:v>
      </x:c>
      <x:c r="B336" s="80" t="str">
        <x:v>2 — Completar aos poucos</x:v>
      </x:c>
      <x:c r="C336" s="81" t="n">
        <x:v>2005</x:v>
      </x:c>
      <x:c r="D336" s="80" t="str">
        <x:v>Ferrari F50 Challenge</x:v>
      </x:c>
      <x:c r="E336" s="80" t="str">
        <x:v>Ferrari F50 Challenge</x:v>
      </x:c>
      <x:c r="F336" s="82" t="str">
        <x:v>Ferrari 5-Pack</x:v>
      </x:c>
      <x:c r="G336" s="80" t="str"/>
      <x:c r="H336" s="80" t="str"/>
      <x:c r="I336" s="83" t="str">
        <x:v>G6920</x:v>
      </x:c>
      <x:c r="J336" s="80" t="str">
        <x:v>Gray</x:v>
      </x:c>
      <x:c r="K336" s="82" t="str">
        <x:v>Ferrari Logo on Side &amp; Hood with Silver Flames on Hood</x:v>
      </x:c>
      <x:c r="L336" s="82" t="str">
        <x:v>Chrome 10SP</x:v>
      </x:c>
      <x:c r="M336" s="82" t="str">
        <x:v>ZAMAC</x:v>
      </x:c>
      <x:c r="N336" s="82" t="str">
        <x:v>Clear</x:v>
      </x:c>
      <x:c r="O336" s="82" t="str">
        <x:v>Chrome</x:v>
      </x:c>
      <x:c r="P336" s="82" t="str">
        <x:v>Thailand</x:v>
      </x:c>
      <x:c r="Q336" s="82" t="str"/>
      <x:c r="R336" s="82" t="str">
        <x:v>Temática / multipack</x:v>
      </x:c>
      <x:c r="S336" s="82" t="str">
        <x:v>Incomum</x:v>
      </x:c>
      <x:c r="T336" s="82" t="str">
        <x:v>Lançado</x:v>
      </x:c>
      <x:c r="U336" s="82" t="str"/>
      <x:c r="V336" s="80" t="str">
        <x:v>Coleção principal (~1:64)</x:v>
      </x:c>
      <x:c r="W336" s="82" t="str">
        <x:v>https://hotwheels.fandom.com/wiki/Ferrari_F50_Challenge</x:v>
      </x:c>
      <x:c r="X336" s="82" t="str">
        <x:v>https://hotwheels.fandom.com/wiki/Ferrari_F50_Challenge</x:v>
      </x:c>
    </x:row>
    <x:row r="337">
      <x:c r="A337" s="80" t="str">
        <x:v>Não</x:v>
      </x:c>
      <x:c r="B337" s="80" t="str">
        <x:v>2 — Completar aos poucos</x:v>
      </x:c>
      <x:c r="C337" s="81" t="n">
        <x:v>2004</x:v>
      </x:c>
      <x:c r="D337" s="80" t="str">
        <x:v>Enzo Ferrari ('Tooned)</x:v>
      </x:c>
      <x:c r="E337" s="80" t="str">
        <x:v>Enzo Ferrari</x:v>
      </x:c>
      <x:c r="F337" s="82" t="str">
        <x:v>2004 First Editions / 9/100</x:v>
      </x:c>
      <x:c r="G337" s="80" t="str"/>
      <x:c r="H337" s="80" t="str">
        <x:v>009</x:v>
      </x:c>
      <x:c r="I337" s="83" t="str">
        <x:v>B3556</x:v>
      </x:c>
      <x:c r="J337" s="80" t="str">
        <x:v>Red</x:v>
      </x:c>
      <x:c r="K337" s="82" t="str">
        <x:v>Ferrari emblem on front &amp; sides, Silver headlights, 'Ferrari' on back</x:v>
      </x:c>
      <x:c r="L337" s="82" t="str">
        <x:v>PR5</x:v>
      </x:c>
      <x:c r="M337" s="82" t="str">
        <x:v>Black / / / Plastic</x:v>
      </x:c>
      <x:c r="N337" s="82" t="str">
        <x:v>Smoke tint</x:v>
      </x:c>
      <x:c r="O337" s="82" t="str">
        <x:v>Chrome</x:v>
      </x:c>
      <x:c r="P337" s="82" t="str">
        <x:v>Malaysia</x:v>
      </x:c>
      <x:c r="Q337" s="82" t="str"/>
      <x:c r="R337" s="82" t="str">
        <x:v>Mainline</x:v>
      </x:c>
      <x:c r="S337" s="82" t="str">
        <x:v>Incomum</x:v>
      </x:c>
      <x:c r="T337" s="82" t="str">
        <x:v>Lançado</x:v>
      </x:c>
      <x:c r="U337" s="82" t="str">
        <x:v>Chrome Engine</x:v>
      </x:c>
      <x:c r="V337" s="80" t="str">
        <x:v>Coleção principal (~1:64)</x:v>
      </x:c>
      <x:c r="W337" s="82" t="str">
        <x:v>https://hotwheels.fandom.com/wiki/Enzo_Ferrari_(%27Tooned)</x:v>
      </x:c>
      <x:c r="X337" s="82" t="str">
        <x:v>https://hotwheels.fandom.com/wiki/Enzo_Ferrari_(%27Tooned)</x:v>
      </x:c>
    </x:row>
    <x:row r="338">
      <x:c r="A338" s="80" t="str">
        <x:v>Não</x:v>
      </x:c>
      <x:c r="B338" s="80" t="str">
        <x:v>2 — Completar aos poucos</x:v>
      </x:c>
      <x:c r="C338" s="81" t="n">
        <x:v>2004</x:v>
      </x:c>
      <x:c r="D338" s="80" t="str">
        <x:v>Enzo Ferrari ('Tooned)</x:v>
      </x:c>
      <x:c r="E338" s="80" t="str">
        <x:v>Enzo Ferrari</x:v>
      </x:c>
      <x:c r="F338" s="82" t="str">
        <x:v>2004 First Editions / 9/100</x:v>
      </x:c>
      <x:c r="G338" s="80" t="str"/>
      <x:c r="H338" s="80" t="str">
        <x:v>009</x:v>
      </x:c>
      <x:c r="I338" s="83" t="str">
        <x:v>B3556</x:v>
      </x:c>
      <x:c r="J338" s="80" t="str">
        <x:v>Red</x:v>
      </x:c>
      <x:c r="K338" s="82" t="str">
        <x:v>Ferrari emblem on front &amp; sides, Silver headlights, 'Ferrari' on back</x:v>
      </x:c>
      <x:c r="L338" s="82" t="str">
        <x:v>PR5</x:v>
      </x:c>
      <x:c r="M338" s="82" t="str">
        <x:v>Black / / / Plastic</x:v>
      </x:c>
      <x:c r="N338" s="82" t="str">
        <x:v>Tinted (Black)</x:v>
      </x:c>
      <x:c r="O338" s="82" t="str">
        <x:v>Chrome</x:v>
      </x:c>
      <x:c r="P338" s="82" t="str">
        <x:v>Malaysia</x:v>
      </x:c>
      <x:c r="Q338" s="82" t="str"/>
      <x:c r="R338" s="82" t="str">
        <x:v>Mainline</x:v>
      </x:c>
      <x:c r="S338" s="82" t="str">
        <x:v>Incomum</x:v>
      </x:c>
      <x:c r="T338" s="82" t="str">
        <x:v>Lançado</x:v>
      </x:c>
      <x:c r="U338" s="82" t="str">
        <x:v>Dark Chrome Engine</x:v>
      </x:c>
      <x:c r="V338" s="80" t="str">
        <x:v>Coleção principal (~1:64)</x:v>
      </x:c>
      <x:c r="W338" s="82" t="str">
        <x:v>https://hotwheels.fandom.com/wiki/Enzo_Ferrari_(%27Tooned)</x:v>
      </x:c>
      <x:c r="X338" s="82" t="str">
        <x:v>https://hotwheels.fandom.com/wiki/Enzo_Ferrari_(%27Tooned)</x:v>
      </x:c>
    </x:row>
    <x:row r="339">
      <x:c r="A339" s="80" t="str">
        <x:v>Não</x:v>
      </x:c>
      <x:c r="B339" s="80" t="str">
        <x:v>2 — Completar aos poucos</x:v>
      </x:c>
      <x:c r="C339" s="81" t="n">
        <x:v>2004</x:v>
      </x:c>
      <x:c r="D339" s="80" t="str">
        <x:v>Enzo Ferrari ('Tooned)</x:v>
      </x:c>
      <x:c r="E339" s="80" t="str">
        <x:v>Enzo Ferrari</x:v>
      </x:c>
      <x:c r="F339" s="82" t="str">
        <x:v>2004 First Editions / 9/100</x:v>
      </x:c>
      <x:c r="G339" s="80" t="str"/>
      <x:c r="H339" s="80" t="str">
        <x:v>009</x:v>
      </x:c>
      <x:c r="I339" s="83" t="str">
        <x:v>B3556</x:v>
      </x:c>
      <x:c r="J339" s="80" t="str">
        <x:v>ZAMAC</x:v>
      </x:c>
      <x:c r="K339" s="82" t="str">
        <x:v>Ferrari emblem on front &amp; sides, Silver headlights, 'Ferrari' on back</x:v>
      </x:c>
      <x:c r="L339" s="82" t="str">
        <x:v>PR5</x:v>
      </x:c>
      <x:c r="M339" s="82" t="str">
        <x:v>Black / / / Plastic</x:v>
      </x:c>
      <x:c r="N339" s="82" t="str">
        <x:v>Tinted (Black)</x:v>
      </x:c>
      <x:c r="O339" s="82" t="str">
        <x:v>Dark Chrome</x:v>
      </x:c>
      <x:c r="P339" s="82" t="str">
        <x:v>Malaysia</x:v>
      </x:c>
      <x:c r="Q339" s="82" t="str">
        <x:v>ZAMAC</x:v>
      </x:c>
      <x:c r="R339" s="82" t="str">
        <x:v>Mainline</x:v>
      </x:c>
      <x:c r="S339" s="82" t="str">
        <x:v>Rara</x:v>
      </x:c>
      <x:c r="T339" s="82" t="str">
        <x:v>Lançado</x:v>
      </x:c>
      <x:c r="U339" s="82" t="str">
        <x:v>Zamac Limited Edition</x:v>
      </x:c>
      <x:c r="V339" s="80" t="str">
        <x:v>Coleção principal (~1:64)</x:v>
      </x:c>
      <x:c r="W339" s="82" t="str">
        <x:v>https://hotwheels.fandom.com/wiki/Enzo_Ferrari_(%27Tooned)</x:v>
      </x:c>
      <x:c r="X339" s="82" t="str">
        <x:v>https://hotwheels.fandom.com/wiki/Enzo_Ferrari_(%27Tooned)</x:v>
      </x:c>
    </x:row>
    <x:row r="340">
      <x:c r="A340" s="80" t="str">
        <x:v>Não</x:v>
      </x:c>
      <x:c r="B340" s="80" t="str">
        <x:v>2 — Completar aos poucos</x:v>
      </x:c>
      <x:c r="C340" s="81" t="n">
        <x:v>2004</x:v>
      </x:c>
      <x:c r="D340" s="80" t="str">
        <x:v>Enzo Ferrari (Formula Fuelers)</x:v>
      </x:c>
      <x:c r="E340" s="80" t="str">
        <x:v>Enzo Ferrari</x:v>
      </x:c>
      <x:c r="F340" s="82" t="str">
        <x:v>Formula Fuelers Racers</x:v>
      </x:c>
      <x:c r="G340" s="80" t="str"/>
      <x:c r="H340" s="80" t="str"/>
      <x:c r="I340" s="83" t="str">
        <x:v>C4331</x:v>
      </x:c>
      <x:c r="J340" s="80" t="str">
        <x:v>Nero Daytona</x:v>
      </x:c>
      <x:c r="K340" s="82" t="str">
        <x:v>Flames</x:v>
      </x:c>
      <x:c r="L340" s="82" t="str">
        <x:v>Very large PR5</x:v>
      </x:c>
      <x:c r="M340" s="82" t="str">
        <x:v>Black / / / Plastic</x:v>
      </x:c>
      <x:c r="N340" s="82" t="str">
        <x:v>Black</x:v>
      </x:c>
      <x:c r="O340" s="82" t="str">
        <x:v>None</x:v>
      </x:c>
      <x:c r="P340" s="82" t="str">
        <x:v>China</x:v>
      </x:c>
      <x:c r="Q340" s="82" t="str"/>
      <x:c r="R340" s="82" t="str">
        <x:v>Outra linha</x:v>
      </x:c>
      <x:c r="S340" s="82" t="str">
        <x:v>Incomum</x:v>
      </x:c>
      <x:c r="T340" s="82" t="str">
        <x:v>Lançado</x:v>
      </x:c>
      <x:c r="U340" s="82" t="str"/>
      <x:c r="V340" s="80" t="str">
        <x:v>Coleção principal (~1:64)</x:v>
      </x:c>
      <x:c r="W340" s="82" t="str">
        <x:v>https://hotwheels.fandom.com/wiki/Enzo_Ferrari_(Formula_Fuelers)</x:v>
      </x:c>
      <x:c r="X340" s="82" t="str">
        <x:v>https://hotwheels.fandom.com/wiki/Enzo_Ferrari_(Formula_Fuelers)</x:v>
      </x:c>
    </x:row>
    <x:row r="341">
      <x:c r="A341" s="80" t="str">
        <x:v>Não</x:v>
      </x:c>
      <x:c r="B341" s="80" t="str">
        <x:v>2 — Completar aos poucos</x:v>
      </x:c>
      <x:c r="C341" s="81" t="n">
        <x:v>2004</x:v>
      </x:c>
      <x:c r="D341" s="80" t="str">
        <x:v>Enzo Ferrari (Formula Fuelers)</x:v>
      </x:c>
      <x:c r="E341" s="80" t="str">
        <x:v>Enzo Ferrari</x:v>
      </x:c>
      <x:c r="F341" s="82" t="str">
        <x:v>Formula Fuelers Racers</x:v>
      </x:c>
      <x:c r="G341" s="80" t="str"/>
      <x:c r="H341" s="80" t="str"/>
      <x:c r="I341" s="83" t="str">
        <x:v>C4331</x:v>
      </x:c>
      <x:c r="J341" s="80" t="str">
        <x:v>Rosso corsa</x:v>
      </x:c>
      <x:c r="K341" s="82" t="str">
        <x:v>Flames</x:v>
      </x:c>
      <x:c r="L341" s="82" t="str">
        <x:v>Very large PR5</x:v>
      </x:c>
      <x:c r="M341" s="82" t="str">
        <x:v>Black / / / Plastic</x:v>
      </x:c>
      <x:c r="N341" s="82" t="str">
        <x:v>Black</x:v>
      </x:c>
      <x:c r="O341" s="82" t="str">
        <x:v>None</x:v>
      </x:c>
      <x:c r="P341" s="82" t="str">
        <x:v>China</x:v>
      </x:c>
      <x:c r="Q341" s="82" t="str"/>
      <x:c r="R341" s="82" t="str">
        <x:v>Outra linha</x:v>
      </x:c>
      <x:c r="S341" s="82" t="str">
        <x:v>Incomum</x:v>
      </x:c>
      <x:c r="T341" s="82" t="str">
        <x:v>Lançado</x:v>
      </x:c>
      <x:c r="U341" s="82" t="str"/>
      <x:c r="V341" s="80" t="str">
        <x:v>Coleção principal (~1:64)</x:v>
      </x:c>
      <x:c r="W341" s="82" t="str">
        <x:v>https://hotwheels.fandom.com/wiki/Enzo_Ferrari_(Formula_Fuelers)</x:v>
      </x:c>
      <x:c r="X341" s="82" t="str">
        <x:v>https://hotwheels.fandom.com/wiki/Enzo_Ferrari_(Formula_Fuelers)</x:v>
      </x:c>
    </x:row>
    <x:row r="342">
      <x:c r="A342" s="80" t="str">
        <x:v>Não</x:v>
      </x:c>
      <x:c r="B342" s="80" t="str">
        <x:v>2 — Completar aos poucos</x:v>
      </x:c>
      <x:c r="C342" s="81" t="n">
        <x:v>2004</x:v>
      </x:c>
      <x:c r="D342" s="80" t="str">
        <x:v>Ferrari 333 SP</x:v>
      </x:c>
      <x:c r="E342" s="80" t="str">
        <x:v>Ferrari 333 SP</x:v>
      </x:c>
      <x:c r="F342" s="82" t="str">
        <x:v>Ferrari Heat / 5/5</x:v>
      </x:c>
      <x:c r="G342" s="80" t="str"/>
      <x:c r="H342" s="80" t="str">
        <x:v>132</x:v>
      </x:c>
      <x:c r="I342" s="83" t="str">
        <x:v>B3853</x:v>
      </x:c>
      <x:c r="J342" s="80" t="str">
        <x:v>White</x:v>
      </x:c>
      <x:c r="K342" s="82" t="str">
        <x:v>Black and Red flame tampos</x:v>
      </x:c>
      <x:c r="L342" s="82" t="str">
        <x:v>Y5</x:v>
      </x:c>
      <x:c r="M342" s="82" t="str">
        <x:v>Black / / / Plastic</x:v>
      </x:c>
      <x:c r="N342" s="82" t="str"/>
      <x:c r="O342" s="82" t="str">
        <x:v>Black</x:v>
      </x:c>
      <x:c r="P342" s="82" t="str">
        <x:v>Malaysia, Thailand</x:v>
      </x:c>
      <x:c r="Q342" s="82" t="str"/>
      <x:c r="R342" s="82" t="str">
        <x:v>Mainline</x:v>
      </x:c>
      <x:c r="S342" s="82" t="str">
        <x:v>Incomum</x:v>
      </x:c>
      <x:c r="T342" s="82" t="str">
        <x:v>Lançado</x:v>
      </x:c>
      <x:c r="U342" s="82" t="str"/>
      <x:c r="V342" s="80" t="str">
        <x:v>Coleção principal (~1:64)</x:v>
      </x:c>
      <x:c r="W342" s="82" t="str">
        <x:v>https://hotwheels.fandom.com/wiki/Ferrari_333_SP</x:v>
      </x:c>
      <x:c r="X342" s="82" t="str">
        <x:v>https://hotwheels.fandom.com/wiki/Ferrari_333_SP</x:v>
      </x:c>
    </x:row>
    <x:row r="343">
      <x:c r="A343" s="80" t="str">
        <x:v>Não</x:v>
      </x:c>
      <x:c r="B343" s="80" t="str">
        <x:v>2 — Completar aos poucos</x:v>
      </x:c>
      <x:c r="C343" s="81" t="n">
        <x:v>2004</x:v>
      </x:c>
      <x:c r="D343" s="80" t="str">
        <x:v>Ferrari 333 SP</x:v>
      </x:c>
      <x:c r="E343" s="80" t="str">
        <x:v>Ferrari 333 SP</x:v>
      </x:c>
      <x:c r="F343" s="82" t="str">
        <x:v>Hall of Fame: Milestone Moments</x:v>
      </x:c>
      <x:c r="G343" s="80" t="str"/>
      <x:c r="H343" s="80" t="str"/>
      <x:c r="I343" s="83" t="str">
        <x:v>B5936</x:v>
      </x:c>
      <x:c r="J343" s="80" t="str">
        <x:v>Red</x:v>
      </x:c>
      <x:c r="K343" s="82" t="str">
        <x:v>"Momo" Yellow tampos</x:v>
      </x:c>
      <x:c r="L343" s="82" t="str">
        <x:v>RREURO</x:v>
      </x:c>
      <x:c r="M343" s="82" t="str">
        <x:v>Red / / / Plastic</x:v>
      </x:c>
      <x:c r="N343" s="82" t="str"/>
      <x:c r="O343" s="82" t="str">
        <x:v>Red</x:v>
      </x:c>
      <x:c r="P343" s="82" t="str">
        <x:v>Thailand</x:v>
      </x:c>
      <x:c r="Q343" s="82" t="str"/>
      <x:c r="R343" s="82" t="str">
        <x:v>Outra linha</x:v>
      </x:c>
      <x:c r="S343" s="82" t="str">
        <x:v>Incomum</x:v>
      </x:c>
      <x:c r="T343" s="82" t="str">
        <x:v>Lançado</x:v>
      </x:c>
      <x:c r="U343" s="82" t="str"/>
      <x:c r="V343" s="80" t="str">
        <x:v>Coleção principal (~1:64)</x:v>
      </x:c>
      <x:c r="W343" s="82" t="str">
        <x:v>https://hotwheels.fandom.com/wiki/Ferrari_333_SP</x:v>
      </x:c>
      <x:c r="X343" s="82" t="str">
        <x:v>https://hotwheels.fandom.com/wiki/Ferrari_333_SP</x:v>
      </x:c>
    </x:row>
    <x:row r="344">
      <x:c r="A344" s="80" t="str">
        <x:v>Não</x:v>
      </x:c>
      <x:c r="B344" s="80" t="str">
        <x:v>2 — Completar aos poucos</x:v>
      </x:c>
      <x:c r="C344" s="81" t="n">
        <x:v>2004</x:v>
      </x:c>
      <x:c r="D344" s="80" t="str">
        <x:v>Ferrari 360 Modena</x:v>
      </x:c>
      <x:c r="E344" s="80" t="str">
        <x:v>Ferrari 360 Modena</x:v>
      </x:c>
      <x:c r="F344" s="82" t="str">
        <x:v>Auto Affinity: Got Speed? / 3/4</x:v>
      </x:c>
      <x:c r="G344" s="80" t="str"/>
      <x:c r="H344" s="80" t="str"/>
      <x:c r="I344" s="83" t="str">
        <x:v>C2639</x:v>
      </x:c>
      <x:c r="J344" s="80" t="str">
        <x:v>Metalflake Grey</x:v>
      </x:c>
      <x:c r="K344" s="82" t="str">
        <x:v>Ferrari emblem on hood</x:v>
      </x:c>
      <x:c r="L344" s="82" t="str">
        <x:v>RRPrf</x:v>
      </x:c>
      <x:c r="M344" s="82" t="str">
        <x:v>Black</x:v>
      </x:c>
      <x:c r="N344" s="82" t="str">
        <x:v>Clear</x:v>
      </x:c>
      <x:c r="O344" s="82" t="str">
        <x:v>Tan</x:v>
      </x:c>
      <x:c r="P344" s="82" t="str">
        <x:v>Malaysia</x:v>
      </x:c>
      <x:c r="Q344" s="82" t="str"/>
      <x:c r="R344" s="82" t="str">
        <x:v>Outra linha</x:v>
      </x:c>
      <x:c r="S344" s="82" t="str">
        <x:v>Incomum</x:v>
      </x:c>
      <x:c r="T344" s="82" t="str">
        <x:v>Lançado</x:v>
      </x:c>
      <x:c r="U344" s="82" t="str"/>
      <x:c r="V344" s="80" t="str">
        <x:v>Coleção principal (~1:64)</x:v>
      </x:c>
      <x:c r="W344" s="82" t="str">
        <x:v>https://hotwheels.fandom.com/wiki/Ferrari_360_Modena</x:v>
      </x:c>
      <x:c r="X344" s="82" t="str">
        <x:v>https://hotwheels.fandom.com/wiki/Ferrari_360_Modena</x:v>
      </x:c>
    </x:row>
    <x:row r="345">
      <x:c r="A345" s="80" t="str">
        <x:v>Não</x:v>
      </x:c>
      <x:c r="B345" s="80" t="str">
        <x:v>2 — Completar aos poucos</x:v>
      </x:c>
      <x:c r="C345" s="81" t="n">
        <x:v>2004</x:v>
      </x:c>
      <x:c r="D345" s="80" t="str">
        <x:v>Ferrari 360 Modena</x:v>
      </x:c>
      <x:c r="E345" s="80" t="str">
        <x:v>Ferrari 360 Modena</x:v>
      </x:c>
      <x:c r="F345" s="82" t="str">
        <x:v>Ferrari Heat / 1/5</x:v>
      </x:c>
      <x:c r="G345" s="80" t="str"/>
      <x:c r="H345" s="80" t="str">
        <x:v>128/212</x:v>
      </x:c>
      <x:c r="I345" s="83" t="str">
        <x:v>B3849</x:v>
      </x:c>
      <x:c r="J345" s="80" t="str">
        <x:v>Yellow</x:v>
      </x:c>
      <x:c r="K345" s="82" t="str">
        <x:v>Green, Black, &amp; White flames on sides</x:v>
      </x:c>
      <x:c r="L345" s="82" t="str">
        <x:v>5SP</x:v>
      </x:c>
      <x:c r="M345" s="82" t="str">
        <x:v>ZAMAC</x:v>
      </x:c>
      <x:c r="N345" s="82" t="str">
        <x:v>Black</x:v>
      </x:c>
      <x:c r="O345" s="82" t="str">
        <x:v>Black</x:v>
      </x:c>
      <x:c r="P345" s="82" t="str">
        <x:v>Malaysia</x:v>
      </x:c>
      <x:c r="Q345" s="82" t="str"/>
      <x:c r="R345" s="82" t="str">
        <x:v>Mainline</x:v>
      </x:c>
      <x:c r="S345" s="82" t="str">
        <x:v>Incomum</x:v>
      </x:c>
      <x:c r="T345" s="82" t="str">
        <x:v>Lançado</x:v>
      </x:c>
      <x:c r="U345" s="82" t="str"/>
      <x:c r="V345" s="80" t="str">
        <x:v>Coleção principal (~1:64)</x:v>
      </x:c>
      <x:c r="W345" s="82" t="str">
        <x:v>https://hotwheels.fandom.com/wiki/Ferrari_360_Modena</x:v>
      </x:c>
      <x:c r="X345" s="82" t="str">
        <x:v>https://hotwheels.fandom.com/wiki/Ferrari_360_Modena</x:v>
      </x:c>
    </x:row>
    <x:row r="346">
      <x:c r="A346" s="80" t="str">
        <x:v>Não</x:v>
      </x:c>
      <x:c r="B346" s="80" t="str">
        <x:v>2 — Completar aos poucos</x:v>
      </x:c>
      <x:c r="C346" s="81" t="n">
        <x:v>2004</x:v>
      </x:c>
      <x:c r="D346" s="80" t="str">
        <x:v>Ferrari 360 Modena</x:v>
      </x:c>
      <x:c r="E346" s="80" t="str">
        <x:v>Ferrari 360 Modena</x:v>
      </x:c>
      <x:c r="F346" s="82" t="str">
        <x:v>Ferrari Heat / 1/5</x:v>
      </x:c>
      <x:c r="G346" s="80" t="str"/>
      <x:c r="H346" s="80" t="str">
        <x:v>128/212</x:v>
      </x:c>
      <x:c r="I346" s="83" t="str">
        <x:v>B3849</x:v>
      </x:c>
      <x:c r="J346" s="80" t="str">
        <x:v>Yellow</x:v>
      </x:c>
      <x:c r="K346" s="82" t="str">
        <x:v>Green, Black, &amp; White flames on sides</x:v>
      </x:c>
      <x:c r="L346" s="82" t="str">
        <x:v>PR5</x:v>
      </x:c>
      <x:c r="M346" s="82" t="str">
        <x:v>ZAMAC</x:v>
      </x:c>
      <x:c r="N346" s="82" t="str">
        <x:v>Black</x:v>
      </x:c>
      <x:c r="O346" s="82" t="str">
        <x:v>Black</x:v>
      </x:c>
      <x:c r="P346" s="82" t="str">
        <x:v>Malaysia</x:v>
      </x:c>
      <x:c r="Q346" s="82" t="str"/>
      <x:c r="R346" s="82" t="str">
        <x:v>Mainline</x:v>
      </x:c>
      <x:c r="S346" s="82" t="str">
        <x:v>Incomum</x:v>
      </x:c>
      <x:c r="T346" s="82" t="str">
        <x:v>Lançado</x:v>
      </x:c>
      <x:c r="U346" s="82" t="str"/>
      <x:c r="V346" s="80" t="str">
        <x:v>Coleção principal (~1:64)</x:v>
      </x:c>
      <x:c r="W346" s="82" t="str">
        <x:v>https://hotwheels.fandom.com/wiki/Ferrari_360_Modena</x:v>
      </x:c>
      <x:c r="X346" s="82" t="str">
        <x:v>https://hotwheels.fandom.com/wiki/Ferrari_360_Modena</x:v>
      </x:c>
    </x:row>
    <x:row r="347">
      <x:c r="A347" s="80" t="str">
        <x:v>Não</x:v>
      </x:c>
      <x:c r="B347" s="80" t="str">
        <x:v>2 — Completar aos poucos</x:v>
      </x:c>
      <x:c r="C347" s="81" t="n">
        <x:v>2004</x:v>
      </x:c>
      <x:c r="D347" s="80" t="str">
        <x:v>Ferrari 360 Modena</x:v>
      </x:c>
      <x:c r="E347" s="80" t="str">
        <x:v>Ferrari 360 Modena</x:v>
      </x:c>
      <x:c r="F347" s="82" t="str">
        <x:v>Hall of Fame: Greatest Rides</x:v>
      </x:c>
      <x:c r="G347" s="80" t="str"/>
      <x:c r="H347" s="80" t="str"/>
      <x:c r="I347" s="83" t="str">
        <x:v>B5933</x:v>
      </x:c>
      <x:c r="J347" s="80" t="str">
        <x:v>Metalflake Blue</x:v>
      </x:c>
      <x:c r="K347" s="82" t="str">
        <x:v>White, Yellow, Red flames "5"</x:v>
      </x:c>
      <x:c r="L347" s="82" t="str">
        <x:v>PC6</x:v>
      </x:c>
      <x:c r="M347" s="82" t="str">
        <x:v>Black</x:v>
      </x:c>
      <x:c r="N347" s="82" t="str">
        <x:v>Clear</x:v>
      </x:c>
      <x:c r="O347" s="82" t="str">
        <x:v>Grey</x:v>
      </x:c>
      <x:c r="P347" s="82" t="str">
        <x:v>Malaysia</x:v>
      </x:c>
      <x:c r="Q347" s="82" t="str"/>
      <x:c r="R347" s="82" t="str">
        <x:v>Outra linha</x:v>
      </x:c>
      <x:c r="S347" s="82" t="str">
        <x:v>Incomum</x:v>
      </x:c>
      <x:c r="T347" s="82" t="str">
        <x:v>Lançado</x:v>
      </x:c>
      <x:c r="U347" s="82" t="str"/>
      <x:c r="V347" s="80" t="str">
        <x:v>Coleção principal (~1:64)</x:v>
      </x:c>
      <x:c r="W347" s="82" t="str">
        <x:v>https://hotwheels.fandom.com/wiki/Ferrari_360_Modena</x:v>
      </x:c>
      <x:c r="X347" s="82" t="str">
        <x:v>https://hotwheels.fandom.com/wiki/Ferrari_360_Modena</x:v>
      </x:c>
    </x:row>
    <x:row r="348">
      <x:c r="A348" s="80" t="str">
        <x:v>Não</x:v>
      </x:c>
      <x:c r="B348" s="80" t="str">
        <x:v>2 — Completar aos poucos</x:v>
      </x:c>
      <x:c r="C348" s="81" t="n">
        <x:v>2004</x:v>
      </x:c>
      <x:c r="D348" s="80" t="str">
        <x:v>Ferrari 360 Modena</x:v>
      </x:c>
      <x:c r="E348" s="80" t="str">
        <x:v>Ferrari 360 Modena</x:v>
      </x:c>
      <x:c r="F348" s="82" t="str">
        <x:v>Truckin' Transporters</x:v>
      </x:c>
      <x:c r="G348" s="80" t="str"/>
      <x:c r="H348" s="80" t="str"/>
      <x:c r="I348" s="83" t="str">
        <x:v>C4359</x:v>
      </x:c>
      <x:c r="J348" s="80" t="str">
        <x:v>Blue</x:v>
      </x:c>
      <x:c r="K348" s="82" t="str">
        <x:v>White Hot Wheels logo &amp; sponsors</x:v>
      </x:c>
      <x:c r="L348" s="82" t="str">
        <x:v>PR5</x:v>
      </x:c>
      <x:c r="M348" s="82" t="str">
        <x:v>Black / / / Metal</x:v>
      </x:c>
      <x:c r="N348" s="82" t="str">
        <x:v>Smoke tint</x:v>
      </x:c>
      <x:c r="O348" s="82" t="str">
        <x:v>White</x:v>
      </x:c>
      <x:c r="P348" s="82" t="str">
        <x:v>Malaysia</x:v>
      </x:c>
      <x:c r="Q348" s="82" t="str"/>
      <x:c r="R348" s="82" t="str">
        <x:v>Outra linha</x:v>
      </x:c>
      <x:c r="S348" s="82" t="str">
        <x:v>Incomum</x:v>
      </x:c>
      <x:c r="T348" s="82" t="str">
        <x:v>Lançado</x:v>
      </x:c>
      <x:c r="U348" s="82" t="str"/>
      <x:c r="V348" s="80" t="str">
        <x:v>Coleção principal (~1:64)</x:v>
      </x:c>
      <x:c r="W348" s="82" t="str">
        <x:v>https://hotwheels.fandom.com/wiki/Ferrari_360_Modena</x:v>
      </x:c>
      <x:c r="X348" s="82" t="str">
        <x:v>https://hotwheels.fandom.com/wiki/Ferrari_360_Modena</x:v>
      </x:c>
    </x:row>
    <x:row r="349">
      <x:c r="A349" s="80" t="str">
        <x:v>Não</x:v>
      </x:c>
      <x:c r="B349" s="80" t="str">
        <x:v>2 — Completar aos poucos</x:v>
      </x:c>
      <x:c r="C349" s="81" t="n">
        <x:v>2004</x:v>
      </x:c>
      <x:c r="D349" s="80" t="str">
        <x:v>Ferrari 360 Modena ('Tooned)</x:v>
      </x:c>
      <x:c r="E349" s="80" t="str">
        <x:v>Ferrari 360 Modena</x:v>
      </x:c>
      <x:c r="F349" s="82" t="str">
        <x:v>2004 First Editions / 7/100</x:v>
      </x:c>
      <x:c r="G349" s="80" t="str"/>
      <x:c r="H349" s="80" t="str"/>
      <x:c r="I349" s="83" t="str">
        <x:v>B3558</x:v>
      </x:c>
      <x:c r="J349" s="80" t="str">
        <x:v>Yellow</x:v>
      </x:c>
      <x:c r="K349" s="82" t="str">
        <x:v>"360" graphic</x:v>
      </x:c>
      <x:c r="L349" s="82" t="str">
        <x:v>PR5</x:v>
      </x:c>
      <x:c r="M349" s="82" t="str">
        <x:v>Black / / / Plastic</x:v>
      </x:c>
      <x:c r="N349" s="82" t="str">
        <x:v>Black</x:v>
      </x:c>
      <x:c r="O349" s="82" t="str"/>
      <x:c r="P349" s="82" t="str">
        <x:v>Malaysia</x:v>
      </x:c>
      <x:c r="Q349" s="82" t="str"/>
      <x:c r="R349" s="82" t="str">
        <x:v>Outra linha</x:v>
      </x:c>
      <x:c r="S349" s="82" t="str">
        <x:v>Incomum</x:v>
      </x:c>
      <x:c r="T349" s="82" t="str">
        <x:v>Lançado</x:v>
      </x:c>
      <x:c r="U349" s="82" t="str"/>
      <x:c r="V349" s="80" t="str">
        <x:v>Coleção principal (~1:64)</x:v>
      </x:c>
      <x:c r="W349" s="82" t="str">
        <x:v>https://hotwheels.fandom.com/wiki/Ferrari_360_Modena_(%27Tooned)</x:v>
      </x:c>
      <x:c r="X349" s="82" t="str">
        <x:v>https://hotwheels.fandom.com/wiki/Ferrari_360_Modena_(%27Tooned)</x:v>
      </x:c>
    </x:row>
    <x:row r="350">
      <x:c r="A350" s="80" t="str">
        <x:v>Não</x:v>
      </x:c>
      <x:c r="B350" s="80" t="str">
        <x:v>2 — Completar aos poucos</x:v>
      </x:c>
      <x:c r="C350" s="81" t="n">
        <x:v>2004</x:v>
      </x:c>
      <x:c r="D350" s="80" t="str">
        <x:v>Ferrari 360 Modena ('Tooned)</x:v>
      </x:c>
      <x:c r="E350" s="80" t="str">
        <x:v>Ferrari 360 Modena</x:v>
      </x:c>
      <x:c r="F350" s="82" t="str">
        <x:v>2004 First Editions / 7/100</x:v>
      </x:c>
      <x:c r="G350" s="80" t="str"/>
      <x:c r="H350" s="80" t="str"/>
      <x:c r="I350" s="83" t="str">
        <x:v>B3558</x:v>
      </x:c>
      <x:c r="J350" s="80" t="str">
        <x:v>ZAMAC</x:v>
      </x:c>
      <x:c r="K350" s="82" t="str">
        <x:v>"360" graphic Red , Lime Green, Black, Silver Metallic &amp; White , Shell logo</x:v>
      </x:c>
      <x:c r="L350" s="82" t="str">
        <x:v>PR5</x:v>
      </x:c>
      <x:c r="M350" s="82" t="str">
        <x:v>Black / / / Plastic</x:v>
      </x:c>
      <x:c r="N350" s="82" t="str">
        <x:v>Black</x:v>
      </x:c>
      <x:c r="O350" s="82" t="str"/>
      <x:c r="P350" s="82" t="str">
        <x:v>Malaysia</x:v>
      </x:c>
      <x:c r="Q350" s="82" t="str">
        <x:v>ZAMAC</x:v>
      </x:c>
      <x:c r="R350" s="82" t="str">
        <x:v>Outra linha</x:v>
      </x:c>
      <x:c r="S350" s="82" t="str">
        <x:v>Rara</x:v>
      </x:c>
      <x:c r="T350" s="82" t="str">
        <x:v>Lançado</x:v>
      </x:c>
      <x:c r="U350" s="82" t="str">
        <x:v>Zamac Limited Edition</x:v>
      </x:c>
      <x:c r="V350" s="80" t="str">
        <x:v>Coleção principal (~1:64)</x:v>
      </x:c>
      <x:c r="W350" s="82" t="str">
        <x:v>https://hotwheels.fandom.com/wiki/Ferrari_360_Modena_(%27Tooned)</x:v>
      </x:c>
      <x:c r="X350" s="82" t="str">
        <x:v>https://hotwheels.fandom.com/wiki/Ferrari_360_Modena_(%27Tooned)</x:v>
      </x:c>
    </x:row>
    <x:row r="351">
      <x:c r="A351" s="80" t="str">
        <x:v>Não</x:v>
      </x:c>
      <x:c r="B351" s="80" t="str">
        <x:v>2 — Completar aos poucos</x:v>
      </x:c>
      <x:c r="C351" s="81" t="n">
        <x:v>2004</x:v>
      </x:c>
      <x:c r="D351" s="80" t="str">
        <x:v>Ferrari 360 Modena GT</x:v>
      </x:c>
      <x:c r="E351" s="80" t="str">
        <x:v>Ferrari 360 Modena GT</x:v>
      </x:c>
      <x:c r="F351" s="82" t="str">
        <x:v>Hot Tunerz</x:v>
      </x:c>
      <x:c r="G351" s="80" t="str"/>
      <x:c r="H351" s="80" t="str"/>
      <x:c r="I351" s="83" t="str">
        <x:v>B4648</x:v>
      </x:c>
      <x:c r="J351" s="80" t="str">
        <x:v>Argento Nürburgring</x:v>
      </x:c>
      <x:c r="K351" s="82" t="str">
        <x:v>Black / Blue Design, various logos, Silver headlights</x:v>
      </x:c>
      <x:c r="L351" s="82" t="str"/>
      <x:c r="M351" s="82" t="str">
        <x:v>Black / / / Plastic</x:v>
      </x:c>
      <x:c r="N351" s="82" t="str">
        <x:v>Black</x:v>
      </x:c>
      <x:c r="O351" s="82" t="str">
        <x:v>None</x:v>
      </x:c>
      <x:c r="P351" s="82" t="str">
        <x:v>China</x:v>
      </x:c>
      <x:c r="Q351" s="82" t="str"/>
      <x:c r="R351" s="82" t="str">
        <x:v>Outra linha</x:v>
      </x:c>
      <x:c r="S351" s="82" t="str">
        <x:v>Incomum</x:v>
      </x:c>
      <x:c r="T351" s="82" t="str">
        <x:v>Lançado</x:v>
      </x:c>
      <x:c r="U351" s="82" t="str">
        <x:v>Named Ferrari 360 GT</x:v>
      </x:c>
      <x:c r="V351" s="80" t="str">
        <x:v>Coleção principal (~1:64)</x:v>
      </x:c>
      <x:c r="W351" s="82" t="str">
        <x:v>https://hotwheels.fandom.com/wiki/Ferrari_360_Modena_GT</x:v>
      </x:c>
      <x:c r="X351" s="82" t="str">
        <x:v>https://hotwheels.fandom.com/wiki/Ferrari_360_Modena_GT</x:v>
      </x:c>
    </x:row>
    <x:row r="352">
      <x:c r="A352" s="80" t="str">
        <x:v>Não</x:v>
      </x:c>
      <x:c r="B352" s="80" t="str">
        <x:v>2 — Completar aos poucos</x:v>
      </x:c>
      <x:c r="C352" s="81" t="n">
        <x:v>2004</x:v>
      </x:c>
      <x:c r="D352" s="80" t="str">
        <x:v>Ferrari 360 Modena GT</x:v>
      </x:c>
      <x:c r="E352" s="80" t="str">
        <x:v>Ferrari 360 Modena GT</x:v>
      </x:c>
      <x:c r="F352" s="82" t="str">
        <x:v>Hot Tunerz</x:v>
      </x:c>
      <x:c r="G352" s="80" t="str"/>
      <x:c r="H352" s="80" t="str"/>
      <x:c r="I352" s="83" t="str">
        <x:v>B1656</x:v>
      </x:c>
      <x:c r="J352" s="80" t="str">
        <x:v>Rosso Corsa</x:v>
      </x:c>
      <x:c r="K352" s="82" t="str">
        <x:v>Ferrari logo, Silver headlights</x:v>
      </x:c>
      <x:c r="L352" s="82" t="str"/>
      <x:c r="M352" s="82" t="str">
        <x:v>Black / / / Plastic</x:v>
      </x:c>
      <x:c r="N352" s="82" t="str">
        <x:v>Black</x:v>
      </x:c>
      <x:c r="O352" s="82" t="str">
        <x:v>None</x:v>
      </x:c>
      <x:c r="P352" s="82" t="str">
        <x:v>China</x:v>
      </x:c>
      <x:c r="Q352" s="82" t="str"/>
      <x:c r="R352" s="82" t="str">
        <x:v>Outra linha</x:v>
      </x:c>
      <x:c r="S352" s="82" t="str">
        <x:v>Incomum</x:v>
      </x:c>
      <x:c r="T352" s="82" t="str">
        <x:v>Lançado</x:v>
      </x:c>
      <x:c r="U352" s="82" t="str"/>
      <x:c r="V352" s="80" t="str">
        <x:v>Coleção principal (~1:64)</x:v>
      </x:c>
      <x:c r="W352" s="82" t="str">
        <x:v>https://hotwheels.fandom.com/wiki/Ferrari_360_Modena_GT</x:v>
      </x:c>
      <x:c r="X352" s="82" t="str">
        <x:v>https://hotwheels.fandom.com/wiki/Ferrari_360_Modena_GT</x:v>
      </x:c>
    </x:row>
    <x:row r="353">
      <x:c r="A353" s="80" t="str">
        <x:v>Não</x:v>
      </x:c>
      <x:c r="B353" s="80" t="str">
        <x:v>2 — Completar aos poucos</x:v>
      </x:c>
      <x:c r="C353" s="81" t="n">
        <x:v>2004</x:v>
      </x:c>
      <x:c r="D353" s="80" t="str">
        <x:v>Ferrari 456M</x:v>
      </x:c>
      <x:c r="E353" s="80" t="str">
        <x:v>Ferrari 456M</x:v>
      </x:c>
      <x:c r="F353" s="82" t="str">
        <x:v>Ferrari Heat / 3/5</x:v>
      </x:c>
      <x:c r="G353" s="80" t="str"/>
      <x:c r="H353" s="80" t="str">
        <x:v>130</x:v>
      </x:c>
      <x:c r="I353" s="83" t="str">
        <x:v>B3851</x:v>
      </x:c>
      <x:c r="J353" s="80" t="str">
        <x:v>Dark Green</x:v>
      </x:c>
      <x:c r="K353" s="82" t="str">
        <x:v>White, Yellow &amp; Orange Flame tampos.</x:v>
      </x:c>
      <x:c r="L353" s="82" t="str">
        <x:v>Gold PR5</x:v>
      </x:c>
      <x:c r="M353" s="82" t="str">
        <x:v>Unpainted / / / Metal</x:v>
      </x:c>
      <x:c r="N353" s="82" t="str">
        <x:v>Clear</x:v>
      </x:c>
      <x:c r="O353" s="82" t="str">
        <x:v>Beige</x:v>
      </x:c>
      <x:c r="P353" s="82" t="str">
        <x:v>Malaysia</x:v>
      </x:c>
      <x:c r="Q353" s="82" t="str"/>
      <x:c r="R353" s="82" t="str">
        <x:v>Mainline</x:v>
      </x:c>
      <x:c r="S353" s="82" t="str">
        <x:v>Incomum</x:v>
      </x:c>
      <x:c r="T353" s="82" t="str">
        <x:v>Lançado</x:v>
      </x:c>
      <x:c r="U353" s="82" t="str"/>
      <x:c r="V353" s="80" t="str">
        <x:v>Coleção principal (~1:64)</x:v>
      </x:c>
      <x:c r="W353" s="82" t="str">
        <x:v>https://hotwheels.fandom.com/wiki/Ferrari_456M</x:v>
      </x:c>
      <x:c r="X353" s="82" t="str">
        <x:v>https://hotwheels.fandom.com/wiki/Ferrari_456M</x:v>
      </x:c>
    </x:row>
    <x:row r="354">
      <x:c r="A354" s="80" t="str">
        <x:v>Não</x:v>
      </x:c>
      <x:c r="B354" s="80" t="str">
        <x:v>2 — Completar aos poucos</x:v>
      </x:c>
      <x:c r="C354" s="81" t="n">
        <x:v>2004</x:v>
      </x:c>
      <x:c r="D354" s="80" t="str">
        <x:v>Ferrari 456M</x:v>
      </x:c>
      <x:c r="E354" s="80" t="str">
        <x:v>Ferrari 456M</x:v>
      </x:c>
      <x:c r="F354" s="82" t="str">
        <x:v>Ferrari Heat / 3/5</x:v>
      </x:c>
      <x:c r="G354" s="80" t="str"/>
      <x:c r="H354" s="80" t="str">
        <x:v>130</x:v>
      </x:c>
      <x:c r="I354" s="83" t="str">
        <x:v>B3851</x:v>
      </x:c>
      <x:c r="J354" s="80" t="str">
        <x:v>Dark Green</x:v>
      </x:c>
      <x:c r="K354" s="82" t="str">
        <x:v>White, Yellow &amp; Orange Flame tampos.</x:v>
      </x:c>
      <x:c r="L354" s="82" t="str">
        <x:v>5SP</x:v>
      </x:c>
      <x:c r="M354" s="82" t="str">
        <x:v>Unpainted / / / Metal</x:v>
      </x:c>
      <x:c r="N354" s="82" t="str">
        <x:v>Clear</x:v>
      </x:c>
      <x:c r="O354" s="82" t="str">
        <x:v>Beige</x:v>
      </x:c>
      <x:c r="P354" s="82" t="str">
        <x:v>Malaysia</x:v>
      </x:c>
      <x:c r="Q354" s="82" t="str"/>
      <x:c r="R354" s="82" t="str">
        <x:v>Mainline</x:v>
      </x:c>
      <x:c r="S354" s="82" t="str">
        <x:v>Incomum</x:v>
      </x:c>
      <x:c r="T354" s="82" t="str">
        <x:v>Lançado</x:v>
      </x:c>
      <x:c r="U354" s="82" t="str"/>
      <x:c r="V354" s="80" t="str">
        <x:v>Coleção principal (~1:64)</x:v>
      </x:c>
      <x:c r="W354" s="82" t="str">
        <x:v>https://hotwheels.fandom.com/wiki/Ferrari_456M</x:v>
      </x:c>
      <x:c r="X354" s="82" t="str">
        <x:v>https://hotwheels.fandom.com/wiki/Ferrari_456M</x:v>
      </x:c>
    </x:row>
    <x:row r="355">
      <x:c r="A355" s="80" t="str">
        <x:v>Não</x:v>
      </x:c>
      <x:c r="B355" s="80" t="str">
        <x:v>2 — Completar aos poucos</x:v>
      </x:c>
      <x:c r="C355" s="81" t="n">
        <x:v>2004</x:v>
      </x:c>
      <x:c r="D355" s="80" t="str">
        <x:v>Ferrari 550 Maranello</x:v>
      </x:c>
      <x:c r="E355" s="80" t="str">
        <x:v>Ferrari 550 Maranello</x:v>
      </x:c>
      <x:c r="F355" s="82" t="str">
        <x:v>Ferrari Heat / 4/5</x:v>
      </x:c>
      <x:c r="G355" s="80" t="str"/>
      <x:c r="H355" s="80" t="str">
        <x:v>131</x:v>
      </x:c>
      <x:c r="I355" s="83" t="str">
        <x:v>B3852</x:v>
      </x:c>
      <x:c r="J355" s="80" t="str">
        <x:v>Black</x:v>
      </x:c>
      <x:c r="K355" s="82" t="str">
        <x:v>Light Blue, Red, and Yellow on sides and hood with Hot Wheels logo on rear quarter panel</x:v>
      </x:c>
      <x:c r="L355" s="82" t="str">
        <x:v>PR5</x:v>
      </x:c>
      <x:c r="M355" s="82" t="str">
        <x:v>Unpainted / / / Metal</x:v>
      </x:c>
      <x:c r="N355" s="82" t="str">
        <x:v>Light Blue</x:v>
      </x:c>
      <x:c r="O355" s="82" t="str">
        <x:v>Black</x:v>
      </x:c>
      <x:c r="P355" s="82" t="str">
        <x:v>Malaysia</x:v>
      </x:c>
      <x:c r="Q355" s="82" t="str"/>
      <x:c r="R355" s="82" t="str">
        <x:v>Mainline</x:v>
      </x:c>
      <x:c r="S355" s="82" t="str">
        <x:v>Incomum</x:v>
      </x:c>
      <x:c r="T355" s="82" t="str">
        <x:v>Lançado</x:v>
      </x:c>
      <x:c r="U355" s="82" t="str"/>
      <x:c r="V355" s="80" t="str">
        <x:v>Coleção principal (~1:64)</x:v>
      </x:c>
      <x:c r="W355" s="82" t="str">
        <x:v>https://hotwheels.fandom.com/wiki/Ferrari_550_Maranello</x:v>
      </x:c>
      <x:c r="X355" s="82" t="str">
        <x:v>https://hotwheels.fandom.com/wiki/Ferrari_550_Maranello</x:v>
      </x:c>
    </x:row>
    <x:row r="356">
      <x:c r="A356" s="80" t="str">
        <x:v>Não</x:v>
      </x:c>
      <x:c r="B356" s="80" t="str">
        <x:v>2 — Completar aos poucos</x:v>
      </x:c>
      <x:c r="C356" s="81" t="n">
        <x:v>2004</x:v>
      </x:c>
      <x:c r="D356" s="80" t="str">
        <x:v>Ferrari 550 Maranello</x:v>
      </x:c>
      <x:c r="E356" s="80" t="str">
        <x:v>Ferrari 550 Maranello</x:v>
      </x:c>
      <x:c r="F356" s="82" t="str">
        <x:v>Ferrari Heat / 4/5</x:v>
      </x:c>
      <x:c r="G356" s="80" t="str"/>
      <x:c r="H356" s="80" t="str">
        <x:v>131</x:v>
      </x:c>
      <x:c r="I356" s="83" t="str">
        <x:v>B3852</x:v>
      </x:c>
      <x:c r="J356" s="80" t="str">
        <x:v>Black</x:v>
      </x:c>
      <x:c r="K356" s="82" t="str">
        <x:v>Light Blue, Red, and Yellow on sides and hood with Hot Wheels logo on rear quarter panel</x:v>
      </x:c>
      <x:c r="L356" s="82" t="str">
        <x:v>5SP</x:v>
      </x:c>
      <x:c r="M356" s="82" t="str">
        <x:v>Unpainted / / / Metal</x:v>
      </x:c>
      <x:c r="N356" s="82" t="str">
        <x:v>Light Blue</x:v>
      </x:c>
      <x:c r="O356" s="82" t="str">
        <x:v>Black</x:v>
      </x:c>
      <x:c r="P356" s="82" t="str">
        <x:v>Malaysia</x:v>
      </x:c>
      <x:c r="Q356" s="82" t="str"/>
      <x:c r="R356" s="82" t="str">
        <x:v>Mainline</x:v>
      </x:c>
      <x:c r="S356" s="82" t="str">
        <x:v>Incomum</x:v>
      </x:c>
      <x:c r="T356" s="82" t="str">
        <x:v>Lançado</x:v>
      </x:c>
      <x:c r="U356" s="82" t="str"/>
      <x:c r="V356" s="80" t="str">
        <x:v>Coleção principal (~1:64)</x:v>
      </x:c>
      <x:c r="W356" s="82" t="str">
        <x:v>https://hotwheels.fandom.com/wiki/Ferrari_550_Maranello</x:v>
      </x:c>
      <x:c r="X356" s="82" t="str">
        <x:v>https://hotwheels.fandom.com/wiki/Ferrari_550_Maranello</x:v>
      </x:c>
    </x:row>
    <x:row r="357">
      <x:c r="A357" s="80" t="str">
        <x:v>Não</x:v>
      </x:c>
      <x:c r="B357" s="80" t="str">
        <x:v>2 — Completar aos poucos</x:v>
      </x:c>
      <x:c r="C357" s="81" t="n">
        <x:v>2004</x:v>
      </x:c>
      <x:c r="D357" s="80" t="str">
        <x:v>Ferrari Dino 246 GTS</x:v>
      </x:c>
      <x:c r="E357" s="80" t="str">
        <x:v>Ferrari Dino 246 GTS</x:v>
      </x:c>
      <x:c r="F357" s="82" t="str">
        <x:v>The Bruce Wayne Collection</x:v>
      </x:c>
      <x:c r="G357" s="80" t="str"/>
      <x:c r="H357" s="80" t="str"/>
      <x:c r="I357" s="83" t="str">
        <x:v>G8293</x:v>
      </x:c>
      <x:c r="J357" s="80" t="str"/>
      <x:c r="K357" s="82" t="str"/>
      <x:c r="L357" s="82" t="str"/>
      <x:c r="M357" s="82" t="str"/>
      <x:c r="N357" s="82" t="str"/>
      <x:c r="O357" s="82" t="str"/>
      <x:c r="P357" s="82" t="str"/>
      <x:c r="Q357" s="82" t="str"/>
      <x:c r="R357" s="82" t="str">
        <x:v>Outra linha</x:v>
      </x:c>
      <x:c r="S357" s="82" t="str">
        <x:v>Incomum</x:v>
      </x:c>
      <x:c r="T357" s="82" t="str">
        <x:v>Lançado</x:v>
      </x:c>
      <x:c r="U357" s="82" t="str"/>
      <x:c r="V357" s="80" t="str">
        <x:v>Coleção principal (~1:64)</x:v>
      </x:c>
      <x:c r="W357" s="82" t="str">
        <x:v>https://hotwheels.fandom.com/wiki/Ferrari</x:v>
      </x:c>
      <x:c r="X357" s="82" t="str">
        <x:v>https://hotwheels.fandom.com/wiki/Ferrari_Dino_246_GTS</x:v>
      </x:c>
    </x:row>
    <x:row r="358">
      <x:c r="A358" s="80" t="str">
        <x:v>Não</x:v>
      </x:c>
      <x:c r="B358" s="80" t="str">
        <x:v>2 — Completar aos poucos</x:v>
      </x:c>
      <x:c r="C358" s="81" t="n">
        <x:v>2004</x:v>
      </x:c>
      <x:c r="D358" s="80" t="str">
        <x:v>Ferrari Dino 246 GTS</x:v>
      </x:c>
      <x:c r="E358" s="80" t="str">
        <x:v>Ferrari Dino 246 GTS</x:v>
      </x:c>
      <x:c r="F358" s="82" t="str">
        <x:v>The Bruce Wayne Collection 3-Car Set</x:v>
      </x:c>
      <x:c r="G358" s="80" t="str"/>
      <x:c r="H358" s="80" t="str"/>
      <x:c r="I358" s="83" t="str">
        <x:v>G4407</x:v>
      </x:c>
      <x:c r="J358" s="80" t="str">
        <x:v>Metalflake Black</x:v>
      </x:c>
      <x:c r="K358" s="82" t="str">
        <x:v>Silver headlights, Blue &amp; Yellow 'Dino' on hood, red taillights</x:v>
      </x:c>
      <x:c r="L358" s="82" t="str">
        <x:v>RRPrf</x:v>
      </x:c>
      <x:c r="M358" s="82" t="str">
        <x:v>Black / / / Metal</x:v>
      </x:c>
      <x:c r="N358" s="82" t="str">
        <x:v>Clear</x:v>
      </x:c>
      <x:c r="O358" s="82" t="str">
        <x:v>Black</x:v>
      </x:c>
      <x:c r="P358" s="82" t="str">
        <x:v>China</x:v>
      </x:c>
      <x:c r="Q358" s="82" t="str"/>
      <x:c r="R358" s="82" t="str">
        <x:v>Outra linha</x:v>
      </x:c>
      <x:c r="S358" s="82" t="str">
        <x:v>Incomum</x:v>
      </x:c>
      <x:c r="T358" s="82" t="str">
        <x:v>Lançado</x:v>
      </x:c>
      <x:c r="U358" s="82" t="str">
        <x:v>10,000 Produced</x:v>
      </x:c>
      <x:c r="V358" s="80" t="str">
        <x:v>Coleção principal (~1:64)</x:v>
      </x:c>
      <x:c r="W358" s="82" t="str">
        <x:v>https://hotwheels.fandom.com/wiki/Ferrari_Dino_246_GTS</x:v>
      </x:c>
      <x:c r="X358" s="82" t="str">
        <x:v>https://hotwheels.fandom.com/wiki/Ferrari_Dino_246_GTS</x:v>
      </x:c>
    </x:row>
    <x:row r="359">
      <x:c r="A359" s="80" t="str">
        <x:v>Não</x:v>
      </x:c>
      <x:c r="B359" s="80" t="str">
        <x:v>2 — Completar aos poucos</x:v>
      </x:c>
      <x:c r="C359" s="81" t="n">
        <x:v>2004</x:v>
      </x:c>
      <x:c r="D359" s="80" t="str">
        <x:v>Ferrari F355 Challenge</x:v>
      </x:c>
      <x:c r="E359" s="80" t="str">
        <x:v>Ferrari F355 Challenge</x:v>
      </x:c>
      <x:c r="F359" s="82" t="str">
        <x:v>Ferrari Heat / 2/5</x:v>
      </x:c>
      <x:c r="G359" s="80" t="str"/>
      <x:c r="H359" s="80" t="str">
        <x:v>129</x:v>
      </x:c>
      <x:c r="I359" s="83" t="str">
        <x:v>B3850</x:v>
      </x:c>
      <x:c r="J359" s="80" t="str">
        <x:v>Red</x:v>
      </x:c>
      <x:c r="K359" s="82" t="str">
        <x:v>Yellow, Black flames on sides, hood, and roof with "3" on sides with Black "Ferrari", and logo</x:v>
      </x:c>
      <x:c r="L359" s="82" t="str">
        <x:v>5SP</x:v>
      </x:c>
      <x:c r="M359" s="82" t="str">
        <x:v>Unpainted / Metal</x:v>
      </x:c>
      <x:c r="N359" s="82" t="str">
        <x:v>Tinted</x:v>
      </x:c>
      <x:c r="O359" s="82" t="str">
        <x:v>Black</x:v>
      </x:c>
      <x:c r="P359" s="82" t="str">
        <x:v>Malaysia</x:v>
      </x:c>
      <x:c r="Q359" s="82" t="str"/>
      <x:c r="R359" s="82" t="str">
        <x:v>Mainline</x:v>
      </x:c>
      <x:c r="S359" s="82" t="str">
        <x:v>Incomum</x:v>
      </x:c>
      <x:c r="T359" s="82" t="str">
        <x:v>Lançado</x:v>
      </x:c>
      <x:c r="U359" s="82" t="str"/>
      <x:c r="V359" s="80" t="str">
        <x:v>Coleção principal (~1:64)</x:v>
      </x:c>
      <x:c r="W359" s="82" t="str">
        <x:v>https://hotwheels.fandom.com/wiki/Ferrari_F355_Challenge</x:v>
      </x:c>
      <x:c r="X359" s="82" t="str">
        <x:v>https://hotwheels.fandom.com/wiki/Ferrari_F355_Challenge</x:v>
      </x:c>
    </x:row>
    <x:row r="360">
      <x:c r="A360" s="80" t="str">
        <x:v>Não</x:v>
      </x:c>
      <x:c r="B360" s="80" t="str">
        <x:v>2 — Completar aos poucos</x:v>
      </x:c>
      <x:c r="C360" s="81" t="n">
        <x:v>2004</x:v>
      </x:c>
      <x:c r="D360" s="80" t="str">
        <x:v>Ferrari F355 Challenge</x:v>
      </x:c>
      <x:c r="E360" s="80" t="str">
        <x:v>Ferrari F355 Challenge</x:v>
      </x:c>
      <x:c r="F360" s="82" t="str">
        <x:v>Ferrari Heat / 2/5</x:v>
      </x:c>
      <x:c r="G360" s="80" t="str"/>
      <x:c r="H360" s="80" t="str">
        <x:v>129</x:v>
      </x:c>
      <x:c r="I360" s="83" t="str">
        <x:v>B3850</x:v>
      </x:c>
      <x:c r="J360" s="80" t="str">
        <x:v>Red</x:v>
      </x:c>
      <x:c r="K360" s="82" t="str">
        <x:v>Yellow, Black flames on sides, hood, and roof with "3" on sides with Black "Ferrari", and logo</x:v>
      </x:c>
      <x:c r="L360" s="82" t="str">
        <x:v>PR5</x:v>
      </x:c>
      <x:c r="M360" s="82" t="str">
        <x:v>Unpainted / Metal</x:v>
      </x:c>
      <x:c r="N360" s="82" t="str">
        <x:v>Tinted</x:v>
      </x:c>
      <x:c r="O360" s="82" t="str">
        <x:v>Black</x:v>
      </x:c>
      <x:c r="P360" s="82" t="str">
        <x:v>Malaysia</x:v>
      </x:c>
      <x:c r="Q360" s="82" t="str"/>
      <x:c r="R360" s="82" t="str">
        <x:v>Mainline</x:v>
      </x:c>
      <x:c r="S360" s="82" t="str">
        <x:v>Incomum</x:v>
      </x:c>
      <x:c r="T360" s="82" t="str">
        <x:v>Lançado</x:v>
      </x:c>
      <x:c r="U360" s="82" t="str"/>
      <x:c r="V360" s="80" t="str">
        <x:v>Coleção principal (~1:64)</x:v>
      </x:c>
      <x:c r="W360" s="82" t="str">
        <x:v>https://hotwheels.fandom.com/wiki/Ferrari_F355_Challenge</x:v>
      </x:c>
      <x:c r="X360" s="82" t="str">
        <x:v>https://hotwheels.fandom.com/wiki/Ferrari_F355_Challenge</x:v>
      </x:c>
    </x:row>
    <x:row r="361">
      <x:c r="A361" s="80" t="str">
        <x:v>Não</x:v>
      </x:c>
      <x:c r="B361" s="80" t="str">
        <x:v>2 — Completar aos poucos</x:v>
      </x:c>
      <x:c r="C361" s="81" t="n">
        <x:v>2004</x:v>
      </x:c>
      <x:c r="D361" s="80" t="str">
        <x:v>Ferrari F50 Challenge</x:v>
      </x:c>
      <x:c r="E361" s="80" t="str">
        <x:v>Ferrari F50 Challenge</x:v>
      </x:c>
      <x:c r="F361" s="82" t="str">
        <x:v>Truckin' Transporters</x:v>
      </x:c>
      <x:c r="G361" s="80" t="str"/>
      <x:c r="H361" s="80" t="str"/>
      <x:c r="I361" s="83" t="str">
        <x:v>C4360</x:v>
      </x:c>
      <x:c r="J361" s="80" t="str">
        <x:v>Red</x:v>
      </x:c>
      <x:c r="K361" s="82" t="str">
        <x:v>Black roof and center of hood, white circle with black "5", Ferrari badges</x:v>
      </x:c>
      <x:c r="L361" s="82" t="str">
        <x:v>5SP</x:v>
      </x:c>
      <x:c r="M361" s="82" t="str">
        <x:v>Black / / / Metal</x:v>
      </x:c>
      <x:c r="N361" s="82" t="str">
        <x:v>Clear</x:v>
      </x:c>
      <x:c r="O361" s="82" t="str">
        <x:v>Grey</x:v>
      </x:c>
      <x:c r="P361" s="82" t="str">
        <x:v>Malaysia</x:v>
      </x:c>
      <x:c r="Q361" s="82" t="str"/>
      <x:c r="R361" s="82" t="str">
        <x:v>Outra linha</x:v>
      </x:c>
      <x:c r="S361" s="82" t="str">
        <x:v>Incomum</x:v>
      </x:c>
      <x:c r="T361" s="82" t="str">
        <x:v>Lançado</x:v>
      </x:c>
      <x:c r="U361" s="82" t="str"/>
      <x:c r="V361" s="80" t="str">
        <x:v>Coleção principal (~1:64)</x:v>
      </x:c>
      <x:c r="W361" s="82" t="str">
        <x:v>https://hotwheels.fandom.com/wiki/Ferrari_F50_Challenge</x:v>
      </x:c>
      <x:c r="X361" s="82" t="str">
        <x:v>https://hotwheels.fandom.com/wiki/Ferrari_F50_Challenge</x:v>
      </x:c>
    </x:row>
    <x:row r="362">
      <x:c r="A362" s="80" t="str">
        <x:v>Não</x:v>
      </x:c>
      <x:c r="B362" s="80" t="str">
        <x:v>2 — Completar aos poucos</x:v>
      </x:c>
      <x:c r="C362" s="81" t="n">
        <x:v>2004</x:v>
      </x:c>
      <x:c r="D362" s="80" t="str">
        <x:v>Racebait 308</x:v>
      </x:c>
      <x:c r="E362" s="80" t="str">
        <x:v>Racebait 308</x:v>
      </x:c>
      <x:c r="F362" s="82" t="str">
        <x:v>Final Run / 2/5</x:v>
      </x:c>
      <x:c r="G362" s="80" t="str"/>
      <x:c r="H362" s="80" t="str">
        <x:v>134</x:v>
      </x:c>
      <x:c r="I362" s="83" t="str">
        <x:v>B3855</x:v>
      </x:c>
      <x:c r="J362" s="80" t="str">
        <x:v>Metalflake Blue</x:v>
      </x:c>
      <x:c r="K362" s="82" t="str">
        <x:v>White, Red, Yellow, Black "04" "Final Run 2004" Logo</x:v>
      </x:c>
      <x:c r="L362" s="82" t="str">
        <x:v>10SP</x:v>
      </x:c>
      <x:c r="M362" s="82" t="str">
        <x:v>Unpainted / / / Metal</x:v>
      </x:c>
      <x:c r="N362" s="82" t="str">
        <x:v>Gray tint</x:v>
      </x:c>
      <x:c r="O362" s="82" t="str">
        <x:v>Black</x:v>
      </x:c>
      <x:c r="P362" s="82" t="str">
        <x:v>Malaysia</x:v>
      </x:c>
      <x:c r="Q362" s="82" t="str"/>
      <x:c r="R362" s="82" t="str">
        <x:v>Mainline</x:v>
      </x:c>
      <x:c r="S362" s="82" t="str">
        <x:v>Incomum</x:v>
      </x:c>
      <x:c r="T362" s="82" t="str">
        <x:v>Lançado</x:v>
      </x:c>
      <x:c r="U362" s="82" t="str">
        <x:v>Named Ferrari 308</x:v>
      </x:c>
      <x:c r="V362" s="80" t="str">
        <x:v>Coleção principal (~1:64)</x:v>
      </x:c>
      <x:c r="W362" s="82" t="str">
        <x:v>https://hotwheels.fandom.com/wiki/Racebait_308</x:v>
      </x:c>
      <x:c r="X362" s="82" t="str">
        <x:v>https://hotwheels.fandom.com/wiki/Racebait_308</x:v>
      </x:c>
    </x:row>
    <x:row r="363">
      <x:c r="A363" s="80" t="str">
        <x:v>Não</x:v>
      </x:c>
      <x:c r="B363" s="80" t="str">
        <x:v>2 — Completar aos poucos</x:v>
      </x:c>
      <x:c r="C363" s="81" t="n">
        <x:v>2003</x:v>
      </x:c>
      <x:c r="D363" s="80" t="str">
        <x:v>Enzo Ferrari (2003)</x:v>
      </x:c>
      <x:c r="E363" s="80" t="str">
        <x:v>Enzo Ferrari</x:v>
      </x:c>
      <x:c r="F363" s="82" t="str">
        <x:v>2003 First Editions</x:v>
      </x:c>
      <x:c r="G363" s="80" t="str"/>
      <x:c r="H363" s="80" t="str"/>
      <x:c r="I363" s="83" t="str">
        <x:v>56387</x:v>
      </x:c>
      <x:c r="J363" s="80" t="str"/>
      <x:c r="K363" s="82" t="str"/>
      <x:c r="L363" s="82" t="str"/>
      <x:c r="M363" s="82" t="str"/>
      <x:c r="N363" s="82" t="str"/>
      <x:c r="O363" s="82" t="str"/>
      <x:c r="P363" s="82" t="str"/>
      <x:c r="Q363" s="82" t="str"/>
      <x:c r="R363" s="82" t="str">
        <x:v>Outra linha</x:v>
      </x:c>
      <x:c r="S363" s="82" t="str">
        <x:v>Incomum</x:v>
      </x:c>
      <x:c r="T363" s="82" t="str">
        <x:v>Lançado</x:v>
      </x:c>
      <x:c r="U363" s="82" t="str"/>
      <x:c r="V363" s="80" t="str">
        <x:v>Coleção principal (~1:64)</x:v>
      </x:c>
      <x:c r="W363" s="82" t="str">
        <x:v>https://hotwheels.fandom.com/wiki/Ferrari</x:v>
      </x:c>
      <x:c r="X363" s="82" t="str">
        <x:v>https://hotwheels.fandom.com/wiki/Enzo_Ferrari_(2003)</x:v>
      </x:c>
    </x:row>
    <x:row r="364">
      <x:c r="A364" s="80" t="str">
        <x:v>Não</x:v>
      </x:c>
      <x:c r="B364" s="80" t="str">
        <x:v>2 — Completar aos poucos</x:v>
      </x:c>
      <x:c r="C364" s="81" t="n">
        <x:v>2003</x:v>
      </x:c>
      <x:c r="D364" s="80" t="str">
        <x:v>Enzo Ferrari (Speed Demons)</x:v>
      </x:c>
      <x:c r="E364" s="80" t="str">
        <x:v>Enzo Ferrari</x:v>
      </x:c>
      <x:c r="F364" s="82" t="str">
        <x:v>Speed Demons "Speed Demons Series (2003)")</x:v>
      </x:c>
      <x:c r="G364" s="80" t="str"/>
      <x:c r="H364" s="80" t="str"/>
      <x:c r="I364" s="83" t="str">
        <x:v>B7549</x:v>
      </x:c>
      <x:c r="J364" s="80" t="str"/>
      <x:c r="K364" s="82" t="str"/>
      <x:c r="L364" s="82" t="str"/>
      <x:c r="M364" s="82" t="str"/>
      <x:c r="N364" s="82" t="str"/>
      <x:c r="O364" s="82" t="str"/>
      <x:c r="P364" s="82" t="str"/>
      <x:c r="Q364" s="82" t="str"/>
      <x:c r="R364" s="82" t="str">
        <x:v>Outra linha</x:v>
      </x:c>
      <x:c r="S364" s="82" t="str">
        <x:v>Incomum</x:v>
      </x:c>
      <x:c r="T364" s="82" t="str">
        <x:v>Lançado</x:v>
      </x:c>
      <x:c r="U364" s="82" t="str"/>
      <x:c r="V364" s="80" t="str">
        <x:v>Coleção principal (~1:64)</x:v>
      </x:c>
      <x:c r="W364" s="82" t="str">
        <x:v>https://hotwheels.fandom.com/wiki/Ferrari</x:v>
      </x:c>
      <x:c r="X364" s="82" t="str">
        <x:v>https://hotwheels.fandom.com/wiki/Enzo_Ferrari_(Speed_Demons)</x:v>
      </x:c>
    </x:row>
    <x:row r="365">
      <x:c r="A365" s="80" t="str">
        <x:v>Não</x:v>
      </x:c>
      <x:c r="B365" s="80" t="str">
        <x:v>2 — Completar aos poucos</x:v>
      </x:c>
      <x:c r="C365" s="81" t="n">
        <x:v>2003</x:v>
      </x:c>
      <x:c r="D365" s="80" t="str">
        <x:v>Enzo Ferrari (Speed Demons)</x:v>
      </x:c>
      <x:c r="E365" s="80" t="str">
        <x:v>Enzo Ferrari</x:v>
      </x:c>
      <x:c r="F365" s="82" t="str">
        <x:v>Speed Demons / 2/4</x:v>
      </x:c>
      <x:c r="G365" s="80" t="str"/>
      <x:c r="H365" s="80" t="str"/>
      <x:c r="I365" s="83" t="str"/>
      <x:c r="J365" s="80" t="str">
        <x:v>Red</x:v>
      </x:c>
      <x:c r="K365" s="82" t="str"/>
      <x:c r="L365" s="82" t="str"/>
      <x:c r="M365" s="82" t="str">
        <x:v>Black / / / Plastic</x:v>
      </x:c>
      <x:c r="N365" s="82" t="str">
        <x:v>Tinted (Black)</x:v>
      </x:c>
      <x:c r="O365" s="82" t="str"/>
      <x:c r="P365" s="82" t="str">
        <x:v>also available in multi box set</x:v>
      </x:c>
      <x:c r="Q365" s="82" t="str"/>
      <x:c r="R365" s="82" t="str">
        <x:v>Outra linha</x:v>
      </x:c>
      <x:c r="S365" s="82" t="str">
        <x:v>Incomum</x:v>
      </x:c>
      <x:c r="T365" s="82" t="str">
        <x:v>Lançado</x:v>
      </x:c>
      <x:c r="U365" s="82" t="str"/>
      <x:c r="V365" s="80" t="str">
        <x:v>Coleção principal (~1:64)</x:v>
      </x:c>
      <x:c r="W365" s="82" t="str">
        <x:v>https://hotwheels.fandom.com/wiki/Enzo_Ferrari_(Speed_Demons)</x:v>
      </x:c>
      <x:c r="X365" s="82" t="str">
        <x:v>https://hotwheels.fandom.com/wiki/Enzo_Ferrari_(Speed_Demons)</x:v>
      </x:c>
    </x:row>
    <x:row r="366">
      <x:c r="A366" s="80" t="str">
        <x:v>Não</x:v>
      </x:c>
      <x:c r="B366" s="80" t="str">
        <x:v>2 — Completar aos poucos</x:v>
      </x:c>
      <x:c r="C366" s="81" t="n">
        <x:v>2003</x:v>
      </x:c>
      <x:c r="D366" s="80" t="str">
        <x:v>Enzo Ferrari (Speed Demons)</x:v>
      </x:c>
      <x:c r="E366" s="80" t="str">
        <x:v>Enzo Ferrari</x:v>
      </x:c>
      <x:c r="F366" s="82" t="str">
        <x:v>Speed Demons / 2/4</x:v>
      </x:c>
      <x:c r="G366" s="80" t="str"/>
      <x:c r="H366" s="80" t="str"/>
      <x:c r="I366" s="83" t="str"/>
      <x:c r="J366" s="80" t="str">
        <x:v>Yellow</x:v>
      </x:c>
      <x:c r="K366" s="82" t="str">
        <x:v>Black outlined Orange, Red Flames on Sides Top, Tailights , Black Ferrari Badge front &amp; Silver FERRARI on rear, sides "34 BBS" &amp; ?OHP? logo, Black Vent grill front &amp; Rear</x:v>
      </x:c>
      <x:c r="L366" s="82" t="str">
        <x:v>Chrome Real Rubber</x:v>
      </x:c>
      <x:c r="M366" s="82" t="str">
        <x:v>Black / / / Plastic</x:v>
      </x:c>
      <x:c r="N366" s="82" t="str">
        <x:v>Tinted (Black)</x:v>
      </x:c>
      <x:c r="O366" s="82" t="str"/>
      <x:c r="P366" s="82" t="str">
        <x:v>China</x:v>
      </x:c>
      <x:c r="Q366" s="82" t="str"/>
      <x:c r="R366" s="82" t="str">
        <x:v>Outra linha</x:v>
      </x:c>
      <x:c r="S366" s="82" t="str">
        <x:v>Incomum</x:v>
      </x:c>
      <x:c r="T366" s="82" t="str">
        <x:v>Lançado</x:v>
      </x:c>
      <x:c r="U366" s="82" t="str"/>
      <x:c r="V366" s="80" t="str">
        <x:v>Coleção principal (~1:64)</x:v>
      </x:c>
      <x:c r="W366" s="82" t="str">
        <x:v>https://hotwheels.fandom.com/wiki/Enzo_Ferrari_(Speed_Demons)</x:v>
      </x:c>
      <x:c r="X366" s="82" t="str">
        <x:v>https://hotwheels.fandom.com/wiki/Enzo_Ferrari_(Speed_Demons)</x:v>
      </x:c>
    </x:row>
    <x:row r="367">
      <x:c r="A367" s="80" t="str">
        <x:v>Não</x:v>
      </x:c>
      <x:c r="B367" s="80" t="str">
        <x:v>2 — Completar aos poucos</x:v>
      </x:c>
      <x:c r="C367" s="81" t="n">
        <x:v>2003</x:v>
      </x:c>
      <x:c r="D367" s="80" t="str">
        <x:v>Ferrari 156</x:v>
      </x:c>
      <x:c r="E367" s="80" t="str">
        <x:v>Ferrari 156</x:v>
      </x:c>
      <x:c r="F367" s="82" t="str">
        <x:v>Ferrari 5-Pack</x:v>
      </x:c>
      <x:c r="G367" s="80" t="str"/>
      <x:c r="H367" s="80" t="str"/>
      <x:c r="I367" s="83" t="str">
        <x:v>57072</x:v>
      </x:c>
      <x:c r="J367" s="80" t="str">
        <x:v>Grey</x:v>
      </x:c>
      <x:c r="K367" s="82" t="str">
        <x:v>Ferrari emblem on sides &amp; front</x:v>
      </x:c>
      <x:c r="L367" s="82" t="str">
        <x:v>SK5</x:v>
      </x:c>
      <x:c r="M367" s="82" t="str">
        <x:v>Unpainted / / / Metal</x:v>
      </x:c>
      <x:c r="N367" s="82" t="str">
        <x:v>Clear</x:v>
      </x:c>
      <x:c r="O367" s="82" t="str">
        <x:v>Unpainted / / / Metal</x:v>
      </x:c>
      <x:c r="P367" s="82" t="str">
        <x:v>Thailand</x:v>
      </x:c>
      <x:c r="Q367" s="82" t="str"/>
      <x:c r="R367" s="82" t="str">
        <x:v>Temática / multipack</x:v>
      </x:c>
      <x:c r="S367" s="82" t="str">
        <x:v>Incomum</x:v>
      </x:c>
      <x:c r="T367" s="82" t="str">
        <x:v>Lançado</x:v>
      </x:c>
      <x:c r="U367" s="82" t="str"/>
      <x:c r="V367" s="80" t="str">
        <x:v>Coleção principal (~1:64)</x:v>
      </x:c>
      <x:c r="W367" s="82" t="str">
        <x:v>https://hotwheels.fandom.com/wiki/Ferrari_156</x:v>
      </x:c>
      <x:c r="X367" s="82" t="str">
        <x:v>https://hotwheels.fandom.com/wiki/Ferrari_156</x:v>
      </x:c>
    </x:row>
    <x:row r="368">
      <x:c r="A368" s="80" t="str">
        <x:v>Não</x:v>
      </x:c>
      <x:c r="B368" s="80" t="str">
        <x:v>2 — Completar aos poucos</x:v>
      </x:c>
      <x:c r="C368" s="81" t="n">
        <x:v>2003</x:v>
      </x:c>
      <x:c r="D368" s="80" t="str">
        <x:v>Ferrari 156</x:v>
      </x:c>
      <x:c r="E368" s="80" t="str">
        <x:v>Ferrari 156</x:v>
      </x:c>
      <x:c r="F368" s="82" t="str">
        <x:v>Hall of Fame: Milestone Moments</x:v>
      </x:c>
      <x:c r="G368" s="80" t="str"/>
      <x:c r="H368" s="80" t="str"/>
      <x:c r="I368" s="83" t="str">
        <x:v>B0929</x:v>
      </x:c>
      <x:c r="J368" s="80" t="str">
        <x:v>Red</x:v>
      </x:c>
      <x:c r="K368" s="82" t="str">
        <x:v>Ferrari logo, “2” on sides and nose</x:v>
      </x:c>
      <x:c r="L368" s="82" t="str">
        <x:v>BNG RR</x:v>
      </x:c>
      <x:c r="M368" s="82" t="str">
        <x:v>Unpainted / / / Metal</x:v>
      </x:c>
      <x:c r="N368" s="82" t="str">
        <x:v>Clear</x:v>
      </x:c>
      <x:c r="O368" s="82" t="str">
        <x:v>Unpainted / / / Metal</x:v>
      </x:c>
      <x:c r="P368" s="82" t="str">
        <x:v>Malaysia</x:v>
      </x:c>
      <x:c r="Q368" s="82" t="str"/>
      <x:c r="R368" s="82" t="str">
        <x:v>Outra linha</x:v>
      </x:c>
      <x:c r="S368" s="82" t="str">
        <x:v>Incomum</x:v>
      </x:c>
      <x:c r="T368" s="82" t="str">
        <x:v>Lançado</x:v>
      </x:c>
      <x:c r="U368" s="82" t="str"/>
      <x:c r="V368" s="80" t="str">
        <x:v>Coleção principal (~1:64)</x:v>
      </x:c>
      <x:c r="W368" s="82" t="str">
        <x:v>https://hotwheels.fandom.com/wiki/Ferrari_156</x:v>
      </x:c>
      <x:c r="X368" s="82" t="str">
        <x:v>https://hotwheels.fandom.com/wiki/Ferrari_156</x:v>
      </x:c>
    </x:row>
    <x:row r="369">
      <x:c r="A369" s="80" t="str">
        <x:v>Não</x:v>
      </x:c>
      <x:c r="B369" s="80" t="str">
        <x:v>2 — Completar aos poucos</x:v>
      </x:c>
      <x:c r="C369" s="81" t="n">
        <x:v>2003</x:v>
      </x:c>
      <x:c r="D369" s="80" t="str">
        <x:v>Ferrari 250</x:v>
      </x:c>
      <x:c r="E369" s="80" t="str">
        <x:v>Ferrari 250</x:v>
      </x:c>
      <x:c r="F369" s="82" t="str">
        <x:v>Hall of Fame: Milestone Moments</x:v>
      </x:c>
      <x:c r="G369" s="80" t="str"/>
      <x:c r="H369" s="80" t="str"/>
      <x:c r="I369" s="83" t="str">
        <x:v>B2456</x:v>
      </x:c>
      <x:c r="J369" s="80" t="str">
        <x:v>Red</x:v>
      </x:c>
      <x:c r="K369" s="82" t="str">
        <x:v>White &amp; Black "14" on sides, hood, &amp; trunk, Ferrari logo on sides and hood</x:v>
      </x:c>
      <x:c r="L369" s="82" t="str">
        <x:v>RRGW1</x:v>
      </x:c>
      <x:c r="M369" s="82" t="str">
        <x:v>Red / / / Plastic</x:v>
      </x:c>
      <x:c r="N369" s="82" t="str">
        <x:v>Clear</x:v>
      </x:c>
      <x:c r="O369" s="82" t="str">
        <x:v>Tan</x:v>
      </x:c>
      <x:c r="P369" s="82" t="str">
        <x:v>China</x:v>
      </x:c>
      <x:c r="Q369" s="82" t="str"/>
      <x:c r="R369" s="82" t="str">
        <x:v>Outra linha</x:v>
      </x:c>
      <x:c r="S369" s="82" t="str">
        <x:v>Incomum</x:v>
      </x:c>
      <x:c r="T369" s="82" t="str">
        <x:v>Lançado</x:v>
      </x:c>
      <x:c r="U369" s="82" t="str">
        <x:v>Thin tires, not DDRR</x:v>
      </x:c>
      <x:c r="V369" s="80" t="str">
        <x:v>Coleção principal (~1:64)</x:v>
      </x:c>
      <x:c r="W369" s="82" t="str">
        <x:v>https://hotwheels.fandom.com/wiki/Ferrari_250</x:v>
      </x:c>
      <x:c r="X369" s="82" t="str">
        <x:v>https://hotwheels.fandom.com/wiki/Ferrari_250</x:v>
      </x:c>
    </x:row>
    <x:row r="370">
      <x:c r="A370" s="80" t="str">
        <x:v>Não</x:v>
      </x:c>
      <x:c r="B370" s="80" t="str">
        <x:v>2 — Completar aos poucos</x:v>
      </x:c>
      <x:c r="C370" s="81" t="n">
        <x:v>2003</x:v>
      </x:c>
      <x:c r="D370" s="80" t="str">
        <x:v>Ferrari 330 P4</x:v>
      </x:c>
      <x:c r="E370" s="80" t="str">
        <x:v>Ferrari 330 P4</x:v>
      </x:c>
      <x:c r="F370" s="82" t="str">
        <x:v>Hall of Fame: Milestone Moments</x:v>
      </x:c>
      <x:c r="G370" s="80" t="str"/>
      <x:c r="H370" s="80" t="str"/>
      <x:c r="I370" s="83" t="str">
        <x:v>B0935</x:v>
      </x:c>
      <x:c r="J370" s="80" t="str">
        <x:v>Red</x:v>
      </x:c>
      <x:c r="K370" s="82" t="str">
        <x:v>"23" on sides, rear, and hood, "Ferrari" logo on sides</x:v>
      </x:c>
      <x:c r="L370" s="82" t="str">
        <x:v>Gold RRMag</x:v>
      </x:c>
      <x:c r="M370" s="82" t="str">
        <x:v>Black / / / Plastic</x:v>
      </x:c>
      <x:c r="N370" s="82" t="str">
        <x:v>Clear</x:v>
      </x:c>
      <x:c r="O370" s="82" t="str">
        <x:v>Black</x:v>
      </x:c>
      <x:c r="P370" s="82" t="str">
        <x:v>Malaysia</x:v>
      </x:c>
      <x:c r="Q370" s="82" t="str"/>
      <x:c r="R370" s="82" t="str">
        <x:v>Outra linha</x:v>
      </x:c>
      <x:c r="S370" s="82" t="str">
        <x:v>Incomum</x:v>
      </x:c>
      <x:c r="T370" s="82" t="str">
        <x:v>Lançado</x:v>
      </x:c>
      <x:c r="U370" s="82" t="str"/>
      <x:c r="V370" s="80" t="str">
        <x:v>Coleção principal (~1:64)</x:v>
      </x:c>
      <x:c r="W370" s="82" t="str">
        <x:v>https://hotwheels.fandom.com/wiki/Ferrari_330_P4</x:v>
      </x:c>
      <x:c r="X370" s="82" t="str">
        <x:v>https://hotwheels.fandom.com/wiki/Ferrari_330_P4</x:v>
      </x:c>
    </x:row>
    <x:row r="371">
      <x:c r="A371" s="80" t="str">
        <x:v>Não</x:v>
      </x:c>
      <x:c r="B371" s="80" t="str">
        <x:v>2 — Completar aos poucos</x:v>
      </x:c>
      <x:c r="C371" s="81" t="n">
        <x:v>2003</x:v>
      </x:c>
      <x:c r="D371" s="80" t="str">
        <x:v>Ferrari 333 SP</x:v>
      </x:c>
      <x:c r="E371" s="80" t="str">
        <x:v>Ferrari 333 SP</x:v>
      </x:c>
      <x:c r="F371" s="82" t="str">
        <x:v>Ferrari 5-Pack</x:v>
      </x:c>
      <x:c r="G371" s="80" t="str"/>
      <x:c r="H371" s="80" t="str"/>
      <x:c r="I371" s="83" t="str">
        <x:v>57072</x:v>
      </x:c>
      <x:c r="J371" s="80" t="str">
        <x:v>Black</x:v>
      </x:c>
      <x:c r="K371" s="82" t="str">
        <x:v>White, Black and Yellow "51". HW logo on right side</x:v>
      </x:c>
      <x:c r="L371" s="82" t="str">
        <x:v>PR5</x:v>
      </x:c>
      <x:c r="M371" s="82" t="str">
        <x:v>Black / / / Plastic</x:v>
      </x:c>
      <x:c r="N371" s="82" t="str"/>
      <x:c r="O371" s="82" t="str">
        <x:v>Yellow</x:v>
      </x:c>
      <x:c r="P371" s="82" t="str">
        <x:v>China</x:v>
      </x:c>
      <x:c r="Q371" s="82" t="str"/>
      <x:c r="R371" s="82" t="str">
        <x:v>Temática / multipack</x:v>
      </x:c>
      <x:c r="S371" s="82" t="str">
        <x:v>Incomum</x:v>
      </x:c>
      <x:c r="T371" s="82" t="str">
        <x:v>Lançado</x:v>
      </x:c>
      <x:c r="U371" s="82" t="str"/>
      <x:c r="V371" s="80" t="str">
        <x:v>Coleção principal (~1:64)</x:v>
      </x:c>
      <x:c r="W371" s="82" t="str">
        <x:v>https://hotwheels.fandom.com/wiki/Ferrari_333_SP</x:v>
      </x:c>
      <x:c r="X371" s="82" t="str">
        <x:v>https://hotwheels.fandom.com/wiki/Ferrari_333_SP</x:v>
      </x:c>
    </x:row>
    <x:row r="372">
      <x:c r="A372" s="80" t="str">
        <x:v>Não</x:v>
      </x:c>
      <x:c r="B372" s="80" t="str">
        <x:v>2 — Completar aos poucos</x:v>
      </x:c>
      <x:c r="C372" s="81" t="n">
        <x:v>2003</x:v>
      </x:c>
      <x:c r="D372" s="80" t="str">
        <x:v>Ferrari 360 Modena</x:v>
      </x:c>
      <x:c r="E372" s="80" t="str">
        <x:v>Ferrari 360 Modena</x:v>
      </x:c>
      <x:c r="F372" s="82" t="str">
        <x:v>Nokia Challenge</x:v>
      </x:c>
      <x:c r="G372" s="80" t="str"/>
      <x:c r="H372" s="80" t="str"/>
      <x:c r="I372" s="83" t="str">
        <x:v>85645</x:v>
      </x:c>
      <x:c r="J372" s="80" t="str">
        <x:v>Blue &amp; Yellow</x:v>
      </x:c>
      <x:c r="K372" s="82" t="str">
        <x:v>White "Nokia" on roof; various racing tampos all over</x:v>
      </x:c>
      <x:c r="L372" s="82" t="str">
        <x:v>LW</x:v>
      </x:c>
      <x:c r="M372" s="82" t="str">
        <x:v>ZAMAC</x:v>
      </x:c>
      <x:c r="N372" s="82" t="str">
        <x:v>Clear</x:v>
      </x:c>
      <x:c r="O372" s="82" t="str">
        <x:v>Red</x:v>
      </x:c>
      <x:c r="P372" s="82" t="str">
        <x:v>Thailand</x:v>
      </x:c>
      <x:c r="Q372" s="82" t="str"/>
      <x:c r="R372" s="82" t="str">
        <x:v>Outra linha</x:v>
      </x:c>
      <x:c r="S372" s="82" t="str">
        <x:v>Incomum</x:v>
      </x:c>
      <x:c r="T372" s="82" t="str">
        <x:v>Lançado</x:v>
      </x:c>
      <x:c r="U372" s="82" t="str">
        <x:v>Named 360 Ferrari Challenge Car</x:v>
      </x:c>
      <x:c r="V372" s="80" t="str">
        <x:v>Coleção principal (~1:64)</x:v>
      </x:c>
      <x:c r="W372" s="82" t="str">
        <x:v>https://hotwheels.fandom.com/wiki/Ferrari_360_Modena</x:v>
      </x:c>
      <x:c r="X372" s="82" t="str">
        <x:v>https://hotwheels.fandom.com/wiki/Ferrari_360_Modena</x:v>
      </x:c>
    </x:row>
    <x:row r="373">
      <x:c r="A373" s="80" t="str">
        <x:v>Não</x:v>
      </x:c>
      <x:c r="B373" s="80" t="str">
        <x:v>2 — Completar aos poucos</x:v>
      </x:c>
      <x:c r="C373" s="81" t="n">
        <x:v>2003</x:v>
      </x:c>
      <x:c r="D373" s="80" t="str">
        <x:v>Ferrari 365 GTB/4</x:v>
      </x:c>
      <x:c r="E373" s="80" t="str">
        <x:v>Ferrari 365 GTB/4</x:v>
      </x:c>
      <x:c r="F373" s="82" t="str">
        <x:v>Hall of Fame: Legends</x:v>
      </x:c>
      <x:c r="G373" s="80" t="str"/>
      <x:c r="H373" s="80" t="str"/>
      <x:c r="I373" s="83" t="str">
        <x:v>B0926</x:v>
      </x:c>
      <x:c r="J373" s="80" t="str">
        <x:v>Metallic Blue</x:v>
      </x:c>
      <x:c r="K373" s="82" t="str">
        <x:v>Ferrari logo on hood</x:v>
      </x:c>
      <x:c r="L373" s="82" t="str">
        <x:v>PC5</x:v>
      </x:c>
      <x:c r="M373" s="82" t="str">
        <x:v>Unpainted / / / Metal</x:v>
      </x:c>
      <x:c r="N373" s="82" t="str">
        <x:v>Smoke</x:v>
      </x:c>
      <x:c r="O373" s="82" t="str">
        <x:v>Red</x:v>
      </x:c>
      <x:c r="P373" s="82" t="str">
        <x:v>Malaysia</x:v>
      </x:c>
      <x:c r="Q373" s="82" t="str"/>
      <x:c r="R373" s="82" t="str">
        <x:v>Outra linha</x:v>
      </x:c>
      <x:c r="S373" s="82" t="str">
        <x:v>Incomum</x:v>
      </x:c>
      <x:c r="T373" s="82" t="str">
        <x:v>Lançado</x:v>
      </x:c>
      <x:c r="U373" s="82" t="str"/>
      <x:c r="V373" s="80" t="str">
        <x:v>Coleção principal (~1:64)</x:v>
      </x:c>
      <x:c r="W373" s="82" t="str">
        <x:v>https://hotwheels.fandom.com/wiki/Ferrari_365_GTB/4</x:v>
      </x:c>
      <x:c r="X373" s="82" t="str">
        <x:v>https://hotwheels.fandom.com/wiki/Ferrari_365_GTB/4</x:v>
      </x:c>
    </x:row>
    <x:row r="374">
      <x:c r="A374" s="80" t="str">
        <x:v>Não</x:v>
      </x:c>
      <x:c r="B374" s="80" t="str">
        <x:v>2 — Completar aos poucos</x:v>
      </x:c>
      <x:c r="C374" s="81" t="n">
        <x:v>2003</x:v>
      </x:c>
      <x:c r="D374" s="80" t="str">
        <x:v>Ferrari 550 Maranello</x:v>
      </x:c>
      <x:c r="E374" s="80" t="str">
        <x:v>Ferrari 550 Maranello</x:v>
      </x:c>
      <x:c r="F374" s="82" t="str">
        <x:v>Ferrari 5-Pack</x:v>
      </x:c>
      <x:c r="G374" s="80" t="str"/>
      <x:c r="H374" s="80" t="str"/>
      <x:c r="I374" s="83" t="str">
        <x:v>57072</x:v>
      </x:c>
      <x:c r="J374" s="80" t="str">
        <x:v>Yellow</x:v>
      </x:c>
      <x:c r="K374" s="82" t="str">
        <x:v>Ferrari logo on hood / no headlights</x:v>
      </x:c>
      <x:c r="L374" s="82" t="str">
        <x:v>5SP</x:v>
      </x:c>
      <x:c r="M374" s="82" t="str">
        <x:v>polished / / / Metal</x:v>
      </x:c>
      <x:c r="N374" s="82" t="str">
        <x:v>Tinted (Smoke)</x:v>
      </x:c>
      <x:c r="O374" s="82" t="str">
        <x:v>Black</x:v>
      </x:c>
      <x:c r="P374" s="82" t="str">
        <x:v>China</x:v>
      </x:c>
      <x:c r="Q374" s="82" t="str"/>
      <x:c r="R374" s="82" t="str">
        <x:v>Temática / multipack</x:v>
      </x:c>
      <x:c r="S374" s="82" t="str">
        <x:v>Incomum</x:v>
      </x:c>
      <x:c r="T374" s="82" t="str">
        <x:v>Lançado</x:v>
      </x:c>
      <x:c r="U374" s="82" t="str"/>
      <x:c r="V374" s="80" t="str">
        <x:v>Coleção principal (~1:64)</x:v>
      </x:c>
      <x:c r="W374" s="82" t="str">
        <x:v>https://hotwheels.fandom.com/wiki/Ferrari_550_Maranello</x:v>
      </x:c>
      <x:c r="X374" s="82" t="str">
        <x:v>https://hotwheels.fandom.com/wiki/Ferrari_550_Maranello</x:v>
      </x:c>
    </x:row>
    <x:row r="375">
      <x:c r="A375" s="80" t="str">
        <x:v>Não</x:v>
      </x:c>
      <x:c r="B375" s="80" t="str">
        <x:v>2 — Completar aos poucos</x:v>
      </x:c>
      <x:c r="C375" s="81" t="n">
        <x:v>2003</x:v>
      </x:c>
      <x:c r="D375" s="80" t="str">
        <x:v>Ferrari 550 Maranello</x:v>
      </x:c>
      <x:c r="E375" s="80" t="str">
        <x:v>Ferrari 550 Maranello</x:v>
      </x:c>
      <x:c r="F375" s="82" t="str">
        <x:v>Ferrari 5-Pack</x:v>
      </x:c>
      <x:c r="G375" s="80" t="str"/>
      <x:c r="H375" s="80" t="str"/>
      <x:c r="I375" s="83" t="str">
        <x:v>57072</x:v>
      </x:c>
      <x:c r="J375" s="80" t="str">
        <x:v>Yellow</x:v>
      </x:c>
      <x:c r="K375" s="82" t="str">
        <x:v>Silver headlights and Ferrari logo on hood</x:v>
      </x:c>
      <x:c r="L375" s="82" t="str">
        <x:v>5SP</x:v>
      </x:c>
      <x:c r="M375" s="82" t="str">
        <x:v>Unpainted / / / Metal</x:v>
      </x:c>
      <x:c r="N375" s="82" t="str">
        <x:v>Clear</x:v>
      </x:c>
      <x:c r="O375" s="82" t="str">
        <x:v>Black</x:v>
      </x:c>
      <x:c r="P375" s="82" t="str">
        <x:v>China</x:v>
      </x:c>
      <x:c r="Q375" s="82" t="str"/>
      <x:c r="R375" s="82" t="str">
        <x:v>Temática / multipack</x:v>
      </x:c>
      <x:c r="S375" s="82" t="str">
        <x:v>Incomum</x:v>
      </x:c>
      <x:c r="T375" s="82" t="str">
        <x:v>Lançado</x:v>
      </x:c>
      <x:c r="U375" s="82" t="str"/>
      <x:c r="V375" s="80" t="str">
        <x:v>Coleção principal (~1:64)</x:v>
      </x:c>
      <x:c r="W375" s="82" t="str">
        <x:v>https://hotwheels.fandom.com/wiki/Ferrari_550_Maranello</x:v>
      </x:c>
      <x:c r="X375" s="82" t="str">
        <x:v>https://hotwheels.fandom.com/wiki/Ferrari_550_Maranello</x:v>
      </x:c>
    </x:row>
    <x:row r="376">
      <x:c r="A376" s="80" t="str">
        <x:v>Não</x:v>
      </x:c>
      <x:c r="B376" s="80" t="str">
        <x:v>2 — Completar aos poucos</x:v>
      </x:c>
      <x:c r="C376" s="81" t="n">
        <x:v>2003</x:v>
      </x:c>
      <x:c r="D376" s="80" t="str">
        <x:v>Ferrari F355 Challenge</x:v>
      </x:c>
      <x:c r="E376" s="80" t="str">
        <x:v>Ferrari F355 Challenge</x:v>
      </x:c>
      <x:c r="F376" s="82" t="str">
        <x:v>Ferrari 5-Pack</x:v>
      </x:c>
      <x:c r="G376" s="80" t="str"/>
      <x:c r="H376" s="80" t="str"/>
      <x:c r="I376" s="83" t="str">
        <x:v>57072</x:v>
      </x:c>
      <x:c r="J376" s="80" t="str">
        <x:v>Red</x:v>
      </x:c>
      <x:c r="K376" s="82" t="str">
        <x:v>Ferrari badge on hood</x:v>
      </x:c>
      <x:c r="L376" s="82" t="str">
        <x:v>5SP</x:v>
      </x:c>
      <x:c r="M376" s="82" t="str">
        <x:v>Unpainted / Metal</x:v>
      </x:c>
      <x:c r="N376" s="82" t="str">
        <x:v>Tinted</x:v>
      </x:c>
      <x:c r="O376" s="82" t="str">
        <x:v>Black</x:v>
      </x:c>
      <x:c r="P376" s="82" t="str">
        <x:v>China</x:v>
      </x:c>
      <x:c r="Q376" s="82" t="str"/>
      <x:c r="R376" s="82" t="str">
        <x:v>Temática / multipack</x:v>
      </x:c>
      <x:c r="S376" s="82" t="str">
        <x:v>Incomum</x:v>
      </x:c>
      <x:c r="T376" s="82" t="str">
        <x:v>Lançado</x:v>
      </x:c>
      <x:c r="U376" s="82" t="str"/>
      <x:c r="V376" s="80" t="str">
        <x:v>Coleção principal (~1:64)</x:v>
      </x:c>
      <x:c r="W376" s="82" t="str">
        <x:v>https://hotwheels.fandom.com/wiki/Ferrari_F355_Challenge</x:v>
      </x:c>
      <x:c r="X376" s="82" t="str">
        <x:v>https://hotwheels.fandom.com/wiki/Ferrari_F355_Challenge</x:v>
      </x:c>
    </x:row>
    <x:row r="377">
      <x:c r="A377" s="80" t="str">
        <x:v>Não</x:v>
      </x:c>
      <x:c r="B377" s="80" t="str">
        <x:v>2 — Completar aos poucos</x:v>
      </x:c>
      <x:c r="C377" s="81" t="n">
        <x:v>2003</x:v>
      </x:c>
      <x:c r="D377" s="80" t="str">
        <x:v>Ferrari F512M</x:v>
      </x:c>
      <x:c r="E377" s="80" t="str">
        <x:v>Ferrari F512M</x:v>
      </x:c>
      <x:c r="F377" s="82" t="str">
        <x:v>Ferrari 5-Pack</x:v>
      </x:c>
      <x:c r="G377" s="80" t="str"/>
      <x:c r="H377" s="80" t="str"/>
      <x:c r="I377" s="83" t="str">
        <x:v>57072</x:v>
      </x:c>
      <x:c r="J377" s="80" t="str">
        <x:v>Pearl White</x:v>
      </x:c>
      <x:c r="K377" s="82" t="str">
        <x:v>Ferrari emblem on front</x:v>
      </x:c>
      <x:c r="L377" s="82" t="str">
        <x:v>5SP</x:v>
      </x:c>
      <x:c r="M377" s="82" t="str">
        <x:v>Black / / / Metal</x:v>
      </x:c>
      <x:c r="N377" s="82" t="str">
        <x:v>Clear</x:v>
      </x:c>
      <x:c r="O377" s="82" t="str">
        <x:v>Grey</x:v>
      </x:c>
      <x:c r="P377" s="82" t="str">
        <x:v>China</x:v>
      </x:c>
      <x:c r="Q377" s="82" t="str"/>
      <x:c r="R377" s="82" t="str">
        <x:v>Temática / multipack</x:v>
      </x:c>
      <x:c r="S377" s="82" t="str">
        <x:v>Incomum</x:v>
      </x:c>
      <x:c r="T377" s="82" t="str">
        <x:v>Lançado</x:v>
      </x:c>
      <x:c r="U377" s="82" t="str"/>
      <x:c r="V377" s="80" t="str">
        <x:v>Coleção principal (~1:64)</x:v>
      </x:c>
      <x:c r="W377" s="82" t="str">
        <x:v>https://hotwheels.fandom.com/wiki/Ferrari_F512M</x:v>
      </x:c>
      <x:c r="X377" s="82" t="str">
        <x:v>https://hotwheels.fandom.com/wiki/Ferrari_F512M</x:v>
      </x:c>
    </x:row>
    <x:row r="378">
      <x:c r="A378" s="80" t="str">
        <x:v>Não</x:v>
      </x:c>
      <x:c r="B378" s="80" t="str">
        <x:v>2 — Completar aos poucos</x:v>
      </x:c>
      <x:c r="C378" s="81" t="n">
        <x:v>2002</x:v>
      </x:c>
      <x:c r="D378" s="80" t="str">
        <x:v>Ferrari 156</x:v>
      </x:c>
      <x:c r="E378" s="80" t="str">
        <x:v>Ferrari 156</x:v>
      </x:c>
      <x:c r="F378" s="82" t="str">
        <x:v>Ferrari 5-Pack</x:v>
      </x:c>
      <x:c r="G378" s="80" t="str"/>
      <x:c r="H378" s="80" t="str"/>
      <x:c r="I378" s="83" t="str">
        <x:v>54465</x:v>
      </x:c>
      <x:c r="J378" s="80" t="str">
        <x:v>Yellow</x:v>
      </x:c>
      <x:c r="K378" s="82" t="str">
        <x:v>Litle Black Hot Wheels logo on side</x:v>
      </x:c>
      <x:c r="L378" s="82" t="str">
        <x:v>Chrome LW</x:v>
      </x:c>
      <x:c r="M378" s="82" t="str">
        <x:v>Unpainted / / / Metal</x:v>
      </x:c>
      <x:c r="N378" s="82" t="str">
        <x:v>Clear</x:v>
      </x:c>
      <x:c r="O378" s="82" t="str">
        <x:v>Unpainted / / / Metal</x:v>
      </x:c>
      <x:c r="P378" s="82" t="str">
        <x:v>Thailand</x:v>
      </x:c>
      <x:c r="Q378" s="82" t="str"/>
      <x:c r="R378" s="82" t="str">
        <x:v>Temática / multipack</x:v>
      </x:c>
      <x:c r="S378" s="82" t="str">
        <x:v>Incomum</x:v>
      </x:c>
      <x:c r="T378" s="82" t="str">
        <x:v>Lançado</x:v>
      </x:c>
      <x:c r="U378" s="82" t="str"/>
      <x:c r="V378" s="80" t="str">
        <x:v>Coleção principal (~1:64)</x:v>
      </x:c>
      <x:c r="W378" s="82" t="str">
        <x:v>https://hotwheels.fandom.com/wiki/Ferrari_156</x:v>
      </x:c>
      <x:c r="X378" s="82" t="str">
        <x:v>https://hotwheels.fandom.com/wiki/Ferrari_156</x:v>
      </x:c>
    </x:row>
    <x:row r="379">
      <x:c r="A379" s="80" t="str">
        <x:v>Não</x:v>
      </x:c>
      <x:c r="B379" s="80" t="str">
        <x:v>2 — Completar aos poucos</x:v>
      </x:c>
      <x:c r="C379" s="81" t="n">
        <x:v>2002</x:v>
      </x:c>
      <x:c r="D379" s="80" t="str">
        <x:v>Ferrari 156</x:v>
      </x:c>
      <x:c r="E379" s="80" t="str">
        <x:v>Ferrari 156</x:v>
      </x:c>
      <x:c r="F379" s="82" t="str">
        <x:v>Mainline</x:v>
      </x:c>
      <x:c r="G379" s="80" t="str"/>
      <x:c r="H379" s="80" t="str">
        <x:v>141</x:v>
      </x:c>
      <x:c r="I379" s="83" t="str">
        <x:v>55026</x:v>
      </x:c>
      <x:c r="J379" s="80" t="str">
        <x:v>Red</x:v>
      </x:c>
      <x:c r="K379" s="82" t="str">
        <x:v>White '36' on sides and front and Ferrari logo on front</x:v>
      </x:c>
      <x:c r="L379" s="82" t="str">
        <x:v>LW</x:v>
      </x:c>
      <x:c r="M379" s="82" t="str">
        <x:v>Unpainted / / / Metal</x:v>
      </x:c>
      <x:c r="N379" s="82" t="str">
        <x:v>Clear</x:v>
      </x:c>
      <x:c r="O379" s="82" t="str">
        <x:v>Unpainted / / / Metal</x:v>
      </x:c>
      <x:c r="P379" s="82" t="str">
        <x:v>Malaysia</x:v>
      </x:c>
      <x:c r="Q379" s="82" t="str"/>
      <x:c r="R379" s="82" t="str">
        <x:v>Mainline</x:v>
      </x:c>
      <x:c r="S379" s="82" t="str">
        <x:v>Incomum</x:v>
      </x:c>
      <x:c r="T379" s="82" t="str">
        <x:v>Lançado</x:v>
      </x:c>
      <x:c r="U379" s="82" t="str"/>
      <x:c r="V379" s="80" t="str">
        <x:v>Coleção principal (~1:64)</x:v>
      </x:c>
      <x:c r="W379" s="82" t="str">
        <x:v>https://hotwheels.fandom.com/wiki/Ferrari_156</x:v>
      </x:c>
      <x:c r="X379" s="82" t="str">
        <x:v>https://hotwheels.fandom.com/wiki/Ferrari_156</x:v>
      </x:c>
    </x:row>
    <x:row r="380">
      <x:c r="A380" s="80" t="str">
        <x:v>Não</x:v>
      </x:c>
      <x:c r="B380" s="80" t="str">
        <x:v>2 — Completar aos poucos</x:v>
      </x:c>
      <x:c r="C380" s="81" t="n">
        <x:v>2002</x:v>
      </x:c>
      <x:c r="D380" s="80" t="str">
        <x:v>Ferrari 330 P4</x:v>
      </x:c>
      <x:c r="E380" s="80" t="str">
        <x:v>Ferrari 330 P4</x:v>
      </x:c>
      <x:c r="F380" s="82" t="str">
        <x:v>2002 First Editions / 13/42</x:v>
      </x:c>
      <x:c r="G380" s="80" t="str"/>
      <x:c r="H380" s="80" t="str">
        <x:v>025</x:v>
      </x:c>
      <x:c r="I380" s="83" t="str">
        <x:v>52915</x:v>
      </x:c>
      <x:c r="J380" s="80" t="str">
        <x:v>Red</x:v>
      </x:c>
      <x:c r="K380" s="82" t="str">
        <x:v>White circle w/ '24' on sides &amp; top, Ferrari logo on sides &amp; front</x:v>
      </x:c>
      <x:c r="L380" s="82" t="str">
        <x:v>Gold 5SP</x:v>
      </x:c>
      <x:c r="M380" s="82" t="str">
        <x:v>Black / / / Plastic</x:v>
      </x:c>
      <x:c r="N380" s="82" t="str">
        <x:v>Clear</x:v>
      </x:c>
      <x:c r="O380" s="82" t="str">
        <x:v>Black w/ chrome dash</x:v>
      </x:c>
      <x:c r="P380" s="82" t="str">
        <x:v>Malaysia</x:v>
      </x:c>
      <x:c r="Q380" s="82" t="str"/>
      <x:c r="R380" s="82" t="str">
        <x:v>Mainline</x:v>
      </x:c>
      <x:c r="S380" s="82" t="str">
        <x:v>Incomum</x:v>
      </x:c>
      <x:c r="T380" s="82" t="str">
        <x:v>Lançado</x:v>
      </x:c>
      <x:c r="U380" s="82" t="str">
        <x:v>Named Ferrari P4</x:v>
      </x:c>
      <x:c r="V380" s="80" t="str">
        <x:v>Coleção principal (~1:64)</x:v>
      </x:c>
      <x:c r="W380" s="82" t="str">
        <x:v>https://hotwheels.fandom.com/wiki/Ferrari_330_P4</x:v>
      </x:c>
      <x:c r="X380" s="82" t="str">
        <x:v>https://hotwheels.fandom.com/wiki/Ferrari_330_P4</x:v>
      </x:c>
    </x:row>
    <x:row r="381">
      <x:c r="A381" s="80" t="str">
        <x:v>Não</x:v>
      </x:c>
      <x:c r="B381" s="80" t="str">
        <x:v>2 — Completar aos poucos</x:v>
      </x:c>
      <x:c r="C381" s="81" t="n">
        <x:v>2002</x:v>
      </x:c>
      <x:c r="D381" s="80" t="str">
        <x:v>Ferrari 333 SP</x:v>
      </x:c>
      <x:c r="E381" s="80" t="str">
        <x:v>Ferrari 333 SP</x:v>
      </x:c>
      <x:c r="F381" s="82" t="str">
        <x:v>Ferrari 5-Pack</x:v>
      </x:c>
      <x:c r="G381" s="80" t="str"/>
      <x:c r="H381" s="80" t="str"/>
      <x:c r="I381" s="83" t="str">
        <x:v>54465</x:v>
      </x:c>
      <x:c r="J381" s="80" t="str">
        <x:v>Blue</x:v>
      </x:c>
      <x:c r="K381" s="82" t="str">
        <x:v>"Ferrari" on front and sides</x:v>
      </x:c>
      <x:c r="L381" s="82" t="str">
        <x:v>LW</x:v>
      </x:c>
      <x:c r="M381" s="82" t="str">
        <x:v>Black / / / Plastic</x:v>
      </x:c>
      <x:c r="N381" s="82" t="str"/>
      <x:c r="O381" s="82" t="str">
        <x:v>Blue</x:v>
      </x:c>
      <x:c r="P381" s="82" t="str">
        <x:v>Thailand</x:v>
      </x:c>
      <x:c r="Q381" s="82" t="str"/>
      <x:c r="R381" s="82" t="str">
        <x:v>Temática / multipack</x:v>
      </x:c>
      <x:c r="S381" s="82" t="str">
        <x:v>Incomum</x:v>
      </x:c>
      <x:c r="T381" s="82" t="str">
        <x:v>Lançado</x:v>
      </x:c>
      <x:c r="U381" s="82" t="str"/>
      <x:c r="V381" s="80" t="str">
        <x:v>Coleção principal (~1:64)</x:v>
      </x:c>
      <x:c r="W381" s="82" t="str">
        <x:v>https://hotwheels.fandom.com/wiki/Ferrari_333_SP</x:v>
      </x:c>
      <x:c r="X381" s="82" t="str">
        <x:v>https://hotwheels.fandom.com/wiki/Ferrari_333_SP</x:v>
      </x:c>
    </x:row>
    <x:row r="382">
      <x:c r="A382" s="80" t="str">
        <x:v>Não</x:v>
      </x:c>
      <x:c r="B382" s="80" t="str">
        <x:v>2 — Completar aos poucos</x:v>
      </x:c>
      <x:c r="C382" s="81" t="n">
        <x:v>2002</x:v>
      </x:c>
      <x:c r="D382" s="80" t="str">
        <x:v>Ferrari 348</x:v>
      </x:c>
      <x:c r="E382" s="80" t="str">
        <x:v>Ferrari 348</x:v>
      </x:c>
      <x:c r="F382" s="82" t="str">
        <x:v>Mainline</x:v>
      </x:c>
      <x:c r="G382" s="80" t="str"/>
      <x:c r="H382" s="80" t="str">
        <x:v>137</x:v>
      </x:c>
      <x:c r="I382" s="83" t="str">
        <x:v>55022</x:v>
      </x:c>
      <x:c r="J382" s="80" t="str">
        <x:v>Yellow</x:v>
      </x:c>
      <x:c r="K382" s="82" t="str">
        <x:v>Black &amp; Yellow Ferrari Logo</x:v>
      </x:c>
      <x:c r="L382" s="82" t="str">
        <x:v>3SP</x:v>
      </x:c>
      <x:c r="M382" s="82" t="str">
        <x:v>Black / / / Plastic</x:v>
      </x:c>
      <x:c r="N382" s="82" t="str">
        <x:v>Grey tint</x:v>
      </x:c>
      <x:c r="O382" s="82" t="str">
        <x:v>Black &amp; Yellow</x:v>
      </x:c>
      <x:c r="P382" s="82" t="str">
        <x:v>Thailand</x:v>
      </x:c>
      <x:c r="Q382" s="82" t="str"/>
      <x:c r="R382" s="82" t="str">
        <x:v>Mainline</x:v>
      </x:c>
      <x:c r="S382" s="82" t="str">
        <x:v>Incomum</x:v>
      </x:c>
      <x:c r="T382" s="82" t="str">
        <x:v>Lançado</x:v>
      </x:c>
      <x:c r="U382" s="82" t="str"/>
      <x:c r="V382" s="80" t="str">
        <x:v>Coleção principal (~1:64)</x:v>
      </x:c>
      <x:c r="W382" s="82" t="str">
        <x:v>https://hotwheels.fandom.com/wiki/Ferrari_348</x:v>
      </x:c>
      <x:c r="X382" s="82" t="str">
        <x:v>https://hotwheels.fandom.com/wiki/Ferrari_348</x:v>
      </x:c>
    </x:row>
    <x:row r="383">
      <x:c r="A383" s="80" t="str">
        <x:v>Não</x:v>
      </x:c>
      <x:c r="B383" s="80" t="str">
        <x:v>2 — Completar aos poucos</x:v>
      </x:c>
      <x:c r="C383" s="81" t="n">
        <x:v>2002</x:v>
      </x:c>
      <x:c r="D383" s="80" t="str">
        <x:v>Ferrari 360 Modena</x:v>
      </x:c>
      <x:c r="E383" s="80" t="str">
        <x:v>Ferrari 360 Modena</x:v>
      </x:c>
      <x:c r="F383" s="82" t="str">
        <x:v>Auto Milestones / 12/16</x:v>
      </x:c>
      <x:c r="G383" s="80" t="str"/>
      <x:c r="H383" s="80" t="str"/>
      <x:c r="I383" s="83" t="str">
        <x:v>55936</x:v>
      </x:c>
      <x:c r="J383" s="80" t="str">
        <x:v>Red</x:v>
      </x:c>
      <x:c r="K383" s="82" t="str">
        <x:v>Yellow, Silver, Black "Automobile Milestones" Logo</x:v>
      </x:c>
      <x:c r="L383" s="82" t="str">
        <x:v>PR5</x:v>
      </x:c>
      <x:c r="M383" s="82" t="str">
        <x:v>Black / / / Metal</x:v>
      </x:c>
      <x:c r="N383" s="82" t="str">
        <x:v>Clear</x:v>
      </x:c>
      <x:c r="O383" s="82" t="str">
        <x:v>White</x:v>
      </x:c>
      <x:c r="P383" s="82" t="str">
        <x:v>Malaysia</x:v>
      </x:c>
      <x:c r="Q383" s="82" t="str"/>
      <x:c r="R383" s="82" t="str">
        <x:v>Outra linha</x:v>
      </x:c>
      <x:c r="S383" s="82" t="str">
        <x:v>Incomum</x:v>
      </x:c>
      <x:c r="T383" s="82" t="str">
        <x:v>Lançado</x:v>
      </x:c>
      <x:c r="U383" s="82" t="str"/>
      <x:c r="V383" s="80" t="str">
        <x:v>Coleção principal (~1:64)</x:v>
      </x:c>
      <x:c r="W383" s="82" t="str">
        <x:v>https://hotwheels.fandom.com/wiki/Ferrari_360_Modena</x:v>
      </x:c>
      <x:c r="X383" s="82" t="str">
        <x:v>https://hotwheels.fandom.com/wiki/Ferrari_360_Modena</x:v>
      </x:c>
    </x:row>
    <x:row r="384">
      <x:c r="A384" s="80" t="str">
        <x:v>Não</x:v>
      </x:c>
      <x:c r="B384" s="80" t="str">
        <x:v>2 — Completar aos poucos</x:v>
      </x:c>
      <x:c r="C384" s="81" t="n">
        <x:v>2002</x:v>
      </x:c>
      <x:c r="D384" s="80" t="str">
        <x:v>Ferrari 360 Modena</x:v>
      </x:c>
      <x:c r="E384" s="80" t="str">
        <x:v>Ferrari 360 Modena</x:v>
      </x:c>
      <x:c r="F384" s="82" t="str">
        <x:v>Italy only Coke promo</x:v>
      </x:c>
      <x:c r="G384" s="80" t="str"/>
      <x:c r="H384" s="80" t="str"/>
      <x:c r="I384" s="83" t="str">
        <x:v>None</x:v>
      </x:c>
      <x:c r="J384" s="80" t="str">
        <x:v>Red</x:v>
      </x:c>
      <x:c r="K384" s="82" t="str">
        <x:v>Racing Design</x:v>
      </x:c>
      <x:c r="L384" s="82" t="str">
        <x:v>PR5</x:v>
      </x:c>
      <x:c r="M384" s="82" t="str">
        <x:v>Black / / / Plastic</x:v>
      </x:c>
      <x:c r="N384" s="82" t="str">
        <x:v>Black</x:v>
      </x:c>
      <x:c r="O384" s="82" t="str">
        <x:v>Black</x:v>
      </x:c>
      <x:c r="P384" s="82" t="str">
        <x:v>Thailand</x:v>
      </x:c>
      <x:c r="Q384" s="82" t="str"/>
      <x:c r="R384" s="82" t="str">
        <x:v>Outra linha</x:v>
      </x:c>
      <x:c r="S384" s="82" t="str">
        <x:v>Incomum</x:v>
      </x:c>
      <x:c r="T384" s="82" t="str">
        <x:v>Lançado</x:v>
      </x:c>
      <x:c r="U384" s="82" t="str">
        <x:v>Italy only Promo / Came in an envelope with a plastic can</x:v>
      </x:c>
      <x:c r="V384" s="80" t="str">
        <x:v>Coleção principal (~1:64)</x:v>
      </x:c>
      <x:c r="W384" s="82" t="str">
        <x:v>https://hotwheels.fandom.com/wiki/Ferrari_360_Modena</x:v>
      </x:c>
      <x:c r="X384" s="82" t="str">
        <x:v>https://hotwheels.fandom.com/wiki/Ferrari_360_Modena</x:v>
      </x:c>
    </x:row>
    <x:row r="385">
      <x:c r="A385" s="80" t="str">
        <x:v>Não</x:v>
      </x:c>
      <x:c r="B385" s="80" t="str">
        <x:v>2 — Completar aos poucos</x:v>
      </x:c>
      <x:c r="C385" s="81" t="n">
        <x:v>2002</x:v>
      </x:c>
      <x:c r="D385" s="80" t="str">
        <x:v>Ferrari 365 GTB/4</x:v>
      </x:c>
      <x:c r="E385" s="80" t="str">
        <x:v>Ferrari 365 GTB/4</x:v>
      </x:c>
      <x:c r="F385" s="82" t="str">
        <x:v>Ferrari 5-Pack</x:v>
      </x:c>
      <x:c r="G385" s="80" t="str"/>
      <x:c r="H385" s="80" t="str"/>
      <x:c r="I385" s="83" t="str">
        <x:v>54465</x:v>
      </x:c>
      <x:c r="J385" s="80" t="str">
        <x:v>Black</x:v>
      </x:c>
      <x:c r="K385" s="82" t="str">
        <x:v>Ferrari logo on hood</x:v>
      </x:c>
      <x:c r="L385" s="82" t="str">
        <x:v>5SP</x:v>
      </x:c>
      <x:c r="M385" s="82" t="str">
        <x:v>Unpainted / / / Metal</x:v>
      </x:c>
      <x:c r="N385" s="82" t="str">
        <x:v>Smoke</x:v>
      </x:c>
      <x:c r="O385" s="82" t="str">
        <x:v>Tan</x:v>
      </x:c>
      <x:c r="P385" s="82" t="str">
        <x:v>Malaysia</x:v>
      </x:c>
      <x:c r="Q385" s="82" t="str"/>
      <x:c r="R385" s="82" t="str">
        <x:v>Temática / multipack</x:v>
      </x:c>
      <x:c r="S385" s="82" t="str">
        <x:v>Incomum</x:v>
      </x:c>
      <x:c r="T385" s="82" t="str">
        <x:v>Lançado</x:v>
      </x:c>
      <x:c r="U385" s="82" t="str"/>
      <x:c r="V385" s="80" t="str">
        <x:v>Coleção principal (~1:64)</x:v>
      </x:c>
      <x:c r="W385" s="82" t="str">
        <x:v>https://hotwheels.fandom.com/wiki/Ferrari_365_GTB/4</x:v>
      </x:c>
      <x:c r="X385" s="82" t="str">
        <x:v>https://hotwheels.fandom.com/wiki/Ferrari_365_GTB/4</x:v>
      </x:c>
    </x:row>
    <x:row r="386">
      <x:c r="A386" s="80" t="str">
        <x:v>Não</x:v>
      </x:c>
      <x:c r="B386" s="80" t="str">
        <x:v>2 — Completar aos poucos</x:v>
      </x:c>
      <x:c r="C386" s="81" t="n">
        <x:v>2002</x:v>
      </x:c>
      <x:c r="D386" s="80" t="str">
        <x:v>Ferrari 456M</x:v>
      </x:c>
      <x:c r="E386" s="80" t="str">
        <x:v>Ferrari 456M</x:v>
      </x:c>
      <x:c r="F386" s="82" t="str">
        <x:v>Mainline</x:v>
      </x:c>
      <x:c r="G386" s="80" t="str"/>
      <x:c r="H386" s="80" t="str">
        <x:v>213</x:v>
      </x:c>
      <x:c r="I386" s="83" t="str">
        <x:v>55098</x:v>
      </x:c>
      <x:c r="J386" s="80" t="str">
        <x:v>Blue</x:v>
      </x:c>
      <x:c r="K386" s="82" t="str">
        <x:v>Ferrari logo on front, Yellow HW logo on rear</x:v>
      </x:c>
      <x:c r="L386" s="82" t="str">
        <x:v>5SP</x:v>
      </x:c>
      <x:c r="M386" s="82" t="str">
        <x:v>Black</x:v>
      </x:c>
      <x:c r="N386" s="82" t="str">
        <x:v>Smoke</x:v>
      </x:c>
      <x:c r="O386" s="82" t="str">
        <x:v>Grey</x:v>
      </x:c>
      <x:c r="P386" s="82" t="str">
        <x:v>China</x:v>
      </x:c>
      <x:c r="Q386" s="82" t="str"/>
      <x:c r="R386" s="82" t="str">
        <x:v>Mainline</x:v>
      </x:c>
      <x:c r="S386" s="82" t="str">
        <x:v>Incomum</x:v>
      </x:c>
      <x:c r="T386" s="82" t="str">
        <x:v>Lançado</x:v>
      </x:c>
      <x:c r="U386" s="82" t="str"/>
      <x:c r="V386" s="80" t="str">
        <x:v>Coleção principal (~1:64)</x:v>
      </x:c>
      <x:c r="W386" s="82" t="str">
        <x:v>https://hotwheels.fandom.com/wiki/Ferrari_456M</x:v>
      </x:c>
      <x:c r="X386" s="82" t="str">
        <x:v>https://hotwheels.fandom.com/wiki/Ferrari_456M</x:v>
      </x:c>
    </x:row>
    <x:row r="387">
      <x:c r="A387" s="80" t="str">
        <x:v>Não</x:v>
      </x:c>
      <x:c r="B387" s="80" t="str">
        <x:v>2 — Completar aos poucos</x:v>
      </x:c>
      <x:c r="C387" s="81" t="n">
        <x:v>2002</x:v>
      </x:c>
      <x:c r="D387" s="80" t="str">
        <x:v>Ferrari 550 Maranello</x:v>
      </x:c>
      <x:c r="E387" s="80" t="str">
        <x:v>Ferrari 550 Maranello</x:v>
      </x:c>
      <x:c r="F387" s="82" t="str">
        <x:v>Ferrari 5-Pack</x:v>
      </x:c>
      <x:c r="G387" s="80" t="str"/>
      <x:c r="H387" s="80" t="str"/>
      <x:c r="I387" s="83" t="str">
        <x:v>54465</x:v>
      </x:c>
      <x:c r="J387" s="80" t="str">
        <x:v>Black</x:v>
      </x:c>
      <x:c r="K387" s="82" t="str">
        <x:v>Ferrari logo on hood</x:v>
      </x:c>
      <x:c r="L387" s="82" t="str">
        <x:v>5SP</x:v>
      </x:c>
      <x:c r="M387" s="82" t="str">
        <x:v>ZAMAC</x:v>
      </x:c>
      <x:c r="N387" s="82" t="str">
        <x:v>Smoked</x:v>
      </x:c>
      <x:c r="O387" s="82" t="str">
        <x:v>White</x:v>
      </x:c>
      <x:c r="P387" s="82" t="str">
        <x:v>Thailand</x:v>
      </x:c>
      <x:c r="Q387" s="82" t="str"/>
      <x:c r="R387" s="82" t="str">
        <x:v>Temática / multipack</x:v>
      </x:c>
      <x:c r="S387" s="82" t="str">
        <x:v>Incomum</x:v>
      </x:c>
      <x:c r="T387" s="82" t="str">
        <x:v>Lançado</x:v>
      </x:c>
      <x:c r="U387" s="82" t="str"/>
      <x:c r="V387" s="80" t="str">
        <x:v>Coleção principal (~1:64)</x:v>
      </x:c>
      <x:c r="W387" s="82" t="str">
        <x:v>https://hotwheels.fandom.com/wiki/Ferrari_550_Maranello</x:v>
      </x:c>
      <x:c r="X387" s="82" t="str">
        <x:v>https://hotwheels.fandom.com/wiki/Ferrari_550_Maranello</x:v>
      </x:c>
    </x:row>
    <x:row r="388">
      <x:c r="A388" s="80" t="str">
        <x:v>Não</x:v>
      </x:c>
      <x:c r="B388" s="80" t="str">
        <x:v>2 — Completar aos poucos</x:v>
      </x:c>
      <x:c r="C388" s="81" t="n">
        <x:v>2002</x:v>
      </x:c>
      <x:c r="D388" s="80" t="str">
        <x:v>Ferrari F355</x:v>
      </x:c>
      <x:c r="E388" s="80" t="str">
        <x:v>Ferrari F355</x:v>
      </x:c>
      <x:c r="F388" s="82" t="str">
        <x:v>Mainline</x:v>
      </x:c>
      <x:c r="G388" s="80" t="str"/>
      <x:c r="H388" s="80" t="str">
        <x:v>172</x:v>
      </x:c>
      <x:c r="I388" s="83" t="str">
        <x:v>55057</x:v>
      </x:c>
      <x:c r="J388" s="80" t="str">
        <x:v>Metallic Silver</x:v>
      </x:c>
      <x:c r="K388" s="82" t="str">
        <x:v>Ferrari logo on hood, HW logo</x:v>
      </x:c>
      <x:c r="L388" s="82" t="str">
        <x:v>5SP</x:v>
      </x:c>
      <x:c r="M388" s="82" t="str">
        <x:v>Unpainted / / / Metal</x:v>
      </x:c>
      <x:c r="N388" s="82" t="str">
        <x:v>Clear</x:v>
      </x:c>
      <x:c r="O388" s="82" t="str">
        <x:v>Black</x:v>
      </x:c>
      <x:c r="P388" s="82" t="str">
        <x:v>Malaysia</x:v>
      </x:c>
      <x:c r="Q388" s="82" t="str"/>
      <x:c r="R388" s="82" t="str">
        <x:v>Mainline</x:v>
      </x:c>
      <x:c r="S388" s="82" t="str">
        <x:v>Incomum</x:v>
      </x:c>
      <x:c r="T388" s="82" t="str">
        <x:v>Lançado</x:v>
      </x:c>
      <x:c r="U388" s="82" t="str"/>
      <x:c r="V388" s="80" t="str">
        <x:v>Coleção principal (~1:64)</x:v>
      </x:c>
      <x:c r="W388" s="82" t="str">
        <x:v>https://hotwheels.fandom.com/wiki/Ferrari_F355</x:v>
      </x:c>
      <x:c r="X388" s="82" t="str">
        <x:v>https://hotwheels.fandom.com/wiki/Ferrari_F355</x:v>
      </x:c>
    </x:row>
    <x:row r="389">
      <x:c r="A389" s="80" t="str">
        <x:v>Não</x:v>
      </x:c>
      <x:c r="B389" s="80" t="str">
        <x:v>2 — Completar aos poucos</x:v>
      </x:c>
      <x:c r="C389" s="81" t="n">
        <x:v>2002</x:v>
      </x:c>
      <x:c r="D389" s="80" t="str">
        <x:v>Ferrari F355 Challenge</x:v>
      </x:c>
      <x:c r="E389" s="80" t="str">
        <x:v>Ferrari F355 Challenge</x:v>
      </x:c>
      <x:c r="F389" s="82" t="str">
        <x:v>Ferrari 5-Pack</x:v>
      </x:c>
      <x:c r="G389" s="80" t="str"/>
      <x:c r="H389" s="80" t="str"/>
      <x:c r="I389" s="83" t="str">
        <x:v>54465</x:v>
      </x:c>
      <x:c r="J389" s="80" t="str">
        <x:v>Mtflk. Dk. Blue</x:v>
      </x:c>
      <x:c r="K389" s="82" t="str">
        <x:v>Yellow flames on sides, roof &amp; hood, "5" on sides</x:v>
      </x:c>
      <x:c r="L389" s="82" t="str">
        <x:v>PR5</x:v>
      </x:c>
      <x:c r="M389" s="82" t="str">
        <x:v>Unpainted / Metal</x:v>
      </x:c>
      <x:c r="N389" s="82" t="str">
        <x:v>Tinted</x:v>
      </x:c>
      <x:c r="O389" s="82" t="str">
        <x:v>White</x:v>
      </x:c>
      <x:c r="P389" s="82" t="str">
        <x:v>Thailand</x:v>
      </x:c>
      <x:c r="Q389" s="82" t="str"/>
      <x:c r="R389" s="82" t="str">
        <x:v>Temática / multipack</x:v>
      </x:c>
      <x:c r="S389" s="82" t="str">
        <x:v>Incomum</x:v>
      </x:c>
      <x:c r="T389" s="82" t="str">
        <x:v>Lançado</x:v>
      </x:c>
      <x:c r="U389" s="82" t="str"/>
      <x:c r="V389" s="80" t="str">
        <x:v>Coleção principal (~1:64)</x:v>
      </x:c>
      <x:c r="W389" s="82" t="str">
        <x:v>https://hotwheels.fandom.com/wiki/Ferrari_F355_Challenge</x:v>
      </x:c>
      <x:c r="X389" s="82" t="str">
        <x:v>https://hotwheels.fandom.com/wiki/Ferrari_F355_Challenge</x:v>
      </x:c>
    </x:row>
    <x:row r="390">
      <x:c r="A390" s="80" t="str">
        <x:v>Não</x:v>
      </x:c>
      <x:c r="B390" s="80" t="str">
        <x:v>2 — Completar aos poucos</x:v>
      </x:c>
      <x:c r="C390" s="81" t="n">
        <x:v>2002</x:v>
      </x:c>
      <x:c r="D390" s="80" t="str">
        <x:v>Ferrari F355 Spider</x:v>
      </x:c>
      <x:c r="E390" s="80" t="str">
        <x:v>Ferrari F355 Spider</x:v>
      </x:c>
      <x:c r="F390" s="82" t="str">
        <x:v>Mainline</x:v>
      </x:c>
      <x:c r="G390" s="80" t="str"/>
      <x:c r="H390" s="80" t="str">
        <x:v>164</x:v>
      </x:c>
      <x:c r="I390" s="83" t="str">
        <x:v>55049</x:v>
      </x:c>
      <x:c r="J390" s="80" t="str">
        <x:v>Blue</x:v>
      </x:c>
      <x:c r="K390" s="82" t="str">
        <x:v>Ferrari logo on front, Red &amp; White HW logo behind seats</x:v>
      </x:c>
      <x:c r="L390" s="82" t="str">
        <x:v>5SP</x:v>
      </x:c>
      <x:c r="M390" s="82" t="str">
        <x:v>Black / / / Metal</x:v>
      </x:c>
      <x:c r="N390" s="82" t="str">
        <x:v>Smoke</x:v>
      </x:c>
      <x:c r="O390" s="82" t="str">
        <x:v>Black</x:v>
      </x:c>
      <x:c r="P390" s="82" t="str">
        <x:v>China</x:v>
      </x:c>
      <x:c r="Q390" s="82" t="str"/>
      <x:c r="R390" s="82" t="str">
        <x:v>Mainline</x:v>
      </x:c>
      <x:c r="S390" s="82" t="str">
        <x:v>Incomum</x:v>
      </x:c>
      <x:c r="T390" s="82" t="str">
        <x:v>Lançado</x:v>
      </x:c>
      <x:c r="U390" s="82" t="str"/>
      <x:c r="V390" s="80" t="str">
        <x:v>Coleção principal (~1:64)</x:v>
      </x:c>
      <x:c r="W390" s="82" t="str">
        <x:v>https://hotwheels.fandom.com/wiki/Ferrari_F355_Spider</x:v>
      </x:c>
      <x:c r="X390" s="82" t="str">
        <x:v>https://hotwheels.fandom.com/wiki/Ferrari_F355_Spider</x:v>
      </x:c>
    </x:row>
    <x:row r="391">
      <x:c r="A391" s="80" t="str">
        <x:v>Não</x:v>
      </x:c>
      <x:c r="B391" s="80" t="str">
        <x:v>2 — Completar aos poucos</x:v>
      </x:c>
      <x:c r="C391" s="81" t="n">
        <x:v>2002</x:v>
      </x:c>
      <x:c r="D391" s="80" t="str">
        <x:v>Ferrari F40</x:v>
      </x:c>
      <x:c r="E391" s="80" t="str">
        <x:v>Ferrari F40</x:v>
      </x:c>
      <x:c r="F391" s="82" t="str">
        <x:v>Auto Milestones</x:v>
      </x:c>
      <x:c r="G391" s="80" t="str"/>
      <x:c r="H391" s="80" t="str"/>
      <x:c r="I391" s="83" t="str">
        <x:v>55937</x:v>
      </x:c>
      <x:c r="J391" s="80" t="str">
        <x:v>Red</x:v>
      </x:c>
      <x:c r="K391" s="82" t="str">
        <x:v>Black, White, Yellow "Automobile Milestones" Logo</x:v>
      </x:c>
      <x:c r="L391" s="82" t="str">
        <x:v>PC5</x:v>
      </x:c>
      <x:c r="M391" s="82" t="str">
        <x:v>ZAMAC</x:v>
      </x:c>
      <x:c r="N391" s="82" t="str">
        <x:v>Clear</x:v>
      </x:c>
      <x:c r="O391" s="82" t="str">
        <x:v>Black</x:v>
      </x:c>
      <x:c r="P391" s="82" t="str">
        <x:v>Thailand</x:v>
      </x:c>
      <x:c r="Q391" s="82" t="str"/>
      <x:c r="R391" s="82" t="str">
        <x:v>Outra linha</x:v>
      </x:c>
      <x:c r="S391" s="82" t="str">
        <x:v>Incomum</x:v>
      </x:c>
      <x:c r="T391" s="82" t="str">
        <x:v>Lançado</x:v>
      </x:c>
      <x:c r="U391" s="82" t="str"/>
      <x:c r="V391" s="80" t="str">
        <x:v>Coleção principal (~1:64)</x:v>
      </x:c>
      <x:c r="W391" s="82" t="str">
        <x:v>https://hotwheels.fandom.com/wiki/Ferrari_F40</x:v>
      </x:c>
      <x:c r="X391" s="82" t="str">
        <x:v>https://hotwheels.fandom.com/wiki/Ferrari_F40</x:v>
      </x:c>
    </x:row>
    <x:row r="392">
      <x:c r="A392" s="80" t="str">
        <x:v>Não</x:v>
      </x:c>
      <x:c r="B392" s="80" t="str">
        <x:v>2 — Completar aos poucos</x:v>
      </x:c>
      <x:c r="C392" s="81" t="n">
        <x:v>2002</x:v>
      </x:c>
      <x:c r="D392" s="80" t="str">
        <x:v>Ferrari F512M</x:v>
      </x:c>
      <x:c r="E392" s="80" t="str">
        <x:v>Ferrari F512M</x:v>
      </x:c>
      <x:c r="F392" s="82" t="str">
        <x:v>Mainline</x:v>
      </x:c>
      <x:c r="G392" s="80" t="str"/>
      <x:c r="H392" s="80" t="str">
        <x:v>162</x:v>
      </x:c>
      <x:c r="I392" s="83" t="str">
        <x:v>55047</x:v>
      </x:c>
      <x:c r="J392" s="80" t="str">
        <x:v>Metalflake Grey</x:v>
      </x:c>
      <x:c r="K392" s="82" t="str">
        <x:v>Ferrari logo on hood, HW logo on back</x:v>
      </x:c>
      <x:c r="L392" s="82" t="str">
        <x:v>5SP</x:v>
      </x:c>
      <x:c r="M392" s="82" t="str">
        <x:v>Black / / / Metal</x:v>
      </x:c>
      <x:c r="N392" s="82" t="str">
        <x:v>Clear</x:v>
      </x:c>
      <x:c r="O392" s="82" t="str">
        <x:v>Black</x:v>
      </x:c>
      <x:c r="P392" s="82" t="str">
        <x:v>Malaysia</x:v>
      </x:c>
      <x:c r="Q392" s="82" t="str"/>
      <x:c r="R392" s="82" t="str">
        <x:v>Mainline</x:v>
      </x:c>
      <x:c r="S392" s="82" t="str">
        <x:v>Incomum</x:v>
      </x:c>
      <x:c r="T392" s="82" t="str">
        <x:v>Lançado</x:v>
      </x:c>
      <x:c r="U392" s="82" t="str"/>
      <x:c r="V392" s="80" t="str">
        <x:v>Coleção principal (~1:64)</x:v>
      </x:c>
      <x:c r="W392" s="82" t="str">
        <x:v>https://hotwheels.fandom.com/wiki/Ferrari_F512M</x:v>
      </x:c>
      <x:c r="X392" s="82" t="str">
        <x:v>https://hotwheels.fandom.com/wiki/Ferrari_F512M</x:v>
      </x:c>
    </x:row>
    <x:row r="393">
      <x:c r="A393" s="80" t="str">
        <x:v>Não</x:v>
      </x:c>
      <x:c r="B393" s="80" t="str">
        <x:v>2 — Completar aos poucos</x:v>
      </x:c>
      <x:c r="C393" s="81" t="n">
        <x:v>2002</x:v>
      </x:c>
      <x:c r="D393" s="80" t="str">
        <x:v>Racebait 308</x:v>
      </x:c>
      <x:c r="E393" s="80" t="str">
        <x:v>Racebait 308</x:v>
      </x:c>
      <x:c r="F393" s="82" t="str">
        <x:v>Mainline</x:v>
      </x:c>
      <x:c r="G393" s="80" t="str"/>
      <x:c r="H393" s="80" t="str">
        <x:v>166</x:v>
      </x:c>
      <x:c r="I393" s="83" t="str">
        <x:v>55051</x:v>
      </x:c>
      <x:c r="J393" s="80" t="str">
        <x:v>Black</x:v>
      </x:c>
      <x:c r="K393" s="82" t="str">
        <x:v>308 Turbo on side in Red &amp; Yellow; Ferrari badge on hood</x:v>
      </x:c>
      <x:c r="L393" s="82" t="str">
        <x:v>LW</x:v>
      </x:c>
      <x:c r="M393" s="82" t="str">
        <x:v>Black / / / Metal</x:v>
      </x:c>
      <x:c r="N393" s="82" t="str">
        <x:v>Smoked tint</x:v>
      </x:c>
      <x:c r="O393" s="82" t="str">
        <x:v>Black</x:v>
      </x:c>
      <x:c r="P393" s="82" t="str">
        <x:v>Malaysia</x:v>
      </x:c>
      <x:c r="Q393" s="82" t="str"/>
      <x:c r="R393" s="82" t="str">
        <x:v>Mainline</x:v>
      </x:c>
      <x:c r="S393" s="82" t="str">
        <x:v>Incomum</x:v>
      </x:c>
      <x:c r="T393" s="82" t="str">
        <x:v>Lançado</x:v>
      </x:c>
      <x:c r="U393" s="82" t="str">
        <x:v>Named Ferrari 308</x:v>
      </x:c>
      <x:c r="V393" s="80" t="str">
        <x:v>Coleção principal (~1:64)</x:v>
      </x:c>
      <x:c r="W393" s="82" t="str">
        <x:v>https://hotwheels.fandom.com/wiki/Racebait_308</x:v>
      </x:c>
      <x:c r="X393" s="82" t="str">
        <x:v>https://hotwheels.fandom.com/wiki/Racebait_308</x:v>
      </x:c>
    </x:row>
    <x:row r="394">
      <x:c r="A394" s="80" t="str">
        <x:v>Não</x:v>
      </x:c>
      <x:c r="B394" s="80" t="str">
        <x:v>2 — Completar aos poucos</x:v>
      </x:c>
      <x:c r="C394" s="81" t="n">
        <x:v>2001</x:v>
      </x:c>
      <x:c r="D394" s="80" t="str">
        <x:v>Ferrari 156</x:v>
      </x:c>
      <x:c r="E394" s="80" t="str">
        <x:v>Ferrari 156</x:v>
      </x:c>
      <x:c r="F394" s="82" t="str">
        <x:v>2001 First Editions / 30/36</x:v>
      </x:c>
      <x:c r="G394" s="80" t="str"/>
      <x:c r="H394" s="80" t="str">
        <x:v>050</x:v>
      </x:c>
      <x:c r="I394" s="83" t="str">
        <x:v>28762</x:v>
      </x:c>
      <x:c r="J394" s="80" t="str">
        <x:v>Red</x:v>
      </x:c>
      <x:c r="K394" s="82" t="str">
        <x:v>Ferrari logo on sides and front and white '2' on sides and front</x:v>
      </x:c>
      <x:c r="L394" s="82" t="str">
        <x:v>LW</x:v>
      </x:c>
      <x:c r="M394" s="82" t="str">
        <x:v>Unpainted / / / Metal</x:v>
      </x:c>
      <x:c r="N394" s="82" t="str">
        <x:v>Clear</x:v>
      </x:c>
      <x:c r="O394" s="82" t="str">
        <x:v>Grey</x:v>
      </x:c>
      <x:c r="P394" s="82" t="str">
        <x:v>Malaysia</x:v>
      </x:c>
      <x:c r="Q394" s="82" t="str"/>
      <x:c r="R394" s="82" t="str">
        <x:v>Mainline</x:v>
      </x:c>
      <x:c r="S394" s="82" t="str">
        <x:v>Incomum</x:v>
      </x:c>
      <x:c r="T394" s="82" t="str">
        <x:v>Lançado</x:v>
      </x:c>
      <x:c r="U394" s="82" t="str"/>
      <x:c r="V394" s="80" t="str">
        <x:v>Coleção principal (~1:64)</x:v>
      </x:c>
      <x:c r="W394" s="82" t="str">
        <x:v>https://hotwheels.fandom.com/wiki/Ferrari_156</x:v>
      </x:c>
      <x:c r="X394" s="82" t="str">
        <x:v>https://hotwheels.fandom.com/wiki/Ferrari_156</x:v>
      </x:c>
    </x:row>
    <x:row r="395">
      <x:c r="A395" s="80" t="str">
        <x:v>Não</x:v>
      </x:c>
      <x:c r="B395" s="80" t="str">
        <x:v>2 — Completar aos poucos</x:v>
      </x:c>
      <x:c r="C395" s="81" t="n">
        <x:v>2001</x:v>
      </x:c>
      <x:c r="D395" s="80" t="str">
        <x:v>Ferrari 250</x:v>
      </x:c>
      <x:c r="E395" s="80" t="str">
        <x:v>Ferrari 250</x:v>
      </x:c>
      <x:c r="F395" s="82" t="str">
        <x:v>Mainline</x:v>
      </x:c>
      <x:c r="G395" s="80" t="str"/>
      <x:c r="H395" s="80" t="str">
        <x:v>218</x:v>
      </x:c>
      <x:c r="I395" s="83" t="str">
        <x:v>53747</x:v>
      </x:c>
      <x:c r="J395" s="80" t="str">
        <x:v>Silver</x:v>
      </x:c>
      <x:c r="K395" s="82" t="str">
        <x:v>Small Black &amp; Yellow Ferrari Logo on hood</x:v>
      </x:c>
      <x:c r="L395" s="82" t="str">
        <x:v>WSP</x:v>
      </x:c>
      <x:c r="M395" s="82" t="str">
        <x:v>Black / / / Plastic</x:v>
      </x:c>
      <x:c r="N395" s="82" t="str">
        <x:v>Clear</x:v>
      </x:c>
      <x:c r="O395" s="82" t="str">
        <x:v>Black</x:v>
      </x:c>
      <x:c r="P395" s="82" t="str">
        <x:v>China</x:v>
      </x:c>
      <x:c r="Q395" s="82" t="str"/>
      <x:c r="R395" s="82" t="str">
        <x:v>Mainline</x:v>
      </x:c>
      <x:c r="S395" s="82" t="str">
        <x:v>Incomum</x:v>
      </x:c>
      <x:c r="T395" s="82" t="str">
        <x:v>Lançado</x:v>
      </x:c>
      <x:c r="U395" s="82" t="str"/>
      <x:c r="V395" s="80" t="str">
        <x:v>Coleção principal (~1:64)</x:v>
      </x:c>
      <x:c r="W395" s="82" t="str">
        <x:v>https://hotwheels.fandom.com/wiki/Ferrari_250</x:v>
      </x:c>
      <x:c r="X395" s="82" t="str">
        <x:v>https://hotwheels.fandom.com/wiki/Ferrari_250</x:v>
      </x:c>
    </x:row>
    <x:row r="396">
      <x:c r="A396" s="80" t="str">
        <x:v>Não</x:v>
      </x:c>
      <x:c r="B396" s="80" t="str">
        <x:v>2 — Completar aos poucos</x:v>
      </x:c>
      <x:c r="C396" s="81" t="n">
        <x:v>2001</x:v>
      </x:c>
      <x:c r="D396" s="80" t="str">
        <x:v>Ferrari 333 SP</x:v>
      </x:c>
      <x:c r="E396" s="80" t="str">
        <x:v>Ferrari 333 SP</x:v>
      </x:c>
      <x:c r="F396" s="82" t="str">
        <x:v>Mainline</x:v>
      </x:c>
      <x:c r="G396" s="80" t="str"/>
      <x:c r="H396" s="80" t="str">
        <x:v>157</x:v>
      </x:c>
      <x:c r="I396" s="83" t="str">
        <x:v>53700</x:v>
      </x:c>
      <x:c r="J396" s="80" t="str">
        <x:v>Black</x:v>
      </x:c>
      <x:c r="K396" s="82" t="str">
        <x:v>"17" and Blue, Yellow and Orange flame tampos</x:v>
      </x:c>
      <x:c r="L396" s="82" t="str">
        <x:v>PR5</x:v>
      </x:c>
      <x:c r="M396" s="82" t="str">
        <x:v>Black / / / Plastic</x:v>
      </x:c>
      <x:c r="N396" s="82" t="str"/>
      <x:c r="O396" s="82" t="str">
        <x:v>Yellow</x:v>
      </x:c>
      <x:c r="P396" s="82" t="str">
        <x:v>China</x:v>
      </x:c>
      <x:c r="Q396" s="82" t="str"/>
      <x:c r="R396" s="82" t="str">
        <x:v>Mainline</x:v>
      </x:c>
      <x:c r="S396" s="82" t="str">
        <x:v>Incomum</x:v>
      </x:c>
      <x:c r="T396" s="82" t="str">
        <x:v>Lançado</x:v>
      </x:c>
      <x:c r="U396" s="82" t="str"/>
      <x:c r="V396" s="80" t="str">
        <x:v>Coleção principal (~1:64)</x:v>
      </x:c>
      <x:c r="W396" s="82" t="str">
        <x:v>https://hotwheels.fandom.com/wiki/Ferrari_333_SP</x:v>
      </x:c>
      <x:c r="X396" s="82" t="str">
        <x:v>https://hotwheels.fandom.com/wiki/Ferrari_333_SP</x:v>
      </x:c>
    </x:row>
    <x:row r="397">
      <x:c r="A397" s="80" t="str">
        <x:v>Não</x:v>
      </x:c>
      <x:c r="B397" s="80" t="str">
        <x:v>2 — Completar aos poucos</x:v>
      </x:c>
      <x:c r="C397" s="81" t="n">
        <x:v>2001</x:v>
      </x:c>
      <x:c r="D397" s="80" t="str">
        <x:v>Ferrari 348</x:v>
      </x:c>
      <x:c r="E397" s="80" t="str">
        <x:v>Ferrari 348</x:v>
      </x:c>
      <x:c r="F397" s="82" t="str">
        <x:v>Pavement Pounders</x:v>
      </x:c>
      <x:c r="G397" s="80" t="str"/>
      <x:c r="H397" s="80" t="str"/>
      <x:c r="I397" s="83" t="str">
        <x:v>89850</x:v>
      </x:c>
      <x:c r="J397" s="80" t="str">
        <x:v>Black</x:v>
      </x:c>
      <x:c r="K397" s="82" t="str">
        <x:v>Ferrari logo on hood</x:v>
      </x:c>
      <x:c r="L397" s="82" t="str">
        <x:v>5DOT</x:v>
      </x:c>
      <x:c r="M397" s="82" t="str">
        <x:v>Black / / / Plastic</x:v>
      </x:c>
      <x:c r="N397" s="82" t="str">
        <x:v>Clear</x:v>
      </x:c>
      <x:c r="O397" s="82" t="str">
        <x:v>Red &amp; Black</x:v>
      </x:c>
      <x:c r="P397" s="82" t="str">
        <x:v>China</x:v>
      </x:c>
      <x:c r="Q397" s="82" t="str"/>
      <x:c r="R397" s="82" t="str">
        <x:v>Outra linha</x:v>
      </x:c>
      <x:c r="S397" s="82" t="str">
        <x:v>Incomum</x:v>
      </x:c>
      <x:c r="T397" s="82" t="str">
        <x:v>Lançado</x:v>
      </x:c>
      <x:c r="U397" s="82" t="str">
        <x:v>Came with Cabover Truck</x:v>
      </x:c>
      <x:c r="V397" s="80" t="str">
        <x:v>Coleção principal (~1:64)</x:v>
      </x:c>
      <x:c r="W397" s="82" t="str">
        <x:v>https://hotwheels.fandom.com/wiki/Ferrari_348</x:v>
      </x:c>
      <x:c r="X397" s="82" t="str">
        <x:v>https://hotwheels.fandom.com/wiki/Ferrari_348</x:v>
      </x:c>
    </x:row>
    <x:row r="398">
      <x:c r="A398" s="80" t="str">
        <x:v>Não</x:v>
      </x:c>
      <x:c r="B398" s="80" t="str">
        <x:v>2 — Completar aos poucos</x:v>
      </x:c>
      <x:c r="C398" s="81" t="n">
        <x:v>2001</x:v>
      </x:c>
      <x:c r="D398" s="80" t="str">
        <x:v>Ferrari 360 Modena</x:v>
      </x:c>
      <x:c r="E398" s="80" t="str">
        <x:v>Ferrari 360 Modena</x:v>
      </x:c>
      <x:c r="F398" s="82" t="str">
        <x:v>Mainline</x:v>
      </x:c>
      <x:c r="G398" s="80" t="str"/>
      <x:c r="H398" s="80" t="str">
        <x:v>204</x:v>
      </x:c>
      <x:c r="I398" s="83" t="str">
        <x:v>53733</x:v>
      </x:c>
      <x:c r="J398" s="80" t="str">
        <x:v>Black</x:v>
      </x:c>
      <x:c r="K398" s="82" t="str">
        <x:v>Ferrari logo on hood</x:v>
      </x:c>
      <x:c r="L398" s="82" t="str">
        <x:v>5SP</x:v>
      </x:c>
      <x:c r="M398" s="82" t="str">
        <x:v>Black / / / Metal</x:v>
      </x:c>
      <x:c r="N398" s="82" t="str">
        <x:v>Clear</x:v>
      </x:c>
      <x:c r="O398" s="82" t="str">
        <x:v>Tan</x:v>
      </x:c>
      <x:c r="P398" s="82" t="str">
        <x:v>Malaysia</x:v>
      </x:c>
      <x:c r="Q398" s="82" t="str"/>
      <x:c r="R398" s="82" t="str">
        <x:v>Mainline</x:v>
      </x:c>
      <x:c r="S398" s="82" t="str">
        <x:v>Incomum</x:v>
      </x:c>
      <x:c r="T398" s="82" t="str">
        <x:v>Lançado</x:v>
      </x:c>
      <x:c r="U398" s="82" t="str"/>
      <x:c r="V398" s="80" t="str">
        <x:v>Coleção principal (~1:64)</x:v>
      </x:c>
      <x:c r="W398" s="82" t="str">
        <x:v>https://hotwheels.fandom.com/wiki/Ferrari_360_Modena</x:v>
      </x:c>
      <x:c r="X398" s="82" t="str">
        <x:v>https://hotwheels.fandom.com/wiki/Ferrari_360_Modena</x:v>
      </x:c>
    </x:row>
    <x:row r="399">
      <x:c r="A399" s="80" t="str">
        <x:v>Não</x:v>
      </x:c>
      <x:c r="B399" s="80" t="str">
        <x:v>2 — Completar aos poucos</x:v>
      </x:c>
      <x:c r="C399" s="81" t="n">
        <x:v>2001</x:v>
      </x:c>
      <x:c r="D399" s="80" t="str">
        <x:v>Ferrari 360 Modena</x:v>
      </x:c>
      <x:c r="E399" s="80" t="str">
        <x:v>Ferrari 360 Modena</x:v>
      </x:c>
      <x:c r="F399" s="82" t="str">
        <x:v>Mainline</x:v>
      </x:c>
      <x:c r="G399" s="80" t="str"/>
      <x:c r="H399" s="80" t="str">
        <x:v>204</x:v>
      </x:c>
      <x:c r="I399" s="83" t="str">
        <x:v>53733</x:v>
      </x:c>
      <x:c r="J399" s="80" t="str">
        <x:v>Black</x:v>
      </x:c>
      <x:c r="K399" s="82" t="str">
        <x:v>Ferrari logo on hood</x:v>
      </x:c>
      <x:c r="L399" s="82" t="str">
        <x:v>PR5</x:v>
      </x:c>
      <x:c r="M399" s="82" t="str">
        <x:v>Black / / / Metal</x:v>
      </x:c>
      <x:c r="N399" s="82" t="str">
        <x:v>Clear</x:v>
      </x:c>
      <x:c r="O399" s="82" t="str">
        <x:v>Tan</x:v>
      </x:c>
      <x:c r="P399" s="82" t="str">
        <x:v>Malaysia</x:v>
      </x:c>
      <x:c r="Q399" s="82" t="str"/>
      <x:c r="R399" s="82" t="str">
        <x:v>Mainline</x:v>
      </x:c>
      <x:c r="S399" s="82" t="str">
        <x:v>Incomum</x:v>
      </x:c>
      <x:c r="T399" s="82" t="str">
        <x:v>Lançado</x:v>
      </x:c>
      <x:c r="U399" s="82" t="str"/>
      <x:c r="V399" s="80" t="str">
        <x:v>Coleção principal (~1:64)</x:v>
      </x:c>
      <x:c r="W399" s="82" t="str">
        <x:v>https://hotwheels.fandom.com/wiki/Ferrari_360_Modena</x:v>
      </x:c>
      <x:c r="X399" s="82" t="str">
        <x:v>https://hotwheels.fandom.com/wiki/Ferrari_360_Modena</x:v>
      </x:c>
    </x:row>
    <x:row r="400">
      <x:c r="A400" s="80" t="str">
        <x:v>Não</x:v>
      </x:c>
      <x:c r="B400" s="80" t="str">
        <x:v>2 — Completar aos poucos</x:v>
      </x:c>
      <x:c r="C400" s="81" t="n">
        <x:v>2001</x:v>
      </x:c>
      <x:c r="D400" s="80" t="str">
        <x:v>Ferrari 360 Modena</x:v>
      </x:c>
      <x:c r="E400" s="80" t="str">
        <x:v>Ferrari 360 Modena</x:v>
      </x:c>
      <x:c r="F400" s="82" t="str">
        <x:v>Mainline</x:v>
      </x:c>
      <x:c r="G400" s="80" t="str"/>
      <x:c r="H400" s="80" t="str">
        <x:v>204</x:v>
      </x:c>
      <x:c r="I400" s="83" t="str">
        <x:v>53733</x:v>
      </x:c>
      <x:c r="J400" s="80" t="str">
        <x:v>Black</x:v>
      </x:c>
      <x:c r="K400" s="82" t="str">
        <x:v>Ferrari logo on hood</x:v>
      </x:c>
      <x:c r="L400" s="82" t="str">
        <x:v>5DOT</x:v>
      </x:c>
      <x:c r="M400" s="82" t="str">
        <x:v>Black / / / Metal</x:v>
      </x:c>
      <x:c r="N400" s="82" t="str">
        <x:v>Clear</x:v>
      </x:c>
      <x:c r="O400" s="82" t="str">
        <x:v>Tan</x:v>
      </x:c>
      <x:c r="P400" s="82" t="str">
        <x:v>Malaysia</x:v>
      </x:c>
      <x:c r="Q400" s="82" t="str"/>
      <x:c r="R400" s="82" t="str">
        <x:v>Mainline</x:v>
      </x:c>
      <x:c r="S400" s="82" t="str">
        <x:v>Incomum</x:v>
      </x:c>
      <x:c r="T400" s="82" t="str">
        <x:v>Lançado</x:v>
      </x:c>
      <x:c r="U400" s="82" t="str"/>
      <x:c r="V400" s="80" t="str">
        <x:v>Coleção principal (~1:64)</x:v>
      </x:c>
      <x:c r="W400" s="82" t="str">
        <x:v>https://hotwheels.fandom.com/wiki/Ferrari_360_Modena</x:v>
      </x:c>
      <x:c r="X400" s="82" t="str">
        <x:v>https://hotwheels.fandom.com/wiki/Ferrari_360_Modena</x:v>
      </x:c>
    </x:row>
    <x:row r="401">
      <x:c r="A401" s="80" t="str">
        <x:v>Não</x:v>
      </x:c>
      <x:c r="B401" s="80" t="str">
        <x:v>2 — Completar aos poucos</x:v>
      </x:c>
      <x:c r="C401" s="81" t="n">
        <x:v>2001</x:v>
      </x:c>
      <x:c r="D401" s="80" t="str">
        <x:v>Ferrari 456M</x:v>
      </x:c>
      <x:c r="E401" s="80" t="str">
        <x:v>Ferrari 456M</x:v>
      </x:c>
      <x:c r="F401" s="82" t="str">
        <x:v>Mainline</x:v>
      </x:c>
      <x:c r="G401" s="80" t="str"/>
      <x:c r="H401" s="80" t="str">
        <x:v>166</x:v>
      </x:c>
      <x:c r="I401" s="83" t="str">
        <x:v>53709</x:v>
      </x:c>
      <x:c r="J401" s="80" t="str">
        <x:v>Metalflake Blue</x:v>
      </x:c>
      <x:c r="K401" s="82" t="str">
        <x:v>Ferrari logo on front, Yellow HW logo on rear</x:v>
      </x:c>
      <x:c r="L401" s="82" t="str">
        <x:v>PR5</x:v>
      </x:c>
      <x:c r="M401" s="82" t="str">
        <x:v>Metalflake silver</x:v>
      </x:c>
      <x:c r="N401" s="82" t="str">
        <x:v>Clear</x:v>
      </x:c>
      <x:c r="O401" s="82" t="str">
        <x:v>Tan</x:v>
      </x:c>
      <x:c r="P401" s="82" t="str">
        <x:v>China</x:v>
      </x:c>
      <x:c r="Q401" s="82" t="str"/>
      <x:c r="R401" s="82" t="str">
        <x:v>Mainline</x:v>
      </x:c>
      <x:c r="S401" s="82" t="str">
        <x:v>Incomum</x:v>
      </x:c>
      <x:c r="T401" s="82" t="str">
        <x:v>Lançado</x:v>
      </x:c>
      <x:c r="U401" s="82" t="str"/>
      <x:c r="V401" s="80" t="str">
        <x:v>Coleção principal (~1:64)</x:v>
      </x:c>
      <x:c r="W401" s="82" t="str">
        <x:v>https://hotwheels.fandom.com/wiki/Ferrari_456M</x:v>
      </x:c>
      <x:c r="X401" s="82" t="str">
        <x:v>https://hotwheels.fandom.com/wiki/Ferrari_456M</x:v>
      </x:c>
    </x:row>
    <x:row r="402">
      <x:c r="A402" s="80" t="str">
        <x:v>Não</x:v>
      </x:c>
      <x:c r="B402" s="80" t="str">
        <x:v>2 — Completar aos poucos</x:v>
      </x:c>
      <x:c r="C402" s="81" t="n">
        <x:v>2001</x:v>
      </x:c>
      <x:c r="D402" s="80" t="str">
        <x:v>Ferrari F355 Challenge</x:v>
      </x:c>
      <x:c r="E402" s="80" t="str">
        <x:v>Ferrari F355 Challenge</x:v>
      </x:c>
      <x:c r="F402" s="82" t="str">
        <x:v>Mainline</x:v>
      </x:c>
      <x:c r="G402" s="80" t="str"/>
      <x:c r="H402" s="80" t="str">
        <x:v>191</x:v>
      </x:c>
      <x:c r="I402" s="83" t="str">
        <x:v>50056</x:v>
      </x:c>
      <x:c r="J402" s="80" t="str">
        <x:v>Yellow</x:v>
      </x:c>
      <x:c r="K402" s="82" t="str">
        <x:v>Red, green, white stripes w/Ferarri logo, "Racing", "1", Goodyear"</x:v>
      </x:c>
      <x:c r="L402" s="82" t="str">
        <x:v>5SP</x:v>
      </x:c>
      <x:c r="M402" s="82" t="str">
        <x:v>Unpainted / Metal</x:v>
      </x:c>
      <x:c r="N402" s="82" t="str">
        <x:v>Tinted</x:v>
      </x:c>
      <x:c r="O402" s="82" t="str">
        <x:v>White</x:v>
      </x:c>
      <x:c r="P402" s="82" t="str">
        <x:v>Malaysia</x:v>
      </x:c>
      <x:c r="Q402" s="82" t="str"/>
      <x:c r="R402" s="82" t="str">
        <x:v>Mainline</x:v>
      </x:c>
      <x:c r="S402" s="82" t="str">
        <x:v>Incomum</x:v>
      </x:c>
      <x:c r="T402" s="82" t="str">
        <x:v>Lançado</x:v>
      </x:c>
      <x:c r="U402" s="82" t="str"/>
      <x:c r="V402" s="80" t="str">
        <x:v>Coleção principal (~1:64)</x:v>
      </x:c>
      <x:c r="W402" s="82" t="str">
        <x:v>https://hotwheels.fandom.com/wiki/Ferrari_F355_Challenge</x:v>
      </x:c>
      <x:c r="X402" s="82" t="str">
        <x:v>https://hotwheels.fandom.com/wiki/Ferrari_F355_Challenge</x:v>
      </x:c>
    </x:row>
    <x:row r="403">
      <x:c r="A403" s="80" t="str">
        <x:v>Não</x:v>
      </x:c>
      <x:c r="B403" s="80" t="str">
        <x:v>2 — Completar aos poucos</x:v>
      </x:c>
      <x:c r="C403" s="81" t="n">
        <x:v>2001</x:v>
      </x:c>
      <x:c r="D403" s="80" t="str">
        <x:v>Ferrari F355 Challenge</x:v>
      </x:c>
      <x:c r="E403" s="80" t="str">
        <x:v>Ferrari F355 Challenge</x:v>
      </x:c>
      <x:c r="F403" s="82" t="str">
        <x:v>Mainline</x:v>
      </x:c>
      <x:c r="G403" s="80" t="str"/>
      <x:c r="H403" s="80" t="str">
        <x:v>191</x:v>
      </x:c>
      <x:c r="I403" s="83" t="str">
        <x:v>50056</x:v>
      </x:c>
      <x:c r="J403" s="80" t="str">
        <x:v>Yellow</x:v>
      </x:c>
      <x:c r="K403" s="82" t="str">
        <x:v>Red, green, white stripes w/Ferarri logo, "Racing", "1", Goodyear"</x:v>
      </x:c>
      <x:c r="L403" s="82" t="str">
        <x:v>PR5</x:v>
      </x:c>
      <x:c r="M403" s="82" t="str">
        <x:v>Unpainted / Metal</x:v>
      </x:c>
      <x:c r="N403" s="82" t="str">
        <x:v>Tinted</x:v>
      </x:c>
      <x:c r="O403" s="82" t="str">
        <x:v>White</x:v>
      </x:c>
      <x:c r="P403" s="82" t="str">
        <x:v>Thailand, Malaysia</x:v>
      </x:c>
      <x:c r="Q403" s="82" t="str"/>
      <x:c r="R403" s="82" t="str">
        <x:v>Mainline</x:v>
      </x:c>
      <x:c r="S403" s="82" t="str">
        <x:v>Incomum</x:v>
      </x:c>
      <x:c r="T403" s="82" t="str">
        <x:v>Lançado</x:v>
      </x:c>
      <x:c r="U403" s="82" t="str">
        <x:v>base says F355 Challenge</x:v>
      </x:c>
      <x:c r="V403" s="80" t="str">
        <x:v>Coleção principal (~1:64)</x:v>
      </x:c>
      <x:c r="W403" s="82" t="str">
        <x:v>https://hotwheels.fandom.com/wiki/Ferrari_F355_Challenge</x:v>
      </x:c>
      <x:c r="X403" s="82" t="str">
        <x:v>https://hotwheels.fandom.com/wiki/Ferrari_F355_Challenge</x:v>
      </x:c>
    </x:row>
    <x:row r="404">
      <x:c r="A404" s="80" t="str">
        <x:v>Não</x:v>
      </x:c>
      <x:c r="B404" s="80" t="str">
        <x:v>2 — Completar aos poucos</x:v>
      </x:c>
      <x:c r="C404" s="81" t="n">
        <x:v>2001</x:v>
      </x:c>
      <x:c r="D404" s="80" t="str">
        <x:v>Ferrari F355 Challenge</x:v>
      </x:c>
      <x:c r="E404" s="80" t="str">
        <x:v>Ferrari F355 Challenge</x:v>
      </x:c>
      <x:c r="F404" s="82" t="str">
        <x:v>Victory Lane 5-Pack</x:v>
      </x:c>
      <x:c r="G404" s="80" t="str"/>
      <x:c r="H404" s="80" t="str"/>
      <x:c r="I404" s="83" t="str">
        <x:v>50054</x:v>
      </x:c>
      <x:c r="J404" s="80" t="str">
        <x:v>Yellow</x:v>
      </x:c>
      <x:c r="K404" s="82" t="str">
        <x:v>Red, green, white stripes w/Ferarri logo, "Racing", "1", Goodyear"</x:v>
      </x:c>
      <x:c r="L404" s="82" t="str">
        <x:v>PR5</x:v>
      </x:c>
      <x:c r="M404" s="82" t="str">
        <x:v>Unpainted / Metal</x:v>
      </x:c>
      <x:c r="N404" s="82" t="str">
        <x:v>Tinted</x:v>
      </x:c>
      <x:c r="O404" s="82" t="str">
        <x:v>White</x:v>
      </x:c>
      <x:c r="P404" s="82" t="str">
        <x:v>Thailand</x:v>
      </x:c>
      <x:c r="Q404" s="82" t="str"/>
      <x:c r="R404" s="82" t="str">
        <x:v>Temática / multipack</x:v>
      </x:c>
      <x:c r="S404" s="82" t="str">
        <x:v>Incomum</x:v>
      </x:c>
      <x:c r="T404" s="82" t="str">
        <x:v>Lançado</x:v>
      </x:c>
      <x:c r="U404" s="82" t="str">
        <x:v>Same as Mainline #191</x:v>
      </x:c>
      <x:c r="V404" s="80" t="str">
        <x:v>Coleção principal (~1:64)</x:v>
      </x:c>
      <x:c r="W404" s="82" t="str">
        <x:v>https://hotwheels.fandom.com/wiki/Ferrari_F355_Challenge</x:v>
      </x:c>
      <x:c r="X404" s="82" t="str">
        <x:v>https://hotwheels.fandom.com/wiki/Ferrari_F355_Challenge</x:v>
      </x:c>
    </x:row>
    <x:row r="405">
      <x:c r="A405" s="80" t="str">
        <x:v>Não</x:v>
      </x:c>
      <x:c r="B405" s="80" t="str">
        <x:v>2 — Completar aos poucos</x:v>
      </x:c>
      <x:c r="C405" s="81" t="n">
        <x:v>2001</x:v>
      </x:c>
      <x:c r="D405" s="80" t="str">
        <x:v>Ferrari F40</x:v>
      </x:c>
      <x:c r="E405" s="80" t="str">
        <x:v>Ferrari F40</x:v>
      </x:c>
      <x:c r="F405" s="82" t="str">
        <x:v>Mainline</x:v>
      </x:c>
      <x:c r="G405" s="80" t="str"/>
      <x:c r="H405" s="80" t="str">
        <x:v>209</x:v>
      </x:c>
      <x:c r="I405" s="83" t="str">
        <x:v>53738</x:v>
      </x:c>
      <x:c r="J405" s="80" t="str">
        <x:v>Blue</x:v>
      </x:c>
      <x:c r="K405" s="82" t="str">
        <x:v>"Ferrari" logo on hood</x:v>
      </x:c>
      <x:c r="L405" s="82" t="str">
        <x:v>PR5</x:v>
      </x:c>
      <x:c r="M405" s="82" t="str">
        <x:v>ZAMAC</x:v>
      </x:c>
      <x:c r="N405" s="82" t="str">
        <x:v>Clear</x:v>
      </x:c>
      <x:c r="O405" s="82" t="str">
        <x:v>Black</x:v>
      </x:c>
      <x:c r="P405" s="82" t="str">
        <x:v>Malaysia</x:v>
      </x:c>
      <x:c r="Q405" s="82" t="str"/>
      <x:c r="R405" s="82" t="str">
        <x:v>Mainline</x:v>
      </x:c>
      <x:c r="S405" s="82" t="str">
        <x:v>Incomum</x:v>
      </x:c>
      <x:c r="T405" s="82" t="str">
        <x:v>Lançado</x:v>
      </x:c>
      <x:c r="U405" s="82" t="str"/>
      <x:c r="V405" s="80" t="str">
        <x:v>Coleção principal (~1:64)</x:v>
      </x:c>
      <x:c r="W405" s="82" t="str">
        <x:v>https://hotwheels.fandom.com/wiki/Ferrari_F40</x:v>
      </x:c>
      <x:c r="X405" s="82" t="str">
        <x:v>https://hotwheels.fandom.com/wiki/Ferrari_F40</x:v>
      </x:c>
    </x:row>
    <x:row r="406">
      <x:c r="A406" s="80" t="str">
        <x:v>Não</x:v>
      </x:c>
      <x:c r="B406" s="80" t="str">
        <x:v>2 — Completar aos poucos</x:v>
      </x:c>
      <x:c r="C406" s="81" t="n">
        <x:v>2001</x:v>
      </x:c>
      <x:c r="D406" s="80" t="str">
        <x:v>Ferrari F50 Challenge</x:v>
      </x:c>
      <x:c r="E406" s="80" t="str">
        <x:v>Ferrari F50 Challenge</x:v>
      </x:c>
      <x:c r="F406" s="82" t="str">
        <x:v>Mainline</x:v>
      </x:c>
      <x:c r="G406" s="80" t="str"/>
      <x:c r="H406" s="80" t="str">
        <x:v>238</x:v>
      </x:c>
      <x:c r="I406" s="83" t="str">
        <x:v>53767</x:v>
      </x:c>
      <x:c r="J406" s="80" t="str">
        <x:v>Purple</x:v>
      </x:c>
      <x:c r="K406" s="82" t="str">
        <x:v>Ferrari Logo on Side &amp; Hood</x:v>
      </x:c>
      <x:c r="L406" s="82" t="str">
        <x:v>5DOT</x:v>
      </x:c>
      <x:c r="M406" s="82" t="str">
        <x:v>ZAMAC</x:v>
      </x:c>
      <x:c r="N406" s="82" t="str">
        <x:v>Clear</x:v>
      </x:c>
      <x:c r="O406" s="82" t="str">
        <x:v>Black</x:v>
      </x:c>
      <x:c r="P406" s="82" t="str">
        <x:v>Malaysia</x:v>
      </x:c>
      <x:c r="Q406" s="82" t="str"/>
      <x:c r="R406" s="82" t="str">
        <x:v>Mainline</x:v>
      </x:c>
      <x:c r="S406" s="82" t="str">
        <x:v>Incomum</x:v>
      </x:c>
      <x:c r="T406" s="82" t="str">
        <x:v>Lançado</x:v>
      </x:c>
      <x:c r="U406" s="82" t="str"/>
      <x:c r="V406" s="80" t="str">
        <x:v>Coleção principal (~1:64)</x:v>
      </x:c>
      <x:c r="W406" s="82" t="str">
        <x:v>https://hotwheels.fandom.com/wiki/Ferrari_F50_Challenge</x:v>
      </x:c>
      <x:c r="X406" s="82" t="str">
        <x:v>https://hotwheels.fandom.com/wiki/Ferrari_F50_Challenge</x:v>
      </x:c>
    </x:row>
    <x:row r="407">
      <x:c r="A407" s="80" t="str">
        <x:v>Não</x:v>
      </x:c>
      <x:c r="B407" s="80" t="str">
        <x:v>2 — Completar aos poucos</x:v>
      </x:c>
      <x:c r="C407" s="81" t="n">
        <x:v>2001</x:v>
      </x:c>
      <x:c r="D407" s="80" t="str">
        <x:v>Racebait 308</x:v>
      </x:c>
      <x:c r="E407" s="80" t="str">
        <x:v>Racebait 308</x:v>
      </x:c>
      <x:c r="F407" s="82" t="str">
        <x:v>Mainline</x:v>
      </x:c>
      <x:c r="G407" s="80" t="str"/>
      <x:c r="H407" s="80" t="str">
        <x:v>190</x:v>
      </x:c>
      <x:c r="I407" s="83" t="str">
        <x:v>53729</x:v>
      </x:c>
      <x:c r="J407" s="80" t="str">
        <x:v>Silver</x:v>
      </x:c>
      <x:c r="K407" s="82" t="str">
        <x:v>Ferrari logo on Hood</x:v>
      </x:c>
      <x:c r="L407" s="82" t="str">
        <x:v>5SP</x:v>
      </x:c>
      <x:c r="M407" s="82" t="str">
        <x:v>Black / / / Metal</x:v>
      </x:c>
      <x:c r="N407" s="82" t="str">
        <x:v>Smoke</x:v>
      </x:c>
      <x:c r="O407" s="82" t="str">
        <x:v>Black</x:v>
      </x:c>
      <x:c r="P407" s="82" t="str">
        <x:v>Malaysia</x:v>
      </x:c>
      <x:c r="Q407" s="82" t="str"/>
      <x:c r="R407" s="82" t="str">
        <x:v>Mainline</x:v>
      </x:c>
      <x:c r="S407" s="82" t="str">
        <x:v>Incomum</x:v>
      </x:c>
      <x:c r="T407" s="82" t="str">
        <x:v>Lançado</x:v>
      </x:c>
      <x:c r="U407" s="82" t="str">
        <x:v>Named Ferrari 308</x:v>
      </x:c>
      <x:c r="V407" s="80" t="str">
        <x:v>Coleção principal (~1:64)</x:v>
      </x:c>
      <x:c r="W407" s="82" t="str">
        <x:v>https://hotwheels.fandom.com/wiki/Racebait_308</x:v>
      </x:c>
      <x:c r="X407" s="82" t="str">
        <x:v>https://hotwheels.fandom.com/wiki/Racebait_308</x:v>
      </x:c>
    </x:row>
    <x:row r="408">
      <x:c r="A408" s="80" t="str">
        <x:v>Não</x:v>
      </x:c>
      <x:c r="B408" s="80" t="str">
        <x:v>2 — Completar aos poucos</x:v>
      </x:c>
      <x:c r="C408" s="81" t="n">
        <x:v>2000</x:v>
      </x:c>
      <x:c r="D408" s="80" t="str">
        <x:v>Ferrari 333 SP</x:v>
      </x:c>
      <x:c r="E408" s="80" t="str">
        <x:v>Ferrari 333 SP</x:v>
      </x:c>
      <x:c r="F408" s="82" t="str">
        <x:v>2000 First Editions / 11/36</x:v>
      </x:c>
      <x:c r="G408" s="80" t="str"/>
      <x:c r="H408" s="80" t="str">
        <x:v>071</x:v>
      </x:c>
      <x:c r="I408" s="83" t="str">
        <x:v>24374</x:v>
      </x:c>
      <x:c r="J408" s="80" t="str">
        <x:v>Red</x:v>
      </x:c>
      <x:c r="K408" s="82" t="str">
        <x:v>White "17" and Blue, Yellow and Orange flame tampos</x:v>
      </x:c>
      <x:c r="L408" s="82" t="str">
        <x:v>LW</x:v>
      </x:c>
      <x:c r="M408" s="82" t="str">
        <x:v>Black / / / Plastic</x:v>
      </x:c>
      <x:c r="N408" s="82" t="str"/>
      <x:c r="O408" s="82" t="str">
        <x:v>Black</x:v>
      </x:c>
      <x:c r="P408" s="82" t="str">
        <x:v>Malaysia</x:v>
      </x:c>
      <x:c r="Q408" s="82" t="str"/>
      <x:c r="R408" s="82" t="str">
        <x:v>Mainline</x:v>
      </x:c>
      <x:c r="S408" s="82" t="str">
        <x:v>Incomum</x:v>
      </x:c>
      <x:c r="T408" s="82" t="str">
        <x:v>Lançado</x:v>
      </x:c>
      <x:c r="U408" s="82" t="str"/>
      <x:c r="V408" s="80" t="str">
        <x:v>Coleção principal (~1:64)</x:v>
      </x:c>
      <x:c r="W408" s="82" t="str">
        <x:v>https://hotwheels.fandom.com/wiki/Ferrari_333_SP</x:v>
      </x:c>
      <x:c r="X408" s="82" t="str">
        <x:v>https://hotwheels.fandom.com/wiki/Ferrari_333_SP</x:v>
      </x:c>
    </x:row>
    <x:row r="409">
      <x:c r="A409" s="80" t="str">
        <x:v>Não</x:v>
      </x:c>
      <x:c r="B409" s="80" t="str">
        <x:v>2 — Completar aos poucos</x:v>
      </x:c>
      <x:c r="C409" s="81" t="n">
        <x:v>2000</x:v>
      </x:c>
      <x:c r="D409" s="80" t="str">
        <x:v>Ferrari 348</x:v>
      </x:c>
      <x:c r="E409" s="80" t="str">
        <x:v>Ferrari 348</x:v>
      </x:c>
      <x:c r="F409" s="82" t="str">
        <x:v>Mainline</x:v>
      </x:c>
      <x:c r="G409" s="80" t="str"/>
      <x:c r="H409" s="80" t="str">
        <x:v>106</x:v>
      </x:c>
      <x:c r="I409" s="83" t="str">
        <x:v>27073</x:v>
      </x:c>
      <x:c r="J409" s="80" t="str">
        <x:v>Metallic Black</x:v>
      </x:c>
      <x:c r="K409" s="82" t="str">
        <x:v>Black &amp; Yellow Ferrari Logo</x:v>
      </x:c>
      <x:c r="L409" s="82" t="str">
        <x:v>3SP</x:v>
      </x:c>
      <x:c r="M409" s="82" t="str">
        <x:v>Black / / / Plastic</x:v>
      </x:c>
      <x:c r="N409" s="82" t="str">
        <x:v>Clear</x:v>
      </x:c>
      <x:c r="O409" s="82" t="str">
        <x:v>Tan &amp; Black</x:v>
      </x:c>
      <x:c r="P409" s="82" t="str">
        <x:v>Malaysia</x:v>
      </x:c>
      <x:c r="Q409" s="82" t="str"/>
      <x:c r="R409" s="82" t="str">
        <x:v>Mainline</x:v>
      </x:c>
      <x:c r="S409" s="82" t="str">
        <x:v>Incomum</x:v>
      </x:c>
      <x:c r="T409" s="82" t="str">
        <x:v>Lançado</x:v>
      </x:c>
      <x:c r="U409" s="82" t="str">
        <x:v>Two Ferrari Logo variations with the small square Logo or Shield Logo</x:v>
      </x:c>
      <x:c r="V409" s="80" t="str">
        <x:v>Coleção principal (~1:64)</x:v>
      </x:c>
      <x:c r="W409" s="82" t="str">
        <x:v>https://hotwheels.fandom.com/wiki/Ferrari_348</x:v>
      </x:c>
      <x:c r="X409" s="82" t="str">
        <x:v>https://hotwheels.fandom.com/wiki/Ferrari_348</x:v>
      </x:c>
    </x:row>
    <x:row r="410">
      <x:c r="A410" s="80" t="str">
        <x:v>Não</x:v>
      </x:c>
      <x:c r="B410" s="80" t="str">
        <x:v>2 — Completar aos poucos</x:v>
      </x:c>
      <x:c r="C410" s="81" t="n">
        <x:v>2000</x:v>
      </x:c>
      <x:c r="D410" s="80" t="str">
        <x:v>Ferrari 348</x:v>
      </x:c>
      <x:c r="E410" s="80" t="str">
        <x:v>Ferrari 348</x:v>
      </x:c>
      <x:c r="F410" s="82" t="str">
        <x:v>Pavement Pounders</x:v>
      </x:c>
      <x:c r="G410" s="80" t="str"/>
      <x:c r="H410" s="80" t="str"/>
      <x:c r="I410" s="83" t="str">
        <x:v>89850</x:v>
      </x:c>
      <x:c r="J410" s="80" t="str">
        <x:v>Gold</x:v>
      </x:c>
      <x:c r="K410" s="82" t="str">
        <x:v>Yellow HW logo on doors</x:v>
      </x:c>
      <x:c r="L410" s="82" t="str">
        <x:v>5DOT</x:v>
      </x:c>
      <x:c r="M410" s="82" t="str">
        <x:v>Black / / / Plastic</x:v>
      </x:c>
      <x:c r="N410" s="82" t="str">
        <x:v>Clear</x:v>
      </x:c>
      <x:c r="O410" s="82" t="str">
        <x:v>Black</x:v>
      </x:c>
      <x:c r="P410" s="82" t="str">
        <x:v>China</x:v>
      </x:c>
      <x:c r="Q410" s="82" t="str"/>
      <x:c r="R410" s="82" t="str">
        <x:v>Outra linha</x:v>
      </x:c>
      <x:c r="S410" s="82" t="str">
        <x:v>Incomum</x:v>
      </x:c>
      <x:c r="T410" s="82" t="str">
        <x:v>Lançado</x:v>
      </x:c>
      <x:c r="U410" s="82" t="str">
        <x:v>Came with Cabover Truck</x:v>
      </x:c>
      <x:c r="V410" s="80" t="str">
        <x:v>Coleção principal (~1:64)</x:v>
      </x:c>
      <x:c r="W410" s="82" t="str">
        <x:v>https://hotwheels.fandom.com/wiki/Ferrari_348</x:v>
      </x:c>
      <x:c r="X410" s="82" t="str">
        <x:v>https://hotwheels.fandom.com/wiki/Ferrari_348</x:v>
      </x:c>
    </x:row>
    <x:row r="411">
      <x:c r="A411" s="80" t="str">
        <x:v>Não</x:v>
      </x:c>
      <x:c r="B411" s="80" t="str">
        <x:v>2 — Completar aos poucos</x:v>
      </x:c>
      <x:c r="C411" s="81" t="n">
        <x:v>2000</x:v>
      </x:c>
      <x:c r="D411" s="80" t="str">
        <x:v>Ferrari 348</x:v>
      </x:c>
      <x:c r="E411" s="80" t="str">
        <x:v>Ferrari 348</x:v>
      </x:c>
      <x:c r="F411" s="82" t="str">
        <x:v>Pavement Pounders</x:v>
      </x:c>
      <x:c r="G411" s="80" t="str"/>
      <x:c r="H411" s="80" t="str"/>
      <x:c r="I411" s="83" t="str">
        <x:v>89850</x:v>
      </x:c>
      <x:c r="J411" s="80" t="str">
        <x:v>Silver</x:v>
      </x:c>
      <x:c r="K411" s="82" t="str">
        <x:v>Yellow Hot Wheels logo on door</x:v>
      </x:c>
      <x:c r="L411" s="82" t="str">
        <x:v>5DOT</x:v>
      </x:c>
      <x:c r="M411" s="82" t="str">
        <x:v>Black / / / Plastic</x:v>
      </x:c>
      <x:c r="N411" s="82" t="str">
        <x:v>Clear</x:v>
      </x:c>
      <x:c r="O411" s="82" t="str">
        <x:v>Black</x:v>
      </x:c>
      <x:c r="P411" s="82" t="str">
        <x:v>China</x:v>
      </x:c>
      <x:c r="Q411" s="82" t="str"/>
      <x:c r="R411" s="82" t="str">
        <x:v>Outra linha</x:v>
      </x:c>
      <x:c r="S411" s="82" t="str">
        <x:v>Incomum</x:v>
      </x:c>
      <x:c r="T411" s="82" t="str">
        <x:v>Lançado</x:v>
      </x:c>
      <x:c r="U411" s="82" t="str"/>
      <x:c r="V411" s="80" t="str">
        <x:v>Coleção principal (~1:64)</x:v>
      </x:c>
      <x:c r="W411" s="82" t="str">
        <x:v>https://hotwheels.fandom.com/wiki/Ferrari_348</x:v>
      </x:c>
      <x:c r="X411" s="82" t="str">
        <x:v>https://hotwheels.fandom.com/wiki/Ferrari_348</x:v>
      </x:c>
    </x:row>
    <x:row r="412">
      <x:c r="A412" s="80" t="str">
        <x:v>Não</x:v>
      </x:c>
      <x:c r="B412" s="80" t="str">
        <x:v>2 — Completar aos poucos</x:v>
      </x:c>
      <x:c r="C412" s="81" t="n">
        <x:v>2000</x:v>
      </x:c>
      <x:c r="D412" s="80" t="str">
        <x:v>Ferrari 348</x:v>
      </x:c>
      <x:c r="E412" s="80" t="str">
        <x:v>Ferrari 348</x:v>
      </x:c>
      <x:c r="F412" s="82" t="str">
        <x:v>Power Launcher</x:v>
      </x:c>
      <x:c r="G412" s="80" t="str"/>
      <x:c r="H412" s="80" t="str"/>
      <x:c r="I412" s="83" t="str">
        <x:v>65968</x:v>
      </x:c>
      <x:c r="J412" s="80" t="str">
        <x:v>Yellow</x:v>
      </x:c>
      <x:c r="K412" s="82" t="str">
        <x:v>Ferrari Logo on hood</x:v>
      </x:c>
      <x:c r="L412" s="82" t="str">
        <x:v>5DOT</x:v>
      </x:c>
      <x:c r="M412" s="82" t="str">
        <x:v>Black / / / Plastic</x:v>
      </x:c>
      <x:c r="N412" s="82" t="str">
        <x:v>Clear</x:v>
      </x:c>
      <x:c r="O412" s="82" t="str">
        <x:v>Red</x:v>
      </x:c>
      <x:c r="P412" s="82" t="str">
        <x:v>China</x:v>
      </x:c>
      <x:c r="Q412" s="82" t="str"/>
      <x:c r="R412" s="82" t="str">
        <x:v>Outra linha</x:v>
      </x:c>
      <x:c r="S412" s="82" t="str">
        <x:v>Incomum</x:v>
      </x:c>
      <x:c r="T412" s="82" t="str">
        <x:v>Lançado</x:v>
      </x:c>
      <x:c r="U412" s="82" t="str"/>
      <x:c r="V412" s="80" t="str">
        <x:v>Coleção principal (~1:64)</x:v>
      </x:c>
      <x:c r="W412" s="82" t="str">
        <x:v>https://hotwheels.fandom.com/wiki/Ferrari_348</x:v>
      </x:c>
      <x:c r="X412" s="82" t="str">
        <x:v>https://hotwheels.fandom.com/wiki/Ferrari_348</x:v>
      </x:c>
    </x:row>
    <x:row r="413">
      <x:c r="A413" s="80" t="str">
        <x:v>Não</x:v>
      </x:c>
      <x:c r="B413" s="80" t="str">
        <x:v>2 — Completar aos poucos</x:v>
      </x:c>
      <x:c r="C413" s="81" t="n">
        <x:v>2000</x:v>
      </x:c>
      <x:c r="D413" s="80" t="str">
        <x:v>Ferrari 360 Modena</x:v>
      </x:c>
      <x:c r="E413" s="80" t="str">
        <x:v>Ferrari 360 Modena</x:v>
      </x:c>
      <x:c r="F413" s="82" t="str">
        <x:v>World Racers 2 5-Pack</x:v>
      </x:c>
      <x:c r="G413" s="80" t="str"/>
      <x:c r="H413" s="80" t="str"/>
      <x:c r="I413" s="83" t="str">
        <x:v>25370</x:v>
      </x:c>
      <x:c r="J413" s="80" t="str">
        <x:v>Silver</x:v>
      </x:c>
      <x:c r="K413" s="82" t="str">
        <x:v>White, Orange, Black "48", "360 modena"</x:v>
      </x:c>
      <x:c r="L413" s="82" t="str">
        <x:v>5DOT</x:v>
      </x:c>
      <x:c r="M413" s="82" t="str">
        <x:v>ZAMAC</x:v>
      </x:c>
      <x:c r="N413" s="82" t="str">
        <x:v>Clear</x:v>
      </x:c>
      <x:c r="O413" s="82" t="str">
        <x:v>White</x:v>
      </x:c>
      <x:c r="P413" s="82" t="str">
        <x:v>Thailand</x:v>
      </x:c>
      <x:c r="Q413" s="82" t="str"/>
      <x:c r="R413" s="82" t="str">
        <x:v>Temática / multipack</x:v>
      </x:c>
      <x:c r="S413" s="82" t="str">
        <x:v>Incomum</x:v>
      </x:c>
      <x:c r="T413" s="82" t="str">
        <x:v>Lançado</x:v>
      </x:c>
      <x:c r="U413" s="82" t="str"/>
      <x:c r="V413" s="80" t="str">
        <x:v>Coleção principal (~1:64)</x:v>
      </x:c>
      <x:c r="W413" s="82" t="str">
        <x:v>https://hotwheels.fandom.com/wiki/Ferrari_360_Modena</x:v>
      </x:c>
      <x:c r="X413" s="82" t="str">
        <x:v>https://hotwheels.fandom.com/wiki/Ferrari_360_Modena</x:v>
      </x:c>
    </x:row>
    <x:row r="414">
      <x:c r="A414" s="80" t="str">
        <x:v>Não</x:v>
      </x:c>
      <x:c r="B414" s="80" t="str">
        <x:v>2 — Completar aos poucos</x:v>
      </x:c>
      <x:c r="C414" s="81" t="n">
        <x:v>2000</x:v>
      </x:c>
      <x:c r="D414" s="80" t="str">
        <x:v>Ferrari 365 GTB/4</x:v>
      </x:c>
      <x:c r="E414" s="80" t="str">
        <x:v>Ferrari 365 GTB/4</x:v>
      </x:c>
      <x:c r="F414" s="82" t="str">
        <x:v>2000 First Editions / 1/36</x:v>
      </x:c>
      <x:c r="G414" s="80" t="str"/>
      <x:c r="H414" s="80" t="str">
        <x:v>061</x:v>
      </x:c>
      <x:c r="I414" s="83" t="str">
        <x:v>23928</x:v>
      </x:c>
      <x:c r="J414" s="80" t="str">
        <x:v>Red</x:v>
      </x:c>
      <x:c r="K414" s="82" t="str">
        <x:v>Ferrari logo on hood WITHOUT Italian flag</x:v>
      </x:c>
      <x:c r="L414" s="82" t="str">
        <x:v>5SP</x:v>
      </x:c>
      <x:c r="M414" s="82" t="str">
        <x:v>Unpainted / / / Metal</x:v>
      </x:c>
      <x:c r="N414" s="82" t="str">
        <x:v>Clear</x:v>
      </x:c>
      <x:c r="O414" s="82" t="str">
        <x:v>Tan</x:v>
      </x:c>
      <x:c r="P414" s="82" t="str">
        <x:v>Malaysia</x:v>
      </x:c>
      <x:c r="Q414" s="82" t="str"/>
      <x:c r="R414" s="82" t="str">
        <x:v>Mainline</x:v>
      </x:c>
      <x:c r="S414" s="82" t="str">
        <x:v>Incomum</x:v>
      </x:c>
      <x:c r="T414" s="82" t="str">
        <x:v>Lançado</x:v>
      </x:c>
      <x:c r="U414" s="82" t="str"/>
      <x:c r="V414" s="80" t="str">
        <x:v>Coleção principal (~1:64)</x:v>
      </x:c>
      <x:c r="W414" s="82" t="str">
        <x:v>https://hotwheels.fandom.com/wiki/Ferrari_365_GTB/4</x:v>
      </x:c>
      <x:c r="X414" s="82" t="str">
        <x:v>https://hotwheels.fandom.com/wiki/Ferrari_365_GTB/4</x:v>
      </x:c>
    </x:row>
    <x:row r="415">
      <x:c r="A415" s="80" t="str">
        <x:v>Não</x:v>
      </x:c>
      <x:c r="B415" s="80" t="str">
        <x:v>2 — Completar aos poucos</x:v>
      </x:c>
      <x:c r="C415" s="81" t="n">
        <x:v>2000</x:v>
      </x:c>
      <x:c r="D415" s="80" t="str">
        <x:v>Ferrari 365 GTB/4</x:v>
      </x:c>
      <x:c r="E415" s="80" t="str">
        <x:v>Ferrari 365 GTB/4</x:v>
      </x:c>
      <x:c r="F415" s="82" t="str">
        <x:v>Mainline</x:v>
      </x:c>
      <x:c r="G415" s="80" t="str"/>
      <x:c r="H415" s="80" t="str">
        <x:v>236</x:v>
      </x:c>
      <x:c r="I415" s="83" t="str">
        <x:v>29292</x:v>
      </x:c>
      <x:c r="J415" s="80" t="str">
        <x:v>Yellow</x:v>
      </x:c>
      <x:c r="K415" s="82" t="str">
        <x:v>Ferrari logo on hood WITH Italian flag</x:v>
      </x:c>
      <x:c r="L415" s="82" t="str">
        <x:v>5SP</x:v>
      </x:c>
      <x:c r="M415" s="82" t="str">
        <x:v>Unpainted / / / Metal</x:v>
      </x:c>
      <x:c r="N415" s="82" t="str">
        <x:v>Clear</x:v>
      </x:c>
      <x:c r="O415" s="82" t="str">
        <x:v>Black</x:v>
      </x:c>
      <x:c r="P415" s="82" t="str">
        <x:v>Malaysia</x:v>
      </x:c>
      <x:c r="Q415" s="82" t="str"/>
      <x:c r="R415" s="82" t="str">
        <x:v>Mainline</x:v>
      </x:c>
      <x:c r="S415" s="82" t="str">
        <x:v>Incomum</x:v>
      </x:c>
      <x:c r="T415" s="82" t="str">
        <x:v>Lançado</x:v>
      </x:c>
      <x:c r="U415" s="82" t="str"/>
      <x:c r="V415" s="80" t="str">
        <x:v>Coleção principal (~1:64)</x:v>
      </x:c>
      <x:c r="W415" s="82" t="str">
        <x:v>https://hotwheels.fandom.com/wiki/Ferrari_365_GTB/4</x:v>
      </x:c>
      <x:c r="X415" s="82" t="str">
        <x:v>https://hotwheels.fandom.com/wiki/Ferrari_365_GTB/4</x:v>
      </x:c>
    </x:row>
    <x:row r="416">
      <x:c r="A416" s="80" t="str">
        <x:v>Não</x:v>
      </x:c>
      <x:c r="B416" s="80" t="str">
        <x:v>2 — Completar aos poucos</x:v>
      </x:c>
      <x:c r="C416" s="81" t="n">
        <x:v>2000</x:v>
      </x:c>
      <x:c r="D416" s="80" t="str">
        <x:v>Ferrari 550 Maranello</x:v>
      </x:c>
      <x:c r="E416" s="80" t="str">
        <x:v>Ferrari 550 Maranello</x:v>
      </x:c>
      <x:c r="F416" s="82" t="str">
        <x:v>2000 First Editions / 2/36</x:v>
      </x:c>
      <x:c r="G416" s="80" t="str"/>
      <x:c r="H416" s="80" t="str">
        <x:v>062</x:v>
      </x:c>
      <x:c r="I416" s="83" t="str">
        <x:v>23929</x:v>
      </x:c>
      <x:c r="J416" s="80" t="str">
        <x:v>Red</x:v>
      </x:c>
      <x:c r="K416" s="82" t="str">
        <x:v>Ferrari logo on hood, Hot Wheels logo on rear</x:v>
      </x:c>
      <x:c r="L416" s="82" t="str">
        <x:v>5SP</x:v>
      </x:c>
      <x:c r="M416" s="82" t="str">
        <x:v>Unpainted / / / Metal</x:v>
      </x:c>
      <x:c r="N416" s="82" t="str">
        <x:v>Clear</x:v>
      </x:c>
      <x:c r="O416" s="82" t="str">
        <x:v>Tan</x:v>
      </x:c>
      <x:c r="P416" s="82" t="str">
        <x:v>Malaysia</x:v>
      </x:c>
      <x:c r="Q416" s="82" t="str"/>
      <x:c r="R416" s="82" t="str">
        <x:v>Mainline</x:v>
      </x:c>
      <x:c r="S416" s="82" t="str">
        <x:v>Incomum</x:v>
      </x:c>
      <x:c r="T416" s="82" t="str">
        <x:v>Lançado</x:v>
      </x:c>
      <x:c r="U416" s="82" t="str"/>
      <x:c r="V416" s="80" t="str">
        <x:v>Coleção principal (~1:64)</x:v>
      </x:c>
      <x:c r="W416" s="82" t="str">
        <x:v>https://hotwheels.fandom.com/wiki/Ferrari_550_Maranello</x:v>
      </x:c>
      <x:c r="X416" s="82" t="str">
        <x:v>https://hotwheels.fandom.com/wiki/Ferrari_550_Maranello</x:v>
      </x:c>
    </x:row>
    <x:row r="417">
      <x:c r="A417" s="80" t="str">
        <x:v>Não</x:v>
      </x:c>
      <x:c r="B417" s="80" t="str">
        <x:v>2 — Completar aos poucos</x:v>
      </x:c>
      <x:c r="C417" s="81" t="n">
        <x:v>2000</x:v>
      </x:c>
      <x:c r="D417" s="80" t="str">
        <x:v>Ferrari 550 Maranello</x:v>
      </x:c>
      <x:c r="E417" s="80" t="str">
        <x:v>Ferrari 550 Maranello</x:v>
      </x:c>
      <x:c r="F417" s="82" t="str">
        <x:v>Mainline</x:v>
      </x:c>
      <x:c r="G417" s="80" t="str"/>
      <x:c r="H417" s="80" t="str">
        <x:v>235</x:v>
      </x:c>
      <x:c r="I417" s="83" t="str">
        <x:v>29291</x:v>
      </x:c>
      <x:c r="J417" s="80" t="str">
        <x:v>Metalflake Gray</x:v>
      </x:c>
      <x:c r="K417" s="82" t="str">
        <x:v>Yellow and Black Ferrari logo on hood</x:v>
      </x:c>
      <x:c r="L417" s="82" t="str">
        <x:v>5SP</x:v>
      </x:c>
      <x:c r="M417" s="82" t="str">
        <x:v>Unpainted / / / Metal</x:v>
      </x:c>
      <x:c r="N417" s="82" t="str">
        <x:v>Clear</x:v>
      </x:c>
      <x:c r="O417" s="82" t="str">
        <x:v>Red</x:v>
      </x:c>
      <x:c r="P417" s="82" t="str">
        <x:v>Malaysia</x:v>
      </x:c>
      <x:c r="Q417" s="82" t="str"/>
      <x:c r="R417" s="82" t="str">
        <x:v>Mainline</x:v>
      </x:c>
      <x:c r="S417" s="82" t="str">
        <x:v>Incomum</x:v>
      </x:c>
      <x:c r="T417" s="82" t="str">
        <x:v>Lançado</x:v>
      </x:c>
      <x:c r="U417" s="82" t="str"/>
      <x:c r="V417" s="80" t="str">
        <x:v>Coleção principal (~1:64)</x:v>
      </x:c>
      <x:c r="W417" s="82" t="str">
        <x:v>https://hotwheels.fandom.com/wiki/Ferrari_550_Maranello</x:v>
      </x:c>
      <x:c r="X417" s="82" t="str">
        <x:v>https://hotwheels.fandom.com/wiki/Ferrari_550_Maranello</x:v>
      </x:c>
    </x:row>
    <x:row r="418">
      <x:c r="A418" s="80" t="str">
        <x:v>Não</x:v>
      </x:c>
      <x:c r="B418" s="80" t="str">
        <x:v>2 — Completar aos poucos</x:v>
      </x:c>
      <x:c r="C418" s="81" t="n">
        <x:v>2000</x:v>
      </x:c>
      <x:c r="D418" s="80" t="str">
        <x:v>Ferrari F355 Challenge</x:v>
      </x:c>
      <x:c r="E418" s="80" t="str">
        <x:v>Ferrari F355 Challenge</x:v>
      </x:c>
      <x:c r="F418" s="82" t="str">
        <x:v>Mainline</x:v>
      </x:c>
      <x:c r="G418" s="80" t="str"/>
      <x:c r="H418" s="80" t="str">
        <x:v>162</x:v>
      </x:c>
      <x:c r="I418" s="83" t="str">
        <x:v>27128</x:v>
      </x:c>
      <x:c r="J418" s="80" t="str">
        <x:v>Yellow</x:v>
      </x:c>
      <x:c r="K418" s="82" t="str">
        <x:v>Ferrari Logo on Hood. 1 Green, 1 White &amp; 1 Red Strioe across the top. Shell logo. "Assitalia", "7", various sponsor logos.</x:v>
      </x:c>
      <x:c r="L418" s="82" t="str">
        <x:v>Chrome 5SP</x:v>
      </x:c>
      <x:c r="M418" s="82" t="str">
        <x:v>Unpainted / Metal</x:v>
      </x:c>
      <x:c r="N418" s="82" t="str">
        <x:v>Tinted</x:v>
      </x:c>
      <x:c r="O418" s="82" t="str">
        <x:v>Black w/ Grey roll cage</x:v>
      </x:c>
      <x:c r="P418" s="82" t="str">
        <x:v>Malaysia</x:v>
      </x:c>
      <x:c r="Q418" s="82" t="str"/>
      <x:c r="R418" s="82" t="str">
        <x:v>Mainline</x:v>
      </x:c>
      <x:c r="S418" s="82" t="str">
        <x:v>Incomum</x:v>
      </x:c>
      <x:c r="T418" s="82" t="str">
        <x:v>Lançado</x:v>
      </x:c>
      <x:c r="U418" s="82" t="str"/>
      <x:c r="V418" s="80" t="str">
        <x:v>Coleção principal (~1:64)</x:v>
      </x:c>
      <x:c r="W418" s="82" t="str">
        <x:v>https://hotwheels.fandom.com/wiki/Ferrari_F355_Challenge</x:v>
      </x:c>
      <x:c r="X418" s="82" t="str">
        <x:v>https://hotwheels.fandom.com/wiki/Ferrari_F355_Challenge</x:v>
      </x:c>
    </x:row>
    <x:row r="419">
      <x:c r="A419" s="80" t="str">
        <x:v>Não</x:v>
      </x:c>
      <x:c r="B419" s="80" t="str">
        <x:v>2 — Completar aos poucos</x:v>
      </x:c>
      <x:c r="C419" s="81" t="n">
        <x:v>2000</x:v>
      </x:c>
      <x:c r="D419" s="80" t="str">
        <x:v>Ferrari F355 Spider</x:v>
      </x:c>
      <x:c r="E419" s="80" t="str">
        <x:v>Ferrari F355 Spider</x:v>
      </x:c>
      <x:c r="F419" s="82" t="str">
        <x:v>Mainline</x:v>
      </x:c>
      <x:c r="G419" s="80" t="str"/>
      <x:c r="H419" s="80" t="str">
        <x:v>230</x:v>
      </x:c>
      <x:c r="I419" s="83" t="str">
        <x:v>29286</x:v>
      </x:c>
      <x:c r="J419" s="80" t="str">
        <x:v>Metalflake Gray</x:v>
      </x:c>
      <x:c r="K419" s="82" t="str">
        <x:v>Ferrari logo on sides and front, Yellow HW logo on rear</x:v>
      </x:c>
      <x:c r="L419" s="82" t="str">
        <x:v>5SP</x:v>
      </x:c>
      <x:c r="M419" s="82" t="str">
        <x:v>Unpainted / / / Metal</x:v>
      </x:c>
      <x:c r="N419" s="82" t="str">
        <x:v>Smoke</x:v>
      </x:c>
      <x:c r="O419" s="82" t="str">
        <x:v>Black</x:v>
      </x:c>
      <x:c r="P419" s="82" t="str">
        <x:v>Malaysia</x:v>
      </x:c>
      <x:c r="Q419" s="82" t="str"/>
      <x:c r="R419" s="82" t="str">
        <x:v>Mainline</x:v>
      </x:c>
      <x:c r="S419" s="82" t="str">
        <x:v>Incomum</x:v>
      </x:c>
      <x:c r="T419" s="82" t="str">
        <x:v>Lançado</x:v>
      </x:c>
      <x:c r="U419" s="82" t="str"/>
      <x:c r="V419" s="80" t="str">
        <x:v>Coleção principal (~1:64)</x:v>
      </x:c>
      <x:c r="W419" s="82" t="str">
        <x:v>https://hotwheels.fandom.com/wiki/Ferrari_F355_Spider</x:v>
      </x:c>
      <x:c r="X419" s="82" t="str">
        <x:v>https://hotwheels.fandom.com/wiki/Ferrari_F355_Spider</x:v>
      </x:c>
    </x:row>
    <x:row r="420">
      <x:c r="A420" s="80" t="str">
        <x:v>Não</x:v>
      </x:c>
      <x:c r="B420" s="80" t="str">
        <x:v>2 — Completar aos poucos</x:v>
      </x:c>
      <x:c r="C420" s="81" t="n">
        <x:v>2000</x:v>
      </x:c>
      <x:c r="D420" s="80" t="str">
        <x:v>Ferrari F40</x:v>
      </x:c>
      <x:c r="E420" s="80" t="str">
        <x:v>Ferrari F40</x:v>
      </x:c>
      <x:c r="F420" s="82" t="str">
        <x:v>Mainline</x:v>
      </x:c>
      <x:c r="G420" s="80" t="str"/>
      <x:c r="H420" s="80" t="str">
        <x:v>122</x:v>
      </x:c>
      <x:c r="I420" s="83" t="str">
        <x:v>27089</x:v>
      </x:c>
      <x:c r="J420" s="80" t="str">
        <x:v>Yellow</x:v>
      </x:c>
      <x:c r="K420" s="82" t="str">
        <x:v>Black "Ferrari" logo on hood</x:v>
      </x:c>
      <x:c r="L420" s="82" t="str">
        <x:v>5SP</x:v>
      </x:c>
      <x:c r="M420" s="82" t="str">
        <x:v>ZAMAC</x:v>
      </x:c>
      <x:c r="N420" s="82" t="str">
        <x:v>Smoke tint</x:v>
      </x:c>
      <x:c r="O420" s="82" t="str">
        <x:v>Black</x:v>
      </x:c>
      <x:c r="P420" s="82" t="str">
        <x:v>Malaysia</x:v>
      </x:c>
      <x:c r="Q420" s="82" t="str"/>
      <x:c r="R420" s="82" t="str">
        <x:v>Mainline</x:v>
      </x:c>
      <x:c r="S420" s="82" t="str">
        <x:v>Incomum</x:v>
      </x:c>
      <x:c r="T420" s="82" t="str">
        <x:v>Lançado</x:v>
      </x:c>
      <x:c r="U420" s="82" t="str"/>
      <x:c r="V420" s="80" t="str">
        <x:v>Coleção principal (~1:64)</x:v>
      </x:c>
      <x:c r="W420" s="82" t="str">
        <x:v>https://hotwheels.fandom.com/wiki/Ferrari_F40</x:v>
      </x:c>
      <x:c r="X420" s="82" t="str">
        <x:v>https://hotwheels.fandom.com/wiki/Ferrari_F40</x:v>
      </x:c>
    </x:row>
    <x:row r="421">
      <x:c r="A421" s="80" t="str">
        <x:v>Não</x:v>
      </x:c>
      <x:c r="B421" s="80" t="str">
        <x:v>2 — Completar aos poucos</x:v>
      </x:c>
      <x:c r="C421" s="81" t="n">
        <x:v>2000</x:v>
      </x:c>
      <x:c r="D421" s="80" t="str">
        <x:v>Ferrari F50 (Motorized X-V Racers)</x:v>
      </x:c>
      <x:c r="E421" s="80" t="str">
        <x:v>Ferrari F50</x:v>
      </x:c>
      <x:c r="F421" s="82" t="str">
        <x:v>Motorized X-V Racers</x:v>
      </x:c>
      <x:c r="G421" s="80" t="str"/>
      <x:c r="H421" s="80" t="str"/>
      <x:c r="I421" s="83" t="str">
        <x:v>88188</x:v>
      </x:c>
      <x:c r="J421" s="80" t="str">
        <x:v>Red</x:v>
      </x:c>
      <x:c r="K421" s="82" t="str">
        <x:v>Ferrari shield</x:v>
      </x:c>
      <x:c r="L421" s="82" t="str">
        <x:v>MXV</x:v>
      </x:c>
      <x:c r="M421" s="82" t="str">
        <x:v>Black / Plastic</x:v>
      </x:c>
      <x:c r="N421" s="82" t="str">
        <x:v>Smoke Tinted See through</x:v>
      </x:c>
      <x:c r="O421" s="82" t="str">
        <x:v>None</x:v>
      </x:c>
      <x:c r="P421" s="82" t="str">
        <x:v>China</x:v>
      </x:c>
      <x:c r="Q421" s="82" t="str"/>
      <x:c r="R421" s="82" t="str">
        <x:v>Outra linha</x:v>
      </x:c>
      <x:c r="S421" s="82" t="str">
        <x:v>Incomum</x:v>
      </x:c>
      <x:c r="T421" s="82" t="str">
        <x:v>Lançado</x:v>
      </x:c>
      <x:c r="U421" s="82" t="str"/>
      <x:c r="V421" s="80" t="str">
        <x:v>Coleção principal (~1:64)</x:v>
      </x:c>
      <x:c r="W421" s="82" t="str">
        <x:v>https://hotwheels.fandom.com/wiki/Ferrari_F50_(Motorized_X-V_Racers)</x:v>
      </x:c>
      <x:c r="X421" s="82" t="str">
        <x:v>https://hotwheels.fandom.com/wiki/Ferrari_F50_(Motorized_X-V_Racers)</x:v>
      </x:c>
    </x:row>
    <x:row r="422">
      <x:c r="A422" s="80" t="str">
        <x:v>Não</x:v>
      </x:c>
      <x:c r="B422" s="80" t="str">
        <x:v>2 — Completar aos poucos</x:v>
      </x:c>
      <x:c r="C422" s="81" t="n">
        <x:v>2000</x:v>
      </x:c>
      <x:c r="D422" s="80" t="str">
        <x:v>Ferrari F50 (Red Rooster)</x:v>
      </x:c>
      <x:c r="E422" s="80" t="str">
        <x:v>Ferrari F50</x:v>
      </x:c>
      <x:c r="F422" s="82" t="str">
        <x:v>Red Rooster</x:v>
      </x:c>
      <x:c r="G422" s="80" t="str"/>
      <x:c r="H422" s="80" t="str"/>
      <x:c r="I422" s="83" t="str">
        <x:v>0124-2</x:v>
      </x:c>
      <x:c r="J422" s="80" t="str"/>
      <x:c r="K422" s="82" t="str"/>
      <x:c r="L422" s="82" t="str"/>
      <x:c r="M422" s="82" t="str"/>
      <x:c r="N422" s="82" t="str"/>
      <x:c r="O422" s="82" t="str"/>
      <x:c r="P422" s="82" t="str"/>
      <x:c r="Q422" s="82" t="str"/>
      <x:c r="R422" s="82" t="str">
        <x:v>Outra linha</x:v>
      </x:c>
      <x:c r="S422" s="82" t="str">
        <x:v>Incomum</x:v>
      </x:c>
      <x:c r="T422" s="82" t="str">
        <x:v>Lançado</x:v>
      </x:c>
      <x:c r="U422" s="82" t="str"/>
      <x:c r="V422" s="80" t="str">
        <x:v>Coleção principal (~1:64)</x:v>
      </x:c>
      <x:c r="W422" s="82" t="str">
        <x:v>https://hotwheels.fandom.com/wiki/Ferrari</x:v>
      </x:c>
      <x:c r="X422" s="82" t="str">
        <x:v>https://hotwheels.fandom.com/wiki/Ferrari_F50_(Red_Rooster)</x:v>
      </x:c>
    </x:row>
    <x:row r="423">
      <x:c r="A423" s="80" t="str">
        <x:v>Não</x:v>
      </x:c>
      <x:c r="B423" s="80" t="str">
        <x:v>2 — Completar aos poucos</x:v>
      </x:c>
      <x:c r="C423" s="81" t="n">
        <x:v>2000</x:v>
      </x:c>
      <x:c r="D423" s="80" t="str">
        <x:v>Ferrari F50 (Red Rooster)</x:v>
      </x:c>
      <x:c r="E423" s="80" t="str">
        <x:v>Ferrari F50</x:v>
      </x:c>
      <x:c r="F423" s="82" t="str">
        <x:v>Red Rooster</x:v>
      </x:c>
      <x:c r="G423" s="80" t="str"/>
      <x:c r="H423" s="80" t="str"/>
      <x:c r="I423" s="83" t="str">
        <x:v>N/A</x:v>
      </x:c>
      <x:c r="J423" s="80" t="str">
        <x:v>Black</x:v>
      </x:c>
      <x:c r="K423" s="82" t="str">
        <x:v>None</x:v>
      </x:c>
      <x:c r="L423" s="82" t="str">
        <x:v>GW1</x:v>
      </x:c>
      <x:c r="M423" s="82" t="str">
        <x:v>Black / / / Plastic</x:v>
      </x:c>
      <x:c r="N423" s="82" t="str">
        <x:v>Clear</x:v>
      </x:c>
      <x:c r="O423" s="82" t="str">
        <x:v>Light Gray</x:v>
      </x:c>
      <x:c r="P423" s="82" t="str">
        <x:v>China</x:v>
      </x:c>
      <x:c r="Q423" s="82" t="str"/>
      <x:c r="R423" s="82" t="str">
        <x:v>Outra linha</x:v>
      </x:c>
      <x:c r="S423" s="82" t="str">
        <x:v>Incomum</x:v>
      </x:c>
      <x:c r="T423" s="82" t="str">
        <x:v>Lançado</x:v>
      </x:c>
      <x:c r="U423" s="82" t="str"/>
      <x:c r="V423" s="80" t="str">
        <x:v>Coleção principal (~1:64)</x:v>
      </x:c>
      <x:c r="W423" s="82" t="str">
        <x:v>https://hotwheels.fandom.com/wiki/Ferrari_F50_(Red_Rooster)</x:v>
      </x:c>
      <x:c r="X423" s="82" t="str">
        <x:v>https://hotwheels.fandom.com/wiki/Ferrari_F50_(Red_Rooster)</x:v>
      </x:c>
    </x:row>
    <x:row r="424">
      <x:c r="A424" s="80" t="str">
        <x:v>Não</x:v>
      </x:c>
      <x:c r="B424" s="80" t="str">
        <x:v>2 — Completar aos poucos</x:v>
      </x:c>
      <x:c r="C424" s="81" t="n">
        <x:v>2000</x:v>
      </x:c>
      <x:c r="D424" s="80" t="str">
        <x:v>Ferrari F50 (Red Rooster)</x:v>
      </x:c>
      <x:c r="E424" s="80" t="str">
        <x:v>Ferrari F50</x:v>
      </x:c>
      <x:c r="F424" s="82" t="str">
        <x:v>Red Rooster</x:v>
      </x:c>
      <x:c r="G424" s="80" t="str"/>
      <x:c r="H424" s="80" t="str"/>
      <x:c r="I424" s="83" t="str">
        <x:v>N/A</x:v>
      </x:c>
      <x:c r="J424" s="80" t="str">
        <x:v>Red</x:v>
      </x:c>
      <x:c r="K424" s="82" t="str">
        <x:v>None</x:v>
      </x:c>
      <x:c r="L424" s="82" t="str">
        <x:v>GW1</x:v>
      </x:c>
      <x:c r="M424" s="82" t="str">
        <x:v>Black / / / Plastic</x:v>
      </x:c>
      <x:c r="N424" s="82" t="str">
        <x:v>Clear</x:v>
      </x:c>
      <x:c r="O424" s="82" t="str">
        <x:v>Light Gray</x:v>
      </x:c>
      <x:c r="P424" s="82" t="str">
        <x:v>China</x:v>
      </x:c>
      <x:c r="Q424" s="82" t="str"/>
      <x:c r="R424" s="82" t="str">
        <x:v>Outra linha</x:v>
      </x:c>
      <x:c r="S424" s="82" t="str">
        <x:v>Incomum</x:v>
      </x:c>
      <x:c r="T424" s="82" t="str">
        <x:v>Lançado</x:v>
      </x:c>
      <x:c r="U424" s="82" t="str"/>
      <x:c r="V424" s="80" t="str">
        <x:v>Coleção principal (~1:64)</x:v>
      </x:c>
      <x:c r="W424" s="82" t="str">
        <x:v>https://hotwheels.fandom.com/wiki/Ferrari_F50_(Red_Rooster)</x:v>
      </x:c>
      <x:c r="X424" s="82" t="str">
        <x:v>https://hotwheels.fandom.com/wiki/Ferrari_F50_(Red_Rooster)</x:v>
      </x:c>
    </x:row>
    <x:row r="425">
      <x:c r="A425" s="80" t="str">
        <x:v>Não</x:v>
      </x:c>
      <x:c r="B425" s="80" t="str">
        <x:v>2 — Completar aos poucos</x:v>
      </x:c>
      <x:c r="C425" s="81" t="n">
        <x:v>2000</x:v>
      </x:c>
      <x:c r="D425" s="80" t="str">
        <x:v>Ferrari F50 (Red Rooster)</x:v>
      </x:c>
      <x:c r="E425" s="80" t="str">
        <x:v>Ferrari F50</x:v>
      </x:c>
      <x:c r="F425" s="82" t="str">
        <x:v>Red Rooster</x:v>
      </x:c>
      <x:c r="G425" s="80" t="str"/>
      <x:c r="H425" s="80" t="str"/>
      <x:c r="I425" s="83" t="str">
        <x:v>N/A</x:v>
      </x:c>
      <x:c r="J425" s="80" t="str">
        <x:v>Yellow</x:v>
      </x:c>
      <x:c r="K425" s="82" t="str">
        <x:v>None</x:v>
      </x:c>
      <x:c r="L425" s="82" t="str">
        <x:v>GW1</x:v>
      </x:c>
      <x:c r="M425" s="82" t="str">
        <x:v>Black / / / Plastic</x:v>
      </x:c>
      <x:c r="N425" s="82" t="str">
        <x:v>Clear</x:v>
      </x:c>
      <x:c r="O425" s="82" t="str">
        <x:v>Light Gray</x:v>
      </x:c>
      <x:c r="P425" s="82" t="str">
        <x:v>China</x:v>
      </x:c>
      <x:c r="Q425" s="82" t="str"/>
      <x:c r="R425" s="82" t="str">
        <x:v>Outra linha</x:v>
      </x:c>
      <x:c r="S425" s="82" t="str">
        <x:v>Incomum</x:v>
      </x:c>
      <x:c r="T425" s="82" t="str">
        <x:v>Lançado</x:v>
      </x:c>
      <x:c r="U425" s="82" t="str"/>
      <x:c r="V425" s="80" t="str">
        <x:v>Coleção principal (~1:64)</x:v>
      </x:c>
      <x:c r="W425" s="82" t="str">
        <x:v>https://hotwheels.fandom.com/wiki/Ferrari_F50_(Red_Rooster)</x:v>
      </x:c>
      <x:c r="X425" s="82" t="str">
        <x:v>https://hotwheels.fandom.com/wiki/Ferrari_F50_(Red_Rooster)</x:v>
      </x:c>
    </x:row>
    <x:row r="426">
      <x:c r="A426" s="80" t="str">
        <x:v>Não</x:v>
      </x:c>
      <x:c r="B426" s="80" t="str">
        <x:v>2 — Completar aos poucos</x:v>
      </x:c>
      <x:c r="C426" s="81" t="n">
        <x:v>2000</x:v>
      </x:c>
      <x:c r="D426" s="80" t="str">
        <x:v>Ferrari F50 Challenge</x:v>
      </x:c>
      <x:c r="E426" s="80" t="str">
        <x:v>Ferrari F50 Challenge</x:v>
      </x:c>
      <x:c r="F426" s="82" t="str">
        <x:v>Mainline</x:v>
      </x:c>
      <x:c r="G426" s="80" t="str"/>
      <x:c r="H426" s="80" t="str">
        <x:v>161</x:v>
      </x:c>
      <x:c r="I426" s="83" t="str">
        <x:v>27127</x:v>
      </x:c>
      <x:c r="J426" s="80" t="str">
        <x:v>Yellow</x:v>
      </x:c>
      <x:c r="K426" s="82" t="str">
        <x:v>Ferrari Logo on Side &amp; Hood</x:v>
      </x:c>
      <x:c r="L426" s="82" t="str">
        <x:v>5SP</x:v>
      </x:c>
      <x:c r="M426" s="82" t="str">
        <x:v>Black / / / Metal</x:v>
      </x:c>
      <x:c r="N426" s="82" t="str">
        <x:v>Clear</x:v>
      </x:c>
      <x:c r="O426" s="82" t="str">
        <x:v>Black</x:v>
      </x:c>
      <x:c r="P426" s="82" t="str">
        <x:v>Malaysia</x:v>
      </x:c>
      <x:c r="Q426" s="82" t="str"/>
      <x:c r="R426" s="82" t="str">
        <x:v>Mainline</x:v>
      </x:c>
      <x:c r="S426" s="82" t="str">
        <x:v>Incomum</x:v>
      </x:c>
      <x:c r="T426" s="82" t="str">
        <x:v>Lançado</x:v>
      </x:c>
      <x:c r="U426" s="82" t="str"/>
      <x:c r="V426" s="80" t="str">
        <x:v>Coleção principal (~1:64)</x:v>
      </x:c>
      <x:c r="W426" s="82" t="str">
        <x:v>https://hotwheels.fandom.com/wiki/Ferrari_F50_Challenge</x:v>
      </x:c>
      <x:c r="X426" s="82" t="str">
        <x:v>https://hotwheels.fandom.com/wiki/Ferrari_F50_Challenge</x:v>
      </x:c>
    </x:row>
    <x:row r="427">
      <x:c r="A427" s="80" t="str">
        <x:v>Não</x:v>
      </x:c>
      <x:c r="B427" s="80" t="str">
        <x:v>2 — Completar aos poucos</x:v>
      </x:c>
      <x:c r="C427" s="81" t="n">
        <x:v>2000</x:v>
      </x:c>
      <x:c r="D427" s="80" t="str">
        <x:v>Ferrari F512M</x:v>
      </x:c>
      <x:c r="E427" s="80" t="str">
        <x:v>Ferrari F512M</x:v>
      </x:c>
      <x:c r="F427" s="82" t="str">
        <x:v>Mainline</x:v>
      </x:c>
      <x:c r="G427" s="80" t="str"/>
      <x:c r="H427" s="80" t="str">
        <x:v>136</x:v>
      </x:c>
      <x:c r="I427" s="83" t="str">
        <x:v>27103</x:v>
      </x:c>
      <x:c r="J427" s="80" t="str">
        <x:v>White</x:v>
      </x:c>
      <x:c r="K427" s="82" t="str">
        <x:v>Yellow &amp; Black Ferrari Logo on hood</x:v>
      </x:c>
      <x:c r="L427" s="82" t="str">
        <x:v>5SP</x:v>
      </x:c>
      <x:c r="M427" s="82" t="str">
        <x:v>Black / / / Metal</x:v>
      </x:c>
      <x:c r="N427" s="82" t="str">
        <x:v>Clear</x:v>
      </x:c>
      <x:c r="O427" s="82" t="str">
        <x:v>Black</x:v>
      </x:c>
      <x:c r="P427" s="82" t="str">
        <x:v>Malaysia</x:v>
      </x:c>
      <x:c r="Q427" s="82" t="str"/>
      <x:c r="R427" s="82" t="str">
        <x:v>Mainline</x:v>
      </x:c>
      <x:c r="S427" s="82" t="str">
        <x:v>Incomum</x:v>
      </x:c>
      <x:c r="T427" s="82" t="str">
        <x:v>Lançado</x:v>
      </x:c>
      <x:c r="U427" s="82" t="str">
        <x:v>Named Ferrari Testarossa</x:v>
      </x:c>
      <x:c r="V427" s="80" t="str">
        <x:v>Coleção principal (~1:64)</x:v>
      </x:c>
      <x:c r="W427" s="82" t="str">
        <x:v>https://hotwheels.fandom.com/wiki/Ferrari_F512M</x:v>
      </x:c>
      <x:c r="X427" s="82" t="str">
        <x:v>https://hotwheels.fandom.com/wiki/Ferrari_F512M</x:v>
      </x:c>
    </x:row>
    <x:row r="428">
      <x:c r="A428" s="80" t="str">
        <x:v>Não</x:v>
      </x:c>
      <x:c r="B428" s="80" t="str">
        <x:v>2 — Completar aos poucos</x:v>
      </x:c>
      <x:c r="C428" s="81" t="n">
        <x:v>2000</x:v>
      </x:c>
      <x:c r="D428" s="80" t="str">
        <x:v>Racebait 308</x:v>
      </x:c>
      <x:c r="E428" s="80" t="str">
        <x:v>Racebait 308</x:v>
      </x:c>
      <x:c r="F428" s="82" t="str">
        <x:v>Tornado Twister 5-Pack</x:v>
      </x:c>
      <x:c r="G428" s="80" t="str"/>
      <x:c r="H428" s="80" t="str"/>
      <x:c r="I428" s="83" t="str">
        <x:v>25367</x:v>
      </x:c>
      <x:c r="J428" s="80" t="str">
        <x:v>Yellow</x:v>
      </x:c>
      <x:c r="K428" s="82" t="str">
        <x:v>Gray Hot Wheels Logo right side only, gray "twister" orange, black and gray waves on sides</x:v>
      </x:c>
      <x:c r="L428" s="82" t="str">
        <x:v>5SP</x:v>
      </x:c>
      <x:c r="M428" s="82" t="str">
        <x:v>Yellow / / / Metal</x:v>
      </x:c>
      <x:c r="N428" s="82" t="str">
        <x:v>Clear</x:v>
      </x:c>
      <x:c r="O428" s="82" t="str">
        <x:v>Black</x:v>
      </x:c>
      <x:c r="P428" s="82" t="str">
        <x:v>Thailand</x:v>
      </x:c>
      <x:c r="Q428" s="82" t="str"/>
      <x:c r="R428" s="82" t="str">
        <x:v>Temática / multipack</x:v>
      </x:c>
      <x:c r="S428" s="82" t="str">
        <x:v>Incomum</x:v>
      </x:c>
      <x:c r="T428" s="82" t="str">
        <x:v>Lançado</x:v>
      </x:c>
      <x:c r="U428" s="82" t="str"/>
      <x:c r="V428" s="80" t="str">
        <x:v>Coleção principal (~1:64)</x:v>
      </x:c>
      <x:c r="W428" s="82" t="str">
        <x:v>https://hotwheels.fandom.com/wiki/Racebait_308</x:v>
      </x:c>
      <x:c r="X428" s="82" t="str">
        <x:v>https://hotwheels.fandom.com/wiki/Racebait_308</x:v>
      </x:c>
    </x:row>
    <x:row r="429">
      <x:c r="A429" s="80" t="str">
        <x:v>Não</x:v>
      </x:c>
      <x:c r="B429" s="80" t="str">
        <x:v>2 — Completar aos poucos</x:v>
      </x:c>
      <x:c r="C429" s="81" t="n">
        <x:v>1999</x:v>
      </x:c>
      <x:c r="D429" s="80" t="str">
        <x:v>Ferrari 250</x:v>
      </x:c>
      <x:c r="E429" s="80" t="str">
        <x:v>Ferrari 250</x:v>
      </x:c>
      <x:c r="F429" s="82" t="str">
        <x:v>Show Biz 5-Pack</x:v>
      </x:c>
      <x:c r="G429" s="80" t="str"/>
      <x:c r="H429" s="80" t="str"/>
      <x:c r="I429" s="83" t="str">
        <x:v>21078</x:v>
      </x:c>
      <x:c r="J429" s="80" t="str">
        <x:v>Red</x:v>
      </x:c>
      <x:c r="K429" s="82" t="str">
        <x:v>Black &amp; Yellow Ferrari logo on hood &amp; rear quarter panels, Hot Wheels logo</x:v>
      </x:c>
      <x:c r="L429" s="82" t="str">
        <x:v>5SP</x:v>
      </x:c>
      <x:c r="M429" s="82" t="str">
        <x:v>Red / / / Plastic</x:v>
      </x:c>
      <x:c r="N429" s="82" t="str">
        <x:v>Clear</x:v>
      </x:c>
      <x:c r="O429" s="82" t="str">
        <x:v>Black</x:v>
      </x:c>
      <x:c r="P429" s="82" t="str">
        <x:v>Thailand</x:v>
      </x:c>
      <x:c r="Q429" s="82" t="str"/>
      <x:c r="R429" s="82" t="str">
        <x:v>Temática / multipack</x:v>
      </x:c>
      <x:c r="S429" s="82" t="str">
        <x:v>Rara</x:v>
      </x:c>
      <x:c r="T429" s="82" t="str">
        <x:v>Lançado</x:v>
      </x:c>
      <x:c r="U429" s="82" t="str"/>
      <x:c r="V429" s="80" t="str">
        <x:v>Coleção principal (~1:64)</x:v>
      </x:c>
      <x:c r="W429" s="82" t="str">
        <x:v>https://hotwheels.fandom.com/wiki/Ferrari_250</x:v>
      </x:c>
      <x:c r="X429" s="82" t="str">
        <x:v>https://hotwheels.fandom.com/wiki/Ferrari_250</x:v>
      </x:c>
    </x:row>
    <x:row r="430">
      <x:c r="A430" s="80" t="str">
        <x:v>Não</x:v>
      </x:c>
      <x:c r="B430" s="80" t="str">
        <x:v>2 — Completar aos poucos</x:v>
      </x:c>
      <x:c r="C430" s="81" t="n">
        <x:v>1999</x:v>
      </x:c>
      <x:c r="D430" s="80" t="str">
        <x:v>Ferrari 348</x:v>
      </x:c>
      <x:c r="E430" s="80" t="str">
        <x:v>Ferrari 348</x:v>
      </x:c>
      <x:c r="F430" s="82" t="str">
        <x:v>Ferrari Dealership Playset</x:v>
      </x:c>
      <x:c r="G430" s="80" t="str"/>
      <x:c r="H430" s="80" t="str"/>
      <x:c r="I430" s="83" t="str">
        <x:v>69553</x:v>
      </x:c>
      <x:c r="J430" s="80" t="str">
        <x:v>Red</x:v>
      </x:c>
      <x:c r="K430" s="82" t="str">
        <x:v>Ferrari Logo on hood</x:v>
      </x:c>
      <x:c r="L430" s="82" t="str">
        <x:v>5DOT</x:v>
      </x:c>
      <x:c r="M430" s="82" t="str">
        <x:v>Black / / / Plastic</x:v>
      </x:c>
      <x:c r="N430" s="82" t="str">
        <x:v>Clear</x:v>
      </x:c>
      <x:c r="O430" s="82" t="str">
        <x:v>Tan &amp; Black</x:v>
      </x:c>
      <x:c r="P430" s="82" t="str">
        <x:v>China</x:v>
      </x:c>
      <x:c r="Q430" s="82" t="str"/>
      <x:c r="R430" s="82" t="str">
        <x:v>Outra linha</x:v>
      </x:c>
      <x:c r="S430" s="82" t="str">
        <x:v>Rara</x:v>
      </x:c>
      <x:c r="T430" s="82" t="str">
        <x:v>Lançado</x:v>
      </x:c>
      <x:c r="U430" s="82" t="str"/>
      <x:c r="V430" s="80" t="str">
        <x:v>Coleção principal (~1:64)</x:v>
      </x:c>
      <x:c r="W430" s="82" t="str">
        <x:v>https://hotwheels.fandom.com/wiki/Ferrari_348</x:v>
      </x:c>
      <x:c r="X430" s="82" t="str">
        <x:v>https://hotwheels.fandom.com/wiki/Ferrari_348</x:v>
      </x:c>
    </x:row>
    <x:row r="431">
      <x:c r="A431" s="80" t="str">
        <x:v>Não</x:v>
      </x:c>
      <x:c r="B431" s="80" t="str">
        <x:v>2 — Completar aos poucos</x:v>
      </x:c>
      <x:c r="C431" s="81" t="n">
        <x:v>1999</x:v>
      </x:c>
      <x:c r="D431" s="80" t="str">
        <x:v>Ferrari 348</x:v>
      </x:c>
      <x:c r="E431" s="80" t="str">
        <x:v>Ferrari 348</x:v>
      </x:c>
      <x:c r="F431" s="82" t="str">
        <x:v>Mainline</x:v>
      </x:c>
      <x:c r="G431" s="80" t="str"/>
      <x:c r="H431" s="80" t="str">
        <x:v>993</x:v>
      </x:c>
      <x:c r="I431" s="83" t="str">
        <x:v>23803</x:v>
      </x:c>
      <x:c r="J431" s="80" t="str">
        <x:v>Yellow</x:v>
      </x:c>
      <x:c r="K431" s="82" t="str">
        <x:v>Black Ferrari Logo</x:v>
      </x:c>
      <x:c r="L431" s="82" t="str">
        <x:v>5SP</x:v>
      </x:c>
      <x:c r="M431" s="82" t="str">
        <x:v>Black / / / Plastic</x:v>
      </x:c>
      <x:c r="N431" s="82" t="str">
        <x:v>Black Tint</x:v>
      </x:c>
      <x:c r="O431" s="82" t="str">
        <x:v>Black &amp; Yellow</x:v>
      </x:c>
      <x:c r="P431" s="82" t="str">
        <x:v>Malaysia</x:v>
      </x:c>
      <x:c r="Q431" s="82" t="str"/>
      <x:c r="R431" s="82" t="str">
        <x:v>Mainline</x:v>
      </x:c>
      <x:c r="S431" s="82" t="str">
        <x:v>Rara</x:v>
      </x:c>
      <x:c r="T431" s="82" t="str">
        <x:v>Lançado</x:v>
      </x:c>
      <x:c r="U431" s="82" t="str"/>
      <x:c r="V431" s="80" t="str">
        <x:v>Coleção principal (~1:64)</x:v>
      </x:c>
      <x:c r="W431" s="82" t="str">
        <x:v>https://hotwheels.fandom.com/wiki/Ferrari_348</x:v>
      </x:c>
      <x:c r="X431" s="82" t="str">
        <x:v>https://hotwheels.fandom.com/wiki/Ferrari_348</x:v>
      </x:c>
    </x:row>
    <x:row r="432">
      <x:c r="A432" s="80" t="str">
        <x:v>Não</x:v>
      </x:c>
      <x:c r="B432" s="80" t="str">
        <x:v>2 — Completar aos poucos</x:v>
      </x:c>
      <x:c r="C432" s="81" t="n">
        <x:v>1999</x:v>
      </x:c>
      <x:c r="D432" s="80" t="str">
        <x:v>Ferrari 360 Modena</x:v>
      </x:c>
      <x:c r="E432" s="80" t="str">
        <x:v>Ferrari 360 Modena</x:v>
      </x:c>
      <x:c r="F432" s="82" t="str">
        <x:v>1999 First Editions / 21/26</x:v>
      </x:c>
      <x:c r="G432" s="80" t="str"/>
      <x:c r="H432" s="80" t="str">
        <x:v>1113</x:v>
      </x:c>
      <x:c r="I432" s="83" t="str">
        <x:v>23902</x:v>
      </x:c>
      <x:c r="J432" s="80" t="str">
        <x:v>Red</x:v>
      </x:c>
      <x:c r="K432" s="82" t="str">
        <x:v>Ferrari logo on front, HW logo on rear</x:v>
      </x:c>
      <x:c r="L432" s="82" t="str">
        <x:v>5SP</x:v>
      </x:c>
      <x:c r="M432" s="82" t="str">
        <x:v>Matte Black / / / Metal</x:v>
      </x:c>
      <x:c r="N432" s="82" t="str">
        <x:v>Clear</x:v>
      </x:c>
      <x:c r="O432" s="82" t="str">
        <x:v>Black</x:v>
      </x:c>
      <x:c r="P432" s="82" t="str">
        <x:v>Malaysia</x:v>
      </x:c>
      <x:c r="Q432" s="82" t="str"/>
      <x:c r="R432" s="82" t="str">
        <x:v>Mainline</x:v>
      </x:c>
      <x:c r="S432" s="82" t="str">
        <x:v>Rara</x:v>
      </x:c>
      <x:c r="T432" s="82" t="str">
        <x:v>Lançado</x:v>
      </x:c>
      <x:c r="U432" s="82" t="str">
        <x:v>Ferrari 360 Modena or 360 Modena on card</x:v>
      </x:c>
      <x:c r="V432" s="80" t="str">
        <x:v>Coleção principal (~1:64)</x:v>
      </x:c>
      <x:c r="W432" s="82" t="str">
        <x:v>https://hotwheels.fandom.com/wiki/Ferrari_360_Modena</x:v>
      </x:c>
      <x:c r="X432" s="82" t="str">
        <x:v>https://hotwheels.fandom.com/wiki/Ferrari_360_Modena</x:v>
      </x:c>
    </x:row>
    <x:row r="433">
      <x:c r="A433" s="80" t="str">
        <x:v>Não</x:v>
      </x:c>
      <x:c r="B433" s="80" t="str">
        <x:v>2 — Completar aos poucos</x:v>
      </x:c>
      <x:c r="C433" s="81" t="n">
        <x:v>1999</x:v>
      </x:c>
      <x:c r="D433" s="80" t="str">
        <x:v>Ferrari 360 Modena</x:v>
      </x:c>
      <x:c r="E433" s="80" t="str">
        <x:v>Ferrari 360 Modena</x:v>
      </x:c>
      <x:c r="F433" s="82" t="str">
        <x:v>1999 First Editions / 21/26</x:v>
      </x:c>
      <x:c r="G433" s="80" t="str"/>
      <x:c r="H433" s="80" t="str">
        <x:v>1113</x:v>
      </x:c>
      <x:c r="I433" s="83" t="str">
        <x:v>23902</x:v>
      </x:c>
      <x:c r="J433" s="80" t="str">
        <x:v>Red</x:v>
      </x:c>
      <x:c r="K433" s="82" t="str">
        <x:v>Ferrari logo on front, HW logo on rear</x:v>
      </x:c>
      <x:c r="L433" s="82" t="str">
        <x:v>5DOT</x:v>
      </x:c>
      <x:c r="M433" s="82" t="str">
        <x:v>Matte Black / / / Metal</x:v>
      </x:c>
      <x:c r="N433" s="82" t="str">
        <x:v>Clear</x:v>
      </x:c>
      <x:c r="O433" s="82" t="str">
        <x:v>Black</x:v>
      </x:c>
      <x:c r="P433" s="82" t="str">
        <x:v>Malaysia</x:v>
      </x:c>
      <x:c r="Q433" s="82" t="str"/>
      <x:c r="R433" s="82" t="str">
        <x:v>Mainline</x:v>
      </x:c>
      <x:c r="S433" s="82" t="str">
        <x:v>Rara</x:v>
      </x:c>
      <x:c r="T433" s="82" t="str">
        <x:v>Lançado</x:v>
      </x:c>
      <x:c r="U433" s="82" t="str">
        <x:v>Ferrari 360 Modena or 360 Modena on card</x:v>
      </x:c>
      <x:c r="V433" s="80" t="str">
        <x:v>Coleção principal (~1:64)</x:v>
      </x:c>
      <x:c r="W433" s="82" t="str">
        <x:v>https://hotwheels.fandom.com/wiki/Ferrari_360_Modena</x:v>
      </x:c>
      <x:c r="X433" s="82" t="str">
        <x:v>https://hotwheels.fandom.com/wiki/Ferrari_360_Modena</x:v>
      </x:c>
    </x:row>
    <x:row r="434">
      <x:c r="A434" s="80" t="str">
        <x:v>Não</x:v>
      </x:c>
      <x:c r="B434" s="80" t="str">
        <x:v>2 — Completar aos poucos</x:v>
      </x:c>
      <x:c r="C434" s="81" t="n">
        <x:v>1999</x:v>
      </x:c>
      <x:c r="D434" s="80" t="str">
        <x:v>Ferrari 456M</x:v>
      </x:c>
      <x:c r="E434" s="80" t="str">
        <x:v>Ferrari 456M</x:v>
      </x:c>
      <x:c r="F434" s="82" t="str">
        <x:v>Mainline</x:v>
      </x:c>
      <x:c r="G434" s="80" t="str"/>
      <x:c r="H434" s="80" t="str">
        <x:v>1118</x:v>
      </x:c>
      <x:c r="I434" s="83" t="str">
        <x:v>23930</x:v>
      </x:c>
      <x:c r="J434" s="80" t="str">
        <x:v>Red</x:v>
      </x:c>
      <x:c r="K434" s="82" t="str">
        <x:v>Ferrari logo on front, Yellow HW logo on rear</x:v>
      </x:c>
      <x:c r="L434" s="82" t="str">
        <x:v>5SP</x:v>
      </x:c>
      <x:c r="M434" s="82" t="str">
        <x:v>unpainted / / / Metal</x:v>
      </x:c>
      <x:c r="N434" s="82" t="str">
        <x:v>Clear</x:v>
      </x:c>
      <x:c r="O434" s="82" t="str">
        <x:v>Tan</x:v>
      </x:c>
      <x:c r="P434" s="82" t="str">
        <x:v>Malaysia</x:v>
      </x:c>
      <x:c r="Q434" s="82" t="str"/>
      <x:c r="R434" s="82" t="str">
        <x:v>Mainline</x:v>
      </x:c>
      <x:c r="S434" s="82" t="str">
        <x:v>Rara</x:v>
      </x:c>
      <x:c r="T434" s="82" t="str">
        <x:v>Lançado</x:v>
      </x:c>
      <x:c r="U434" s="82" t="str"/>
      <x:c r="V434" s="80" t="str">
        <x:v>Coleção principal (~1:64)</x:v>
      </x:c>
      <x:c r="W434" s="82" t="str">
        <x:v>https://hotwheels.fandom.com/wiki/Ferrari_456M</x:v>
      </x:c>
      <x:c r="X434" s="82" t="str">
        <x:v>https://hotwheels.fandom.com/wiki/Ferrari_456M</x:v>
      </x:c>
    </x:row>
    <x:row r="435">
      <x:c r="A435" s="80" t="str">
        <x:v>Não</x:v>
      </x:c>
      <x:c r="B435" s="80" t="str">
        <x:v>2 — Completar aos poucos</x:v>
      </x:c>
      <x:c r="C435" s="81" t="n">
        <x:v>1999</x:v>
      </x:c>
      <x:c r="D435" s="80" t="str">
        <x:v>Ferrari F355</x:v>
      </x:c>
      <x:c r="E435" s="80" t="str">
        <x:v>Ferrari F355</x:v>
      </x:c>
      <x:c r="F435" s="82" t="str">
        <x:v>Mainline</x:v>
      </x:c>
      <x:c r="G435" s="80" t="str"/>
      <x:c r="H435" s="80" t="str">
        <x:v>1094</x:v>
      </x:c>
      <x:c r="I435" s="83" t="str">
        <x:v>24108</x:v>
      </x:c>
      <x:c r="J435" s="80" t="str">
        <x:v>Red</x:v>
      </x:c>
      <x:c r="K435" s="82" t="str">
        <x:v>Yellow and Black Ferrari Logo</x:v>
      </x:c>
      <x:c r="L435" s="82" t="str">
        <x:v>5SP</x:v>
      </x:c>
      <x:c r="M435" s="82" t="str">
        <x:v>Unpainted / / / Metal</x:v>
      </x:c>
      <x:c r="N435" s="82" t="str">
        <x:v>Clear</x:v>
      </x:c>
      <x:c r="O435" s="82" t="str">
        <x:v>Black</x:v>
      </x:c>
      <x:c r="P435" s="82" t="str">
        <x:v>Malaysia</x:v>
      </x:c>
      <x:c r="Q435" s="82" t="str"/>
      <x:c r="R435" s="82" t="str">
        <x:v>Mainline</x:v>
      </x:c>
      <x:c r="S435" s="82" t="str">
        <x:v>Rara</x:v>
      </x:c>
      <x:c r="T435" s="82" t="str">
        <x:v>Lançado</x:v>
      </x:c>
      <x:c r="U435" s="82" t="str"/>
      <x:c r="V435" s="80" t="str">
        <x:v>Coleção principal (~1:64)</x:v>
      </x:c>
      <x:c r="W435" s="82" t="str">
        <x:v>https://hotwheels.fandom.com/wiki/Ferrari_F355</x:v>
      </x:c>
      <x:c r="X435" s="82" t="str">
        <x:v>https://hotwheels.fandom.com/wiki/Ferrari_F355</x:v>
      </x:c>
    </x:row>
    <x:row r="436">
      <x:c r="A436" s="80" t="str">
        <x:v>Não</x:v>
      </x:c>
      <x:c r="B436" s="80" t="str">
        <x:v>2 — Completar aos poucos</x:v>
      </x:c>
      <x:c r="C436" s="81" t="n">
        <x:v>1999</x:v>
      </x:c>
      <x:c r="D436" s="80" t="str">
        <x:v>Ferrari F355 Challenge</x:v>
      </x:c>
      <x:c r="E436" s="80" t="str">
        <x:v>Ferrari F355 Challenge</x:v>
      </x:c>
      <x:c r="F436" s="82" t="str">
        <x:v>Mainline</x:v>
      </x:c>
      <x:c r="G436" s="80" t="str"/>
      <x:c r="H436" s="80" t="str">
        <x:v>1115</x:v>
      </x:c>
      <x:c r="I436" s="83" t="str">
        <x:v>23903</x:v>
      </x:c>
      <x:c r="J436" s="80" t="str">
        <x:v>Gray</x:v>
      </x:c>
      <x:c r="K436" s="82" t="str">
        <x:v>Ferrari Logo on Hood. 1 Green, 1 White &amp; 1 Red Strioe across the top. Shell logo. "Assitalia", "7", various sponsor logos.</x:v>
      </x:c>
      <x:c r="L436" s="82" t="str">
        <x:v>Chrome 5SP</x:v>
      </x:c>
      <x:c r="M436" s="82" t="str">
        <x:v>Unpainted / Metal</x:v>
      </x:c>
      <x:c r="N436" s="82" t="str">
        <x:v>Tinted</x:v>
      </x:c>
      <x:c r="O436" s="82" t="str">
        <x:v>Black</x:v>
      </x:c>
      <x:c r="P436" s="82" t="str">
        <x:v>Malaysia</x:v>
      </x:c>
      <x:c r="Q436" s="82" t="str"/>
      <x:c r="R436" s="82" t="str">
        <x:v>Mainline</x:v>
      </x:c>
      <x:c r="S436" s="82" t="str">
        <x:v>Rara</x:v>
      </x:c>
      <x:c r="T436" s="82" t="str">
        <x:v>Lançado</x:v>
      </x:c>
      <x:c r="U436" s="82" t="str"/>
      <x:c r="V436" s="80" t="str">
        <x:v>Coleção principal (~1:64)</x:v>
      </x:c>
      <x:c r="W436" s="82" t="str">
        <x:v>https://hotwheels.fandom.com/wiki/Ferrari_F355_Challenge</x:v>
      </x:c>
      <x:c r="X436" s="82" t="str">
        <x:v>https://hotwheels.fandom.com/wiki/Ferrari_F355_Challenge</x:v>
      </x:c>
    </x:row>
    <x:row r="437">
      <x:c r="A437" s="80" t="str">
        <x:v>Não</x:v>
      </x:c>
      <x:c r="B437" s="80" t="str">
        <x:v>2 — Completar aos poucos</x:v>
      </x:c>
      <x:c r="C437" s="81" t="n">
        <x:v>1999</x:v>
      </x:c>
      <x:c r="D437" s="80" t="str">
        <x:v>Ferrari F355 Challenge</x:v>
      </x:c>
      <x:c r="E437" s="80" t="str">
        <x:v>Ferrari F355 Challenge</x:v>
      </x:c>
      <x:c r="F437" s="82" t="str">
        <x:v>Mainline</x:v>
      </x:c>
      <x:c r="G437" s="80" t="str"/>
      <x:c r="H437" s="80" t="str">
        <x:v>1115</x:v>
      </x:c>
      <x:c r="I437" s="83" t="str">
        <x:v>23903</x:v>
      </x:c>
      <x:c r="J437" s="80" t="str">
        <x:v>Gray</x:v>
      </x:c>
      <x:c r="K437" s="82" t="str">
        <x:v>Ferrari Logo on Hood. 1 Green, 1 White &amp; 1 Red Strioe across the top. Shell logo. "Assitalia", "7", various sponsor logos.</x:v>
      </x:c>
      <x:c r="L437" s="82" t="str">
        <x:v>5DOT</x:v>
      </x:c>
      <x:c r="M437" s="82" t="str">
        <x:v>Unpainted / Metal</x:v>
      </x:c>
      <x:c r="N437" s="82" t="str">
        <x:v>Tinted</x:v>
      </x:c>
      <x:c r="O437" s="82" t="str">
        <x:v>Black</x:v>
      </x:c>
      <x:c r="P437" s="82" t="str">
        <x:v>Malaysia</x:v>
      </x:c>
      <x:c r="Q437" s="82" t="str"/>
      <x:c r="R437" s="82" t="str">
        <x:v>Mainline</x:v>
      </x:c>
      <x:c r="S437" s="82" t="str">
        <x:v>Rara</x:v>
      </x:c>
      <x:c r="T437" s="82" t="str">
        <x:v>Lançado</x:v>
      </x:c>
      <x:c r="U437" s="82" t="str"/>
      <x:c r="V437" s="80" t="str">
        <x:v>Coleção principal (~1:64)</x:v>
      </x:c>
      <x:c r="W437" s="82" t="str">
        <x:v>https://hotwheels.fandom.com/wiki/Ferrari_F355_Challenge</x:v>
      </x:c>
      <x:c r="X437" s="82" t="str">
        <x:v>https://hotwheels.fandom.com/wiki/Ferrari_F355_Challenge</x:v>
      </x:c>
    </x:row>
    <x:row r="438">
      <x:c r="A438" s="80" t="str">
        <x:v>Não</x:v>
      </x:c>
      <x:c r="B438" s="80" t="str">
        <x:v>2 — Completar aos poucos</x:v>
      </x:c>
      <x:c r="C438" s="81" t="n">
        <x:v>1999</x:v>
      </x:c>
      <x:c r="D438" s="80" t="str">
        <x:v>Ferrari F355 Spider</x:v>
      </x:c>
      <x:c r="E438" s="80" t="str">
        <x:v>Ferrari F355 Spider</x:v>
      </x:c>
      <x:c r="F438" s="82" t="str">
        <x:v>Mainline</x:v>
      </x:c>
      <x:c r="G438" s="80" t="str"/>
      <x:c r="H438" s="80" t="str">
        <x:v>1119</x:v>
      </x:c>
      <x:c r="I438" s="83" t="str">
        <x:v>23931</x:v>
      </x:c>
      <x:c r="J438" s="80" t="str">
        <x:v>Red</x:v>
      </x:c>
      <x:c r="K438" s="82" t="str">
        <x:v>Yellow Black Ferrari Logo</x:v>
      </x:c>
      <x:c r="L438" s="82" t="str">
        <x:v>5SP</x:v>
      </x:c>
      <x:c r="M438" s="82" t="str">
        <x:v>Unpainted / / / Metal</x:v>
      </x:c>
      <x:c r="N438" s="82" t="str">
        <x:v>Clear</x:v>
      </x:c>
      <x:c r="O438" s="82" t="str">
        <x:v>Tan</x:v>
      </x:c>
      <x:c r="P438" s="82" t="str">
        <x:v>Malaysia</x:v>
      </x:c>
      <x:c r="Q438" s="82" t="str"/>
      <x:c r="R438" s="82" t="str">
        <x:v>Mainline</x:v>
      </x:c>
      <x:c r="S438" s="82" t="str">
        <x:v>Rara</x:v>
      </x:c>
      <x:c r="T438" s="82" t="str">
        <x:v>Lançado</x:v>
      </x:c>
      <x:c r="U438" s="82" t="str"/>
      <x:c r="V438" s="80" t="str">
        <x:v>Coleção principal (~1:64)</x:v>
      </x:c>
      <x:c r="W438" s="82" t="str">
        <x:v>https://hotwheels.fandom.com/wiki/Ferrari_F355_Spider</x:v>
      </x:c>
      <x:c r="X438" s="82" t="str">
        <x:v>https://hotwheels.fandom.com/wiki/Ferrari_F355_Spider</x:v>
      </x:c>
    </x:row>
    <x:row r="439">
      <x:c r="A439" s="80" t="str">
        <x:v>Não</x:v>
      </x:c>
      <x:c r="B439" s="80" t="str">
        <x:v>2 — Completar aos poucos</x:v>
      </x:c>
      <x:c r="C439" s="81" t="n">
        <x:v>1999</x:v>
      </x:c>
      <x:c r="D439" s="80" t="str">
        <x:v>Ferrari F40</x:v>
      </x:c>
      <x:c r="E439" s="80" t="str">
        <x:v>Ferrari F40</x:v>
      </x:c>
      <x:c r="F439" s="82" t="str">
        <x:v>Mainline</x:v>
      </x:c>
      <x:c r="G439" s="80" t="str"/>
      <x:c r="H439" s="80" t="str">
        <x:v>1003</x:v>
      </x:c>
      <x:c r="I439" s="83" t="str">
        <x:v>23813</x:v>
      </x:c>
      <x:c r="J439" s="80" t="str">
        <x:v>Black</x:v>
      </x:c>
      <x:c r="K439" s="82" t="str">
        <x:v>Yellow &amp; Black "Ferrari" logo on hood</x:v>
      </x:c>
      <x:c r="L439" s="82" t="str">
        <x:v>5SP</x:v>
      </x:c>
      <x:c r="M439" s="82" t="str">
        <x:v>ZAMAC</x:v>
      </x:c>
      <x:c r="N439" s="82" t="str">
        <x:v>Smoke tint</x:v>
      </x:c>
      <x:c r="O439" s="82" t="str">
        <x:v>Red</x:v>
      </x:c>
      <x:c r="P439" s="82" t="str">
        <x:v>Malaysia</x:v>
      </x:c>
      <x:c r="Q439" s="82" t="str"/>
      <x:c r="R439" s="82" t="str">
        <x:v>Mainline</x:v>
      </x:c>
      <x:c r="S439" s="82" t="str">
        <x:v>Rara</x:v>
      </x:c>
      <x:c r="T439" s="82" t="str">
        <x:v>Lançado</x:v>
      </x:c>
      <x:c r="U439" s="82" t="str"/>
      <x:c r="V439" s="80" t="str">
        <x:v>Coleção principal (~1:64)</x:v>
      </x:c>
      <x:c r="W439" s="82" t="str">
        <x:v>https://hotwheels.fandom.com/wiki/Ferrari_F40</x:v>
      </x:c>
      <x:c r="X439" s="82" t="str">
        <x:v>https://hotwheels.fandom.com/wiki/Ferrari_F40</x:v>
      </x:c>
    </x:row>
    <x:row r="440">
      <x:c r="A440" s="80" t="str">
        <x:v>Não</x:v>
      </x:c>
      <x:c r="B440" s="80" t="str">
        <x:v>2 — Completar aos poucos</x:v>
      </x:c>
      <x:c r="C440" s="81" t="n">
        <x:v>1999</x:v>
      </x:c>
      <x:c r="D440" s="80" t="str">
        <x:v>Ferrari F40</x:v>
      </x:c>
      <x:c r="E440" s="80" t="str">
        <x:v>Ferrari F40</x:v>
      </x:c>
      <x:c r="F440" s="82" t="str">
        <x:v>Mainline</x:v>
      </x:c>
      <x:c r="G440" s="80" t="str"/>
      <x:c r="H440" s="80" t="str">
        <x:v>1003</x:v>
      </x:c>
      <x:c r="I440" s="83" t="str">
        <x:v>23813</x:v>
      </x:c>
      <x:c r="J440" s="80" t="str">
        <x:v>Black</x:v>
      </x:c>
      <x:c r="K440" s="82" t="str">
        <x:v>Yellow &amp; Black "Ferrari" logo on hood</x:v>
      </x:c>
      <x:c r="L440" s="82" t="str">
        <x:v>5DOT</x:v>
      </x:c>
      <x:c r="M440" s="82" t="str">
        <x:v>ZAMAC</x:v>
      </x:c>
      <x:c r="N440" s="82" t="str">
        <x:v>Smoke tint</x:v>
      </x:c>
      <x:c r="O440" s="82" t="str">
        <x:v>Red</x:v>
      </x:c>
      <x:c r="P440" s="82" t="str">
        <x:v>Malaysia</x:v>
      </x:c>
      <x:c r="Q440" s="82" t="str"/>
      <x:c r="R440" s="82" t="str">
        <x:v>Mainline</x:v>
      </x:c>
      <x:c r="S440" s="82" t="str">
        <x:v>Rara</x:v>
      </x:c>
      <x:c r="T440" s="82" t="str">
        <x:v>Lançado</x:v>
      </x:c>
      <x:c r="U440" s="82" t="str"/>
      <x:c r="V440" s="80" t="str">
        <x:v>Coleção principal (~1:64)</x:v>
      </x:c>
      <x:c r="W440" s="82" t="str">
        <x:v>https://hotwheels.fandom.com/wiki/Ferrari_F40</x:v>
      </x:c>
      <x:c r="X440" s="82" t="str">
        <x:v>https://hotwheels.fandom.com/wiki/Ferrari_F40</x:v>
      </x:c>
    </x:row>
    <x:row r="441">
      <x:c r="A441" s="80" t="str">
        <x:v>Não</x:v>
      </x:c>
      <x:c r="B441" s="80" t="str">
        <x:v>2 — Completar aos poucos</x:v>
      </x:c>
      <x:c r="C441" s="81" t="n">
        <x:v>1999</x:v>
      </x:c>
      <x:c r="D441" s="80" t="str">
        <x:v>Ferrari F50 (Motorized X-V Racers)</x:v>
      </x:c>
      <x:c r="E441" s="80" t="str">
        <x:v>Ferrari F50</x:v>
      </x:c>
      <x:c r="F441" s="82" t="str">
        <x:v>Motorized X-V Racers</x:v>
      </x:c>
      <x:c r="G441" s="80" t="str"/>
      <x:c r="H441" s="80" t="str"/>
      <x:c r="I441" s="83" t="str">
        <x:v>88188</x:v>
      </x:c>
      <x:c r="J441" s="80" t="str">
        <x:v>Red</x:v>
      </x:c>
      <x:c r="K441" s="82" t="str">
        <x:v>Ferrari shield</x:v>
      </x:c>
      <x:c r="L441" s="82" t="str">
        <x:v>MXV</x:v>
      </x:c>
      <x:c r="M441" s="82" t="str">
        <x:v>Black / Plastic</x:v>
      </x:c>
      <x:c r="N441" s="82" t="str">
        <x:v>Black</x:v>
      </x:c>
      <x:c r="O441" s="82" t="str">
        <x:v>None</x:v>
      </x:c>
      <x:c r="P441" s="82" t="str">
        <x:v>China</x:v>
      </x:c>
      <x:c r="Q441" s="82" t="str"/>
      <x:c r="R441" s="82" t="str">
        <x:v>Outra linha</x:v>
      </x:c>
      <x:c r="S441" s="82" t="str">
        <x:v>Rara</x:v>
      </x:c>
      <x:c r="T441" s="82" t="str">
        <x:v>Lançado</x:v>
      </x:c>
      <x:c r="U441" s="82" t="str"/>
      <x:c r="V441" s="80" t="str">
        <x:v>Coleção principal (~1:64)</x:v>
      </x:c>
      <x:c r="W441" s="82" t="str">
        <x:v>https://hotwheels.fandom.com/wiki/Ferrari_F50_(Motorized_X-V_Racers)</x:v>
      </x:c>
      <x:c r="X441" s="82" t="str">
        <x:v>https://hotwheels.fandom.com/wiki/Ferrari_F50_(Motorized_X-V_Racers)</x:v>
      </x:c>
    </x:row>
    <x:row r="442">
      <x:c r="A442" s="80" t="str">
        <x:v>Não</x:v>
      </x:c>
      <x:c r="B442" s="80" t="str">
        <x:v>2 — Completar aos poucos</x:v>
      </x:c>
      <x:c r="C442" s="81" t="n">
        <x:v>1999</x:v>
      </x:c>
      <x:c r="D442" s="80" t="str">
        <x:v>Ferrari F50 (Motorized X-V Racers)</x:v>
      </x:c>
      <x:c r="E442" s="80" t="str">
        <x:v>Ferrari F50</x:v>
      </x:c>
      <x:c r="F442" s="82" t="str">
        <x:v>Motorized X-V Racers</x:v>
      </x:c>
      <x:c r="G442" s="80" t="str"/>
      <x:c r="H442" s="80" t="str"/>
      <x:c r="I442" s="83" t="str">
        <x:v>88189</x:v>
      </x:c>
      <x:c r="J442" s="80" t="str">
        <x:v>Silver</x:v>
      </x:c>
      <x:c r="K442" s="82" t="str">
        <x:v>Ferrari shield</x:v>
      </x:c>
      <x:c r="L442" s="82" t="str">
        <x:v>MXV</x:v>
      </x:c>
      <x:c r="M442" s="82" t="str">
        <x:v>Black / Plastic</x:v>
      </x:c>
      <x:c r="N442" s="82" t="str">
        <x:v>Black</x:v>
      </x:c>
      <x:c r="O442" s="82" t="str">
        <x:v>None</x:v>
      </x:c>
      <x:c r="P442" s="82" t="str">
        <x:v>China</x:v>
      </x:c>
      <x:c r="Q442" s="82" t="str"/>
      <x:c r="R442" s="82" t="str">
        <x:v>Outra linha</x:v>
      </x:c>
      <x:c r="S442" s="82" t="str">
        <x:v>Rara</x:v>
      </x:c>
      <x:c r="T442" s="82" t="str">
        <x:v>Lançado</x:v>
      </x:c>
      <x:c r="U442" s="82" t="str"/>
      <x:c r="V442" s="80" t="str">
        <x:v>Coleção principal (~1:64)</x:v>
      </x:c>
      <x:c r="W442" s="82" t="str">
        <x:v>https://hotwheels.fandom.com/wiki/Ferrari_F50_(Motorized_X-V_Racers)</x:v>
      </x:c>
      <x:c r="X442" s="82" t="str">
        <x:v>https://hotwheels.fandom.com/wiki/Ferrari_F50_(Motorized_X-V_Racers)</x:v>
      </x:c>
    </x:row>
    <x:row r="443">
      <x:c r="A443" s="80" t="str">
        <x:v>Não</x:v>
      </x:c>
      <x:c r="B443" s="80" t="str">
        <x:v>2 — Completar aos poucos</x:v>
      </x:c>
      <x:c r="C443" s="81" t="n">
        <x:v>1999</x:v>
      </x:c>
      <x:c r="D443" s="80" t="str">
        <x:v>Ferrari F50 Challenge</x:v>
      </x:c>
      <x:c r="E443" s="80" t="str">
        <x:v>Ferrari F50 Challenge</x:v>
      </x:c>
      <x:c r="F443" s="82" t="str">
        <x:v>Mainline</x:v>
      </x:c>
      <x:c r="G443" s="80" t="str"/>
      <x:c r="H443" s="80" t="str">
        <x:v>1120</x:v>
      </x:c>
      <x:c r="I443" s="83" t="str">
        <x:v>23932</x:v>
      </x:c>
      <x:c r="J443" s="80" t="str">
        <x:v>Red</x:v>
      </x:c>
      <x:c r="K443" s="82" t="str">
        <x:v>Ferrari Logo on Side &amp; Hood</x:v>
      </x:c>
      <x:c r="L443" s="82" t="str">
        <x:v>5SP</x:v>
      </x:c>
      <x:c r="M443" s="82" t="str">
        <x:v>Black / / / Metal</x:v>
      </x:c>
      <x:c r="N443" s="82" t="str">
        <x:v>Clear</x:v>
      </x:c>
      <x:c r="O443" s="82" t="str">
        <x:v>Black</x:v>
      </x:c>
      <x:c r="P443" s="82" t="str">
        <x:v>Malaysia</x:v>
      </x:c>
      <x:c r="Q443" s="82" t="str"/>
      <x:c r="R443" s="82" t="str">
        <x:v>Mainline</x:v>
      </x:c>
      <x:c r="S443" s="82" t="str">
        <x:v>Rara</x:v>
      </x:c>
      <x:c r="T443" s="82" t="str">
        <x:v>Lançado</x:v>
      </x:c>
      <x:c r="U443" s="82" t="str"/>
      <x:c r="V443" s="80" t="str">
        <x:v>Coleção principal (~1:64)</x:v>
      </x:c>
      <x:c r="W443" s="82" t="str">
        <x:v>https://hotwheels.fandom.com/wiki/Ferrari_F50_Challenge</x:v>
      </x:c>
      <x:c r="X443" s="82" t="str">
        <x:v>https://hotwheels.fandom.com/wiki/Ferrari_F50_Challenge</x:v>
      </x:c>
    </x:row>
    <x:row r="444">
      <x:c r="A444" s="80" t="str">
        <x:v>Não</x:v>
      </x:c>
      <x:c r="B444" s="80" t="str">
        <x:v>2 — Completar aos poucos</x:v>
      </x:c>
      <x:c r="C444" s="81" t="n">
        <x:v>1999</x:v>
      </x:c>
      <x:c r="D444" s="80" t="str">
        <x:v>Ferrari F50 Spider</x:v>
      </x:c>
      <x:c r="E444" s="80" t="str">
        <x:v>Ferrari F50 Spider</x:v>
      </x:c>
      <x:c r="F444" s="82" t="str">
        <x:v>White stripe #5961</x:v>
      </x:c>
      <x:c r="G444" s="80" t="str"/>
      <x:c r="H444" s="80" t="str"/>
      <x:c r="I444" s="83" t="str">
        <x:v>#5961</x:v>
      </x:c>
      <x:c r="J444" s="80" t="str">
        <x:v>Red</x:v>
      </x:c>
      <x:c r="K444" s="82" t="str">
        <x:v>White "G" over🔻, Yellow "Stunt Machines" "Team Leaders" on sides</x:v>
      </x:c>
      <x:c r="L444" s="82" t="str">
        <x:v>SB</x:v>
      </x:c>
      <x:c r="M444" s="82" t="str">
        <x:v>Black / / / Plastic</x:v>
      </x:c>
      <x:c r="N444" s="82" t="str">
        <x:v>Tinted</x:v>
      </x:c>
      <x:c r="O444" s="82" t="str">
        <x:v>Black</x:v>
      </x:c>
      <x:c r="P444" s="82" t="str">
        <x:v>India</x:v>
      </x:c>
      <x:c r="Q444" s="82" t="str"/>
      <x:c r="R444" s="82" t="str">
        <x:v>Outra linha</x:v>
      </x:c>
      <x:c r="S444" s="82" t="str">
        <x:v>Rara</x:v>
      </x:c>
      <x:c r="T444" s="82" t="str">
        <x:v>Lançado</x:v>
      </x:c>
      <x:c r="U444" s="82" t="str"/>
      <x:c r="V444" s="80" t="str">
        <x:v>Coleção principal (~1:64)</x:v>
      </x:c>
      <x:c r="W444" s="82" t="str">
        <x:v>https://hotwheels.fandom.com/wiki/Ferrari_F50_Spider</x:v>
      </x:c>
      <x:c r="X444" s="82" t="str">
        <x:v>https://hotwheels.fandom.com/wiki/Ferrari_F50_Spider</x:v>
      </x:c>
    </x:row>
    <x:row r="445">
      <x:c r="A445" s="80" t="str">
        <x:v>Não</x:v>
      </x:c>
      <x:c r="B445" s="80" t="str">
        <x:v>2 — Completar aos poucos</x:v>
      </x:c>
      <x:c r="C445" s="81" t="n">
        <x:v>1999</x:v>
      </x:c>
      <x:c r="D445" s="80" t="str">
        <x:v>Ferrari F512M</x:v>
      </x:c>
      <x:c r="E445" s="80" t="str">
        <x:v>Ferrari F512M</x:v>
      </x:c>
      <x:c r="F445" s="82" t="str">
        <x:v>Mainline</x:v>
      </x:c>
      <x:c r="G445" s="80" t="str"/>
      <x:c r="H445" s="80" t="str">
        <x:v>992</x:v>
      </x:c>
      <x:c r="I445" s="83" t="str">
        <x:v>23802</x:v>
      </x:c>
      <x:c r="J445" s="80" t="str">
        <x:v>Red</x:v>
      </x:c>
      <x:c r="K445" s="82" t="str">
        <x:v>Yellow &amp; Black Ferrari Logo on hood</x:v>
      </x:c>
      <x:c r="L445" s="82" t="str">
        <x:v>5SP</x:v>
      </x:c>
      <x:c r="M445" s="82" t="str">
        <x:v>Black / / / Metal</x:v>
      </x:c>
      <x:c r="N445" s="82" t="str">
        <x:v>Grey tint</x:v>
      </x:c>
      <x:c r="O445" s="82" t="str">
        <x:v>Tan</x:v>
      </x:c>
      <x:c r="P445" s="82" t="str">
        <x:v>Malaysia</x:v>
      </x:c>
      <x:c r="Q445" s="82" t="str"/>
      <x:c r="R445" s="82" t="str">
        <x:v>Mainline</x:v>
      </x:c>
      <x:c r="S445" s="82" t="str">
        <x:v>Rara</x:v>
      </x:c>
      <x:c r="T445" s="82" t="str">
        <x:v>Lançado</x:v>
      </x:c>
      <x:c r="U445" s="82" t="str"/>
      <x:c r="V445" s="80" t="str">
        <x:v>Coleção principal (~1:64)</x:v>
      </x:c>
      <x:c r="W445" s="82" t="str">
        <x:v>https://hotwheels.fandom.com/wiki/Ferrari_F512M</x:v>
      </x:c>
      <x:c r="X445" s="82" t="str">
        <x:v>https://hotwheels.fandom.com/wiki/Ferrari_F512M</x:v>
      </x:c>
    </x:row>
    <x:row r="446">
      <x:c r="A446" s="80" t="str">
        <x:v>Não</x:v>
      </x:c>
      <x:c r="B446" s="80" t="str">
        <x:v>2 — Completar aos poucos</x:v>
      </x:c>
      <x:c r="C446" s="81" t="n">
        <x:v>1999</x:v>
      </x:c>
      <x:c r="D446" s="80" t="str">
        <x:v>Ferrari F512M</x:v>
      </x:c>
      <x:c r="E446" s="80" t="str">
        <x:v>Ferrari F512M</x:v>
      </x:c>
      <x:c r="F446" s="82" t="str">
        <x:v>Treasure Hunt / 5/12</x:v>
      </x:c>
      <x:c r="G446" s="80" t="str"/>
      <x:c r="H446" s="80" t="str">
        <x:v>933</x:v>
      </x:c>
      <x:c r="I446" s="83" t="str">
        <x:v>21092</x:v>
      </x:c>
      <x:c r="J446" s="80" t="str">
        <x:v>Giallo Modena</x:v>
      </x:c>
      <x:c r="K446" s="82" t="str">
        <x:v>Ferrari emblem on front and rear, Silver, Black and Red light details</x:v>
      </x:c>
      <x:c r="L446" s="82" t="str">
        <x:v>PC5</x:v>
      </x:c>
      <x:c r="M446" s="82" t="str">
        <x:v>ZAMAC</x:v>
      </x:c>
      <x:c r="N446" s="82" t="str">
        <x:v>Clear</x:v>
      </x:c>
      <x:c r="O446" s="82" t="str">
        <x:v>Black</x:v>
      </x:c>
      <x:c r="P446" s="82" t="str">
        <x:v>Malaysia</x:v>
      </x:c>
      <x:c r="Q446" s="82" t="str">
        <x:v>Treasure Hunt</x:v>
      </x:c>
      <x:c r="R446" s="82" t="str">
        <x:v>Mainline especial</x:v>
      </x:c>
      <x:c r="S446" s="82" t="str">
        <x:v>Rara</x:v>
      </x:c>
      <x:c r="T446" s="82" t="str">
        <x:v>Lançado</x:v>
      </x:c>
      <x:c r="U446" s="82" t="str"/>
      <x:c r="V446" s="80" t="str">
        <x:v>Coleção principal (~1:64)</x:v>
      </x:c>
      <x:c r="W446" s="82" t="str">
        <x:v>https://hotwheels.fandom.com/wiki/Ferrari_F512M</x:v>
      </x:c>
      <x:c r="X446" s="82" t="str">
        <x:v>https://hotwheels.fandom.com/wiki/Ferrari_F512M</x:v>
      </x:c>
    </x:row>
    <x:row r="447">
      <x:c r="A447" s="80" t="str">
        <x:v>Não</x:v>
      </x:c>
      <x:c r="B447" s="80" t="str">
        <x:v>2 — Completar aos poucos</x:v>
      </x:c>
      <x:c r="C447" s="81" t="n">
        <x:v>1999</x:v>
      </x:c>
      <x:c r="D447" s="80" t="str">
        <x:v>Ferrari F512M</x:v>
      </x:c>
      <x:c r="E447" s="80" t="str">
        <x:v>Ferrari F512M</x:v>
      </x:c>
      <x:c r="F447" s="82" t="str">
        <x:v>Treasure Hunt / 5/12</x:v>
      </x:c>
      <x:c r="G447" s="80" t="str"/>
      <x:c r="H447" s="80" t="str">
        <x:v>933</x:v>
      </x:c>
      <x:c r="I447" s="83" t="str">
        <x:v>21092</x:v>
      </x:c>
      <x:c r="J447" s="80" t="str">
        <x:v>Giallo Modena</x:v>
      </x:c>
      <x:c r="K447" s="82" t="str">
        <x:v>Ferrari emblem on front and rear, Silver, Black and Red light details</x:v>
      </x:c>
      <x:c r="L447" s="82" t="str">
        <x:v>Rear: PC5 Front: PC6</x:v>
      </x:c>
      <x:c r="M447" s="82" t="str">
        <x:v>Unpainted / Metal</x:v>
      </x:c>
      <x:c r="N447" s="82" t="str">
        <x:v>Clear</x:v>
      </x:c>
      <x:c r="O447" s="82" t="str">
        <x:v>Black</x:v>
      </x:c>
      <x:c r="P447" s="82" t="str">
        <x:v>Malaysia</x:v>
      </x:c>
      <x:c r="Q447" s="82" t="str">
        <x:v>Treasure Hunt</x:v>
      </x:c>
      <x:c r="R447" s="82" t="str">
        <x:v>Mainline especial</x:v>
      </x:c>
      <x:c r="S447" s="82" t="str">
        <x:v>Rara</x:v>
      </x:c>
      <x:c r="T447" s="82" t="str">
        <x:v>Lançado</x:v>
      </x:c>
      <x:c r="U447" s="82" t="str"/>
      <x:c r="V447" s="80" t="str">
        <x:v>Coleção principal (~1:64)</x:v>
      </x:c>
      <x:c r="W447" s="82" t="str">
        <x:v>https://hotwheels.fandom.com/wiki/Ferrari_F512M</x:v>
      </x:c>
      <x:c r="X447" s="82" t="str">
        <x:v>https://hotwheels.fandom.com/wiki/Ferrari_F512M</x:v>
      </x:c>
    </x:row>
    <x:row r="448">
      <x:c r="A448" s="80" t="str">
        <x:v>Não</x:v>
      </x:c>
      <x:c r="B448" s="80" t="str">
        <x:v>2 — Completar aos poucos</x:v>
      </x:c>
      <x:c r="C448" s="81" t="n">
        <x:v>1998</x:v>
      </x:c>
      <x:c r="D448" s="80" t="str">
        <x:v>Ferrari 250</x:v>
      </x:c>
      <x:c r="E448" s="80" t="str">
        <x:v>Ferrari 250</x:v>
      </x:c>
      <x:c r="F448" s="82" t="str">
        <x:v>Mainline</x:v>
      </x:c>
      <x:c r="G448" s="80" t="str"/>
      <x:c r="H448" s="80" t="str">
        <x:v>866</x:v>
      </x:c>
      <x:c r="I448" s="83" t="str">
        <x:v>19559</x:v>
      </x:c>
      <x:c r="J448" s="80" t="str">
        <x:v>Metallic Gold</x:v>
      </x:c>
      <x:c r="K448" s="82" t="str">
        <x:v>Ferrari Logo on hood, 16 white with black circle and Classic Racer on black, Hot Wheels logo on right side only.</x:v>
      </x:c>
      <x:c r="L448" s="82" t="str">
        <x:v>LW</x:v>
      </x:c>
      <x:c r="M448" s="82" t="str">
        <x:v>Black / / / Plastic</x:v>
      </x:c>
      <x:c r="N448" s="82" t="str">
        <x:v>Tinted (Black)</x:v>
      </x:c>
      <x:c r="O448" s="82" t="str">
        <x:v>Black</x:v>
      </x:c>
      <x:c r="P448" s="82" t="str">
        <x:v>Malaysia or Thailand</x:v>
      </x:c>
      <x:c r="Q448" s="82" t="str"/>
      <x:c r="R448" s="82" t="str">
        <x:v>Mainline</x:v>
      </x:c>
      <x:c r="S448" s="82" t="str">
        <x:v>Rara</x:v>
      </x:c>
      <x:c r="T448" s="82" t="str">
        <x:v>Lançado</x:v>
      </x:c>
      <x:c r="U448" s="82" t="str"/>
      <x:c r="V448" s="80" t="str">
        <x:v>Coleção principal (~1:64)</x:v>
      </x:c>
      <x:c r="W448" s="82" t="str">
        <x:v>https://hotwheels.fandom.com/wiki/Ferrari_250</x:v>
      </x:c>
      <x:c r="X448" s="82" t="str">
        <x:v>https://hotwheels.fandom.com/wiki/Ferrari_250</x:v>
      </x:c>
    </x:row>
    <x:row r="449">
      <x:c r="A449" s="80" t="str">
        <x:v>Não</x:v>
      </x:c>
      <x:c r="B449" s="80" t="str">
        <x:v>2 — Completar aos poucos</x:v>
      </x:c>
      <x:c r="C449" s="81" t="n">
        <x:v>1998</x:v>
      </x:c>
      <x:c r="D449" s="80" t="str">
        <x:v>Ferrari 250</x:v>
      </x:c>
      <x:c r="E449" s="80" t="str">
        <x:v>Ferrari 250</x:v>
      </x:c>
      <x:c r="F449" s="82" t="str">
        <x:v>Showroom Specials 5-Pack</x:v>
      </x:c>
      <x:c r="G449" s="80" t="str"/>
      <x:c r="H449" s="80" t="str"/>
      <x:c r="I449" s="83" t="str">
        <x:v>18833</x:v>
      </x:c>
      <x:c r="J449" s="80" t="str">
        <x:v>Metallic Gold</x:v>
      </x:c>
      <x:c r="K449" s="82" t="str">
        <x:v>Ferrari Logo on hood, 16 white with black circle and Classic Racer on black, Hot Wheels logo on right side only.</x:v>
      </x:c>
      <x:c r="L449" s="82" t="str">
        <x:v>LW</x:v>
      </x:c>
      <x:c r="M449" s="82" t="str">
        <x:v>Black / / / Plastic</x:v>
      </x:c>
      <x:c r="N449" s="82" t="str">
        <x:v>Tinted (Black)</x:v>
      </x:c>
      <x:c r="O449" s="82" t="str">
        <x:v>Black</x:v>
      </x:c>
      <x:c r="P449" s="82" t="str">
        <x:v>Malaysia</x:v>
      </x:c>
      <x:c r="Q449" s="82" t="str"/>
      <x:c r="R449" s="82" t="str">
        <x:v>Temática / multipack</x:v>
      </x:c>
      <x:c r="S449" s="82" t="str">
        <x:v>Rara</x:v>
      </x:c>
      <x:c r="T449" s="82" t="str">
        <x:v>Lançado</x:v>
      </x:c>
      <x:c r="U449" s="82" t="str">
        <x:v>Same as Mainline #866</x:v>
      </x:c>
      <x:c r="V449" s="80" t="str">
        <x:v>Coleção principal (~1:64)</x:v>
      </x:c>
      <x:c r="W449" s="82" t="str">
        <x:v>https://hotwheels.fandom.com/wiki/Ferrari_250</x:v>
      </x:c>
      <x:c r="X449" s="82" t="str">
        <x:v>https://hotwheels.fandom.com/wiki/Ferrari_250</x:v>
      </x:c>
    </x:row>
    <x:row r="450">
      <x:c r="A450" s="80" t="str">
        <x:v>Não</x:v>
      </x:c>
      <x:c r="B450" s="80" t="str">
        <x:v>2 — Completar aos poucos</x:v>
      </x:c>
      <x:c r="C450" s="81" t="n">
        <x:v>1998</x:v>
      </x:c>
      <x:c r="D450" s="80" t="str">
        <x:v>Ferrari 250</x:v>
      </x:c>
      <x:c r="E450" s="80" t="str">
        <x:v>Ferrari 250</x:v>
      </x:c>
      <x:c r="F450" s="82" t="str">
        <x:v>Toys R Us 10-Car Gift Set exclusive</x:v>
      </x:c>
      <x:c r="G450" s="80" t="str"/>
      <x:c r="H450" s="80" t="str"/>
      <x:c r="I450" s="83" t="str">
        <x:v>18476</x:v>
      </x:c>
      <x:c r="J450" s="80" t="str">
        <x:v>Metallic Gold</x:v>
      </x:c>
      <x:c r="K450" s="82" t="str">
        <x:v>None</x:v>
      </x:c>
      <x:c r="L450" s="82" t="str">
        <x:v>5SP</x:v>
      </x:c>
      <x:c r="M450" s="82" t="str">
        <x:v>Grey / / / Plastic</x:v>
      </x:c>
      <x:c r="N450" s="82" t="str">
        <x:v>Clear</x:v>
      </x:c>
      <x:c r="O450" s="82" t="str">
        <x:v>Black</x:v>
      </x:c>
      <x:c r="P450" s="82" t="str">
        <x:v>Malaysia</x:v>
      </x:c>
      <x:c r="Q450" s="82" t="str"/>
      <x:c r="R450" s="82" t="str">
        <x:v>Outra linha</x:v>
      </x:c>
      <x:c r="S450" s="82" t="str">
        <x:v>Rara</x:v>
      </x:c>
      <x:c r="T450" s="82" t="str">
        <x:v>Lançado</x:v>
      </x:c>
      <x:c r="U450" s="82" t="str">
        <x:v>1 more variant on base (small writting)</x:v>
      </x:c>
      <x:c r="V450" s="80" t="str">
        <x:v>Coleção principal (~1:64)</x:v>
      </x:c>
      <x:c r="W450" s="82" t="str">
        <x:v>https://hotwheels.fandom.com/wiki/Ferrari_250</x:v>
      </x:c>
      <x:c r="X450" s="82" t="str">
        <x:v>https://hotwheels.fandom.com/wiki/Ferrari_250</x:v>
      </x:c>
    </x:row>
    <x:row r="451">
      <x:c r="A451" s="80" t="str">
        <x:v>Não</x:v>
      </x:c>
      <x:c r="B451" s="80" t="str">
        <x:v>2 — Completar aos poucos</x:v>
      </x:c>
      <x:c r="C451" s="81" t="n">
        <x:v>1998</x:v>
      </x:c>
      <x:c r="D451" s="80" t="str">
        <x:v>Ferrari 348</x:v>
      </x:c>
      <x:c r="E451" s="80" t="str">
        <x:v>Ferrari 348</x:v>
      </x:c>
      <x:c r="F451" s="82" t="str">
        <x:v>Mainline</x:v>
      </x:c>
      <x:c r="G451" s="80" t="str"/>
      <x:c r="H451" s="80" t="str">
        <x:v>443</x:v>
      </x:c>
      <x:c r="I451" s="83" t="str">
        <x:v>12933</x:v>
      </x:c>
      <x:c r="J451" s="80" t="str">
        <x:v>Metallic Black</x:v>
      </x:c>
      <x:c r="K451" s="82" t="str">
        <x:v>Black and Yellow Ferrari logo, Yellow HW logo on rear window</x:v>
      </x:c>
      <x:c r="L451" s="82" t="str">
        <x:v>5DOT</x:v>
      </x:c>
      <x:c r="M451" s="82" t="str">
        <x:v>Black / / / Plastic</x:v>
      </x:c>
      <x:c r="N451" s="82" t="str">
        <x:v>Clear</x:v>
      </x:c>
      <x:c r="O451" s="82" t="str">
        <x:v>Red &amp; Black</x:v>
      </x:c>
      <x:c r="P451" s="82" t="str">
        <x:v>Malaysia</x:v>
      </x:c>
      <x:c r="Q451" s="82" t="str"/>
      <x:c r="R451" s="82" t="str">
        <x:v>Mainline</x:v>
      </x:c>
      <x:c r="S451" s="82" t="str">
        <x:v>Rara</x:v>
      </x:c>
      <x:c r="T451" s="82" t="str">
        <x:v>Lançado</x:v>
      </x:c>
      <x:c r="U451" s="82" t="str">
        <x:v>Same as 1996 release</x:v>
      </x:c>
      <x:c r="V451" s="80" t="str">
        <x:v>Coleção principal (~1:64)</x:v>
      </x:c>
      <x:c r="W451" s="82" t="str">
        <x:v>https://hotwheels.fandom.com/wiki/Ferrari_348</x:v>
      </x:c>
      <x:c r="X451" s="82" t="str">
        <x:v>https://hotwheels.fandom.com/wiki/Ferrari_348</x:v>
      </x:c>
    </x:row>
    <x:row r="452">
      <x:c r="A452" s="80" t="str">
        <x:v>Não</x:v>
      </x:c>
      <x:c r="B452" s="80" t="str">
        <x:v>2 — Completar aos poucos</x:v>
      </x:c>
      <x:c r="C452" s="81" t="n">
        <x:v>1998</x:v>
      </x:c>
      <x:c r="D452" s="80" t="str">
        <x:v>Ferrari F355</x:v>
      </x:c>
      <x:c r="E452" s="80" t="str">
        <x:v>Ferrari F355</x:v>
      </x:c>
      <x:c r="F452" s="82" t="str">
        <x:v>Figure 8 Racers 5-Pack</x:v>
      </x:c>
      <x:c r="G452" s="80" t="str"/>
      <x:c r="H452" s="80" t="str"/>
      <x:c r="I452" s="83" t="str">
        <x:v>18828</x:v>
      </x:c>
      <x:c r="J452" s="80" t="str">
        <x:v>Metalflake Green</x:v>
      </x:c>
      <x:c r="K452" s="82" t="str">
        <x:v>Black, white, orange &amp; red "STRAIGHT LINE RACING" "3"</x:v>
      </x:c>
      <x:c r="L452" s="82" t="str">
        <x:v>LW</x:v>
      </x:c>
      <x:c r="M452" s="82" t="str">
        <x:v>Unpainted / / / Metal</x:v>
      </x:c>
      <x:c r="N452" s="82" t="str">
        <x:v>Black tint</x:v>
      </x:c>
      <x:c r="O452" s="82" t="str">
        <x:v>Black</x:v>
      </x:c>
      <x:c r="P452" s="82" t="str">
        <x:v>Malaysia</x:v>
      </x:c>
      <x:c r="Q452" s="82" t="str"/>
      <x:c r="R452" s="82" t="str">
        <x:v>Temática / multipack</x:v>
      </x:c>
      <x:c r="S452" s="82" t="str">
        <x:v>Rara</x:v>
      </x:c>
      <x:c r="T452" s="82" t="str">
        <x:v>Lançado</x:v>
      </x:c>
      <x:c r="U452" s="82" t="str"/>
      <x:c r="V452" s="80" t="str">
        <x:v>Coleção principal (~1:64)</x:v>
      </x:c>
      <x:c r="W452" s="82" t="str">
        <x:v>https://hotwheels.fandom.com/wiki/Ferrari_F355</x:v>
      </x:c>
      <x:c r="X452" s="82" t="str">
        <x:v>https://hotwheels.fandom.com/wiki/Ferrari_F355</x:v>
      </x:c>
    </x:row>
    <x:row r="453">
      <x:c r="A453" s="80" t="str">
        <x:v>Não</x:v>
      </x:c>
      <x:c r="B453" s="80" t="str">
        <x:v>2 — Completar aos poucos</x:v>
      </x:c>
      <x:c r="C453" s="81" t="n">
        <x:v>1998</x:v>
      </x:c>
      <x:c r="D453" s="80" t="str">
        <x:v>Ferrari F355</x:v>
      </x:c>
      <x:c r="E453" s="80" t="str">
        <x:v>Ferrari F355</x:v>
      </x:c>
      <x:c r="F453" s="82" t="str">
        <x:v>Figure 8 Racers 5-Pack</x:v>
      </x:c>
      <x:c r="G453" s="80" t="str"/>
      <x:c r="H453" s="80" t="str">
        <x:v>3SP</x:v>
      </x:c>
      <x:c r="I453" s="83" t="str">
        <x:v>18828</x:v>
      </x:c>
      <x:c r="J453" s="80" t="str">
        <x:v>Metalflake Green</x:v>
      </x:c>
      <x:c r="K453" s="82" t="str">
        <x:v>Black, white, orange &amp; red "STRAIGHT LINE RACING" "3"</x:v>
      </x:c>
      <x:c r="L453" s="82" t="str"/>
      <x:c r="M453" s="82" t="str">
        <x:v>Unpainted / / / Metal</x:v>
      </x:c>
      <x:c r="N453" s="82" t="str">
        <x:v>Black tint</x:v>
      </x:c>
      <x:c r="O453" s="82" t="str">
        <x:v>Black</x:v>
      </x:c>
      <x:c r="P453" s="82" t="str">
        <x:v>Malaysia</x:v>
      </x:c>
      <x:c r="Q453" s="82" t="str"/>
      <x:c r="R453" s="82" t="str">
        <x:v>Temática / multipack</x:v>
      </x:c>
      <x:c r="S453" s="82" t="str">
        <x:v>Rara</x:v>
      </x:c>
      <x:c r="T453" s="82" t="str">
        <x:v>Lançado</x:v>
      </x:c>
      <x:c r="U453" s="82" t="str"/>
      <x:c r="V453" s="80" t="str">
        <x:v>Coleção principal (~1:64)</x:v>
      </x:c>
      <x:c r="W453" s="82" t="str">
        <x:v>https://hotwheels.fandom.com/wiki/Ferrari_F355</x:v>
      </x:c>
      <x:c r="X453" s="82" t="str">
        <x:v>https://hotwheels.fandom.com/wiki/Ferrari_F355</x:v>
      </x:c>
    </x:row>
    <x:row r="454">
      <x:c r="A454" s="80" t="str">
        <x:v>Não</x:v>
      </x:c>
      <x:c r="B454" s="80" t="str">
        <x:v>2 — Completar aos poucos</x:v>
      </x:c>
      <x:c r="C454" s="81" t="n">
        <x:v>1998</x:v>
      </x:c>
      <x:c r="D454" s="80" t="str">
        <x:v>Ferrari F355</x:v>
      </x:c>
      <x:c r="E454" s="80" t="str">
        <x:v>Ferrari F355</x:v>
      </x:c>
      <x:c r="F454" s="82" t="str">
        <x:v>Mainline</x:v>
      </x:c>
      <x:c r="G454" s="80" t="str"/>
      <x:c r="H454" s="80" t="str">
        <x:v>813</x:v>
      </x:c>
      <x:c r="I454" s="83" t="str">
        <x:v>19982</x:v>
      </x:c>
      <x:c r="J454" s="80" t="str">
        <x:v>Black</x:v>
      </x:c>
      <x:c r="K454" s="82" t="str">
        <x:v>Yellow Ferrari Logo</x:v>
      </x:c>
      <x:c r="L454" s="82" t="str">
        <x:v>5SP</x:v>
      </x:c>
      <x:c r="M454" s="82" t="str">
        <x:v>Unpainted / / / Metal</x:v>
      </x:c>
      <x:c r="N454" s="82" t="str">
        <x:v>Yellow tint</x:v>
      </x:c>
      <x:c r="O454" s="82" t="str">
        <x:v>Yellow</x:v>
      </x:c>
      <x:c r="P454" s="82" t="str">
        <x:v>Malaysia</x:v>
      </x:c>
      <x:c r="Q454" s="82" t="str"/>
      <x:c r="R454" s="82" t="str">
        <x:v>Mainline</x:v>
      </x:c>
      <x:c r="S454" s="82" t="str">
        <x:v>Rara</x:v>
      </x:c>
      <x:c r="T454" s="82" t="str">
        <x:v>Lançado</x:v>
      </x:c>
      <x:c r="U454" s="82" t="str"/>
      <x:c r="V454" s="80" t="str">
        <x:v>Coleção principal (~1:64)</x:v>
      </x:c>
      <x:c r="W454" s="82" t="str">
        <x:v>https://hotwheels.fandom.com/wiki/Ferrari_F355</x:v>
      </x:c>
      <x:c r="X454" s="82" t="str">
        <x:v>https://hotwheels.fandom.com/wiki/Ferrari_F355</x:v>
      </x:c>
    </x:row>
    <x:row r="455">
      <x:c r="A455" s="80" t="str">
        <x:v>Não</x:v>
      </x:c>
      <x:c r="B455" s="80" t="str">
        <x:v>2 — Completar aos poucos</x:v>
      </x:c>
      <x:c r="C455" s="81" t="n">
        <x:v>1998</x:v>
      </x:c>
      <x:c r="D455" s="80" t="str">
        <x:v>Ferrari F355</x:v>
      </x:c>
      <x:c r="E455" s="80" t="str">
        <x:v>Ferrari F355</x:v>
      </x:c>
      <x:c r="F455" s="82" t="str">
        <x:v>Mainline</x:v>
      </x:c>
      <x:c r="G455" s="80" t="str"/>
      <x:c r="H455" s="80" t="str">
        <x:v>813</x:v>
      </x:c>
      <x:c r="I455" s="83" t="str">
        <x:v>19982</x:v>
      </x:c>
      <x:c r="J455" s="80" t="str">
        <x:v>Black</x:v>
      </x:c>
      <x:c r="K455" s="82" t="str">
        <x:v>Yellow Ferrari Logo</x:v>
      </x:c>
      <x:c r="L455" s="82" t="str">
        <x:v>3SP</x:v>
      </x:c>
      <x:c r="M455" s="82" t="str">
        <x:v>Unpainted / / / Metal</x:v>
      </x:c>
      <x:c r="N455" s="82" t="str">
        <x:v>Yellow tint</x:v>
      </x:c>
      <x:c r="O455" s="82" t="str">
        <x:v>Yellow</x:v>
      </x:c>
      <x:c r="P455" s="82" t="str">
        <x:v>Malaysia</x:v>
      </x:c>
      <x:c r="Q455" s="82" t="str"/>
      <x:c r="R455" s="82" t="str">
        <x:v>Mainline</x:v>
      </x:c>
      <x:c r="S455" s="82" t="str">
        <x:v>Rara</x:v>
      </x:c>
      <x:c r="T455" s="82" t="str">
        <x:v>Lançado</x:v>
      </x:c>
      <x:c r="U455" s="82" t="str"/>
      <x:c r="V455" s="80" t="str">
        <x:v>Coleção principal (~1:64)</x:v>
      </x:c>
      <x:c r="W455" s="82" t="str">
        <x:v>https://hotwheels.fandom.com/wiki/Ferrari_F355</x:v>
      </x:c>
      <x:c r="X455" s="82" t="str">
        <x:v>https://hotwheels.fandom.com/wiki/Ferrari_F355</x:v>
      </x:c>
    </x:row>
    <x:row r="456">
      <x:c r="A456" s="80" t="str">
        <x:v>Não</x:v>
      </x:c>
      <x:c r="B456" s="80" t="str">
        <x:v>2 — Completar aos poucos</x:v>
      </x:c>
      <x:c r="C456" s="81" t="n">
        <x:v>1998</x:v>
      </x:c>
      <x:c r="D456" s="80" t="str">
        <x:v>Ferrari F40</x:v>
      </x:c>
      <x:c r="E456" s="80" t="str">
        <x:v>Ferrari F40</x:v>
      </x:c>
      <x:c r="F456" s="82" t="str">
        <x:v>Dash 4 Cash / 2/4</x:v>
      </x:c>
      <x:c r="G456" s="80" t="str"/>
      <x:c r="H456" s="80" t="str">
        <x:v>722</x:v>
      </x:c>
      <x:c r="I456" s="83" t="str">
        <x:v>18788</x:v>
      </x:c>
      <x:c r="J456" s="80" t="str">
        <x:v>Metalflake Gold</x:v>
      </x:c>
      <x:c r="K456" s="82" t="str">
        <x:v>Black &amp; White "Centomila" tampos</x:v>
      </x:c>
      <x:c r="L456" s="82" t="str">
        <x:v>Gold LW</x:v>
      </x:c>
      <x:c r="M456" s="82" t="str">
        <x:v>ZAMAC</x:v>
      </x:c>
      <x:c r="N456" s="82" t="str">
        <x:v>Smoke tint</x:v>
      </x:c>
      <x:c r="O456" s="82" t="str">
        <x:v>White</x:v>
      </x:c>
      <x:c r="P456" s="82" t="str">
        <x:v>Malaysia</x:v>
      </x:c>
      <x:c r="Q456" s="82" t="str"/>
      <x:c r="R456" s="82" t="str">
        <x:v>Mainline</x:v>
      </x:c>
      <x:c r="S456" s="82" t="str">
        <x:v>Rara</x:v>
      </x:c>
      <x:c r="T456" s="82" t="str">
        <x:v>Lançado</x:v>
      </x:c>
      <x:c r="U456" s="82" t="str"/>
      <x:c r="V456" s="80" t="str">
        <x:v>Coleção principal (~1:64)</x:v>
      </x:c>
      <x:c r="W456" s="82" t="str">
        <x:v>https://hotwheels.fandom.com/wiki/Ferrari_F40</x:v>
      </x:c>
      <x:c r="X456" s="82" t="str">
        <x:v>https://hotwheels.fandom.com/wiki/Ferrari_F40</x:v>
      </x:c>
    </x:row>
    <x:row r="457">
      <x:c r="A457" s="80" t="str">
        <x:v>Não</x:v>
      </x:c>
      <x:c r="B457" s="80" t="str">
        <x:v>2 — Completar aos poucos</x:v>
      </x:c>
      <x:c r="C457" s="81" t="n">
        <x:v>1998</x:v>
      </x:c>
      <x:c r="D457" s="80" t="str">
        <x:v>Ferrari F50 Spider</x:v>
      </x:c>
      <x:c r="E457" s="80" t="str">
        <x:v>Ferrari F50 Spider</x:v>
      </x:c>
      <x:c r="F457" s="82" t="str"/>
      <x:c r="G457" s="80" t="str"/>
      <x:c r="H457" s="80" t="str"/>
      <x:c r="I457" s="83" t="str"/>
      <x:c r="J457" s="80" t="str">
        <x:v>Dark Blue</x:v>
      </x:c>
      <x:c r="K457" s="82" t="str">
        <x:v>Yellow "FERRARI" on Rear Wing, Ferrari Logo on Hood</x:v>
      </x:c>
      <x:c r="L457" s="82" t="str">
        <x:v>SB</x:v>
      </x:c>
      <x:c r="M457" s="82" t="str"/>
      <x:c r="N457" s="82" t="str"/>
      <x:c r="O457" s="82" t="str"/>
      <x:c r="P457" s="82" t="str"/>
      <x:c r="Q457" s="82" t="str"/>
      <x:c r="R457" s="82" t="str">
        <x:v>Outra linha</x:v>
      </x:c>
      <x:c r="S457" s="82" t="str">
        <x:v>Rara</x:v>
      </x:c>
      <x:c r="T457" s="82" t="str">
        <x:v>Lançado</x:v>
      </x:c>
      <x:c r="U457" s="82" t="str"/>
      <x:c r="V457" s="80" t="str">
        <x:v>Coleção principal (~1:64)</x:v>
      </x:c>
      <x:c r="W457" s="82" t="str">
        <x:v>https://hotwheels.fandom.com/wiki/Ferrari_F50_Spider</x:v>
      </x:c>
      <x:c r="X457" s="82" t="str">
        <x:v>https://hotwheels.fandom.com/wiki/Ferrari_F50_Spider</x:v>
      </x:c>
    </x:row>
    <x:row r="458">
      <x:c r="A458" s="80" t="str">
        <x:v>Não</x:v>
      </x:c>
      <x:c r="B458" s="80" t="str">
        <x:v>2 — Completar aos poucos</x:v>
      </x:c>
      <x:c r="C458" s="81" t="n">
        <x:v>1998</x:v>
      </x:c>
      <x:c r="D458" s="80" t="str">
        <x:v>Ferrari F50 Spider</x:v>
      </x:c>
      <x:c r="E458" s="80" t="str">
        <x:v>Ferrari F50 Spider</x:v>
      </x:c>
      <x:c r="F458" s="82" t="str"/>
      <x:c r="G458" s="80" t="str"/>
      <x:c r="H458" s="80" t="str"/>
      <x:c r="I458" s="83" t="str"/>
      <x:c r="J458" s="80" t="str">
        <x:v>Metalflake Silver</x:v>
      </x:c>
      <x:c r="K458" s="82" t="str">
        <x:v>Yellow "FERRARI" on Wing, Black &amp; Yellow Ferrari Logo on Hood</x:v>
      </x:c>
      <x:c r="L458" s="82" t="str">
        <x:v>SB</x:v>
      </x:c>
      <x:c r="M458" s="82" t="str"/>
      <x:c r="N458" s="82" t="str"/>
      <x:c r="O458" s="82" t="str"/>
      <x:c r="P458" s="82" t="str"/>
      <x:c r="Q458" s="82" t="str"/>
      <x:c r="R458" s="82" t="str">
        <x:v>Outra linha</x:v>
      </x:c>
      <x:c r="S458" s="82" t="str">
        <x:v>Rara</x:v>
      </x:c>
      <x:c r="T458" s="82" t="str">
        <x:v>Lançado</x:v>
      </x:c>
      <x:c r="U458" s="82" t="str"/>
      <x:c r="V458" s="80" t="str">
        <x:v>Coleção principal (~1:64)</x:v>
      </x:c>
      <x:c r="W458" s="82" t="str">
        <x:v>https://hotwheels.fandom.com/wiki/Ferrari_F50_Spider</x:v>
      </x:c>
      <x:c r="X458" s="82" t="str">
        <x:v>https://hotwheels.fandom.com/wiki/Ferrari_F50_Spider</x:v>
      </x:c>
    </x:row>
    <x:row r="459">
      <x:c r="A459" s="80" t="str">
        <x:v>Não</x:v>
      </x:c>
      <x:c r="B459" s="80" t="str">
        <x:v>2 — Completar aos poucos</x:v>
      </x:c>
      <x:c r="C459" s="81" t="n">
        <x:v>1998</x:v>
      </x:c>
      <x:c r="D459" s="80" t="str">
        <x:v>Ferrari F50 Spider</x:v>
      </x:c>
      <x:c r="E459" s="80" t="str">
        <x:v>Ferrari F50 Spider</x:v>
      </x:c>
      <x:c r="F459" s="82" t="str"/>
      <x:c r="G459" s="80" t="str"/>
      <x:c r="H459" s="80" t="str"/>
      <x:c r="I459" s="83" t="str"/>
      <x:c r="J459" s="80" t="str">
        <x:v>Purple</x:v>
      </x:c>
      <x:c r="K459" s="82" t="str">
        <x:v>Silver, Black &amp; Red "Stunt Machines Team Leader" on Side</x:v>
      </x:c>
      <x:c r="L459" s="82" t="str">
        <x:v>SB</x:v>
      </x:c>
      <x:c r="M459" s="82" t="str"/>
      <x:c r="N459" s="82" t="str"/>
      <x:c r="O459" s="82" t="str"/>
      <x:c r="P459" s="82" t="str"/>
      <x:c r="Q459" s="82" t="str"/>
      <x:c r="R459" s="82" t="str">
        <x:v>Outra linha</x:v>
      </x:c>
      <x:c r="S459" s="82" t="str">
        <x:v>Rara</x:v>
      </x:c>
      <x:c r="T459" s="82" t="str">
        <x:v>Lançado</x:v>
      </x:c>
      <x:c r="U459" s="82" t="str"/>
      <x:c r="V459" s="80" t="str">
        <x:v>Coleção principal (~1:64)</x:v>
      </x:c>
      <x:c r="W459" s="82" t="str">
        <x:v>https://hotwheels.fandom.com/wiki/Ferrari_F50_Spider</x:v>
      </x:c>
      <x:c r="X459" s="82" t="str">
        <x:v>https://hotwheels.fandom.com/wiki/Ferrari_F50_Spider</x:v>
      </x:c>
    </x:row>
    <x:row r="460">
      <x:c r="A460" s="80" t="str">
        <x:v>Não</x:v>
      </x:c>
      <x:c r="B460" s="80" t="str">
        <x:v>2 — Completar aos poucos</x:v>
      </x:c>
      <x:c r="C460" s="81" t="n">
        <x:v>1998</x:v>
      </x:c>
      <x:c r="D460" s="80" t="str">
        <x:v>Ferrari F50 Spider</x:v>
      </x:c>
      <x:c r="E460" s="80" t="str">
        <x:v>Ferrari F50 Spider</x:v>
      </x:c>
      <x:c r="F460" s="82" t="str"/>
      <x:c r="G460" s="80" t="str"/>
      <x:c r="H460" s="80" t="str"/>
      <x:c r="I460" s="83" t="str"/>
      <x:c r="J460" s="80" t="str">
        <x:v>Purple</x:v>
      </x:c>
      <x:c r="K460" s="82" t="str">
        <x:v>Yellow McDonald's Logo on Hood</x:v>
      </x:c>
      <x:c r="L460" s="82" t="str">
        <x:v>5DOT</x:v>
      </x:c>
      <x:c r="M460" s="82" t="str"/>
      <x:c r="N460" s="82" t="str"/>
      <x:c r="O460" s="82" t="str"/>
      <x:c r="P460" s="82" t="str"/>
      <x:c r="Q460" s="82" t="str"/>
      <x:c r="R460" s="82" t="str">
        <x:v>Outra linha</x:v>
      </x:c>
      <x:c r="S460" s="82" t="str">
        <x:v>Rara</x:v>
      </x:c>
      <x:c r="T460" s="82" t="str">
        <x:v>Lançado</x:v>
      </x:c>
      <x:c r="U460" s="82" t="str"/>
      <x:c r="V460" s="80" t="str">
        <x:v>Coleção principal (~1:64)</x:v>
      </x:c>
      <x:c r="W460" s="82" t="str">
        <x:v>https://hotwheels.fandom.com/wiki/Ferrari_F50_Spider</x:v>
      </x:c>
      <x:c r="X460" s="82" t="str">
        <x:v>https://hotwheels.fandom.com/wiki/Ferrari_F50_Spider</x:v>
      </x:c>
    </x:row>
    <x:row r="461">
      <x:c r="A461" s="80" t="str">
        <x:v>Não</x:v>
      </x:c>
      <x:c r="B461" s="80" t="str">
        <x:v>2 — Completar aos poucos</x:v>
      </x:c>
      <x:c r="C461" s="81" t="n">
        <x:v>1998</x:v>
      </x:c>
      <x:c r="D461" s="80" t="str">
        <x:v>Ferrari F50 Spider</x:v>
      </x:c>
      <x:c r="E461" s="80" t="str">
        <x:v>Ferrari F50 Spider</x:v>
      </x:c>
      <x:c r="F461" s="82" t="str"/>
      <x:c r="G461" s="80" t="str"/>
      <x:c r="H461" s="80" t="str"/>
      <x:c r="I461" s="83" t="str"/>
      <x:c r="J461" s="80" t="str">
        <x:v>Red</x:v>
      </x:c>
      <x:c r="K461" s="82" t="str">
        <x:v>Yellow Hot Wheels Logo on Rear Wing</x:v>
      </x:c>
      <x:c r="L461" s="82" t="str">
        <x:v>SB</x:v>
      </x:c>
      <x:c r="M461" s="82" t="str"/>
      <x:c r="N461" s="82" t="str"/>
      <x:c r="O461" s="82" t="str"/>
      <x:c r="P461" s="82" t="str"/>
      <x:c r="Q461" s="82" t="str"/>
      <x:c r="R461" s="82" t="str">
        <x:v>Outra linha</x:v>
      </x:c>
      <x:c r="S461" s="82" t="str">
        <x:v>Rara</x:v>
      </x:c>
      <x:c r="T461" s="82" t="str">
        <x:v>Lançado</x:v>
      </x:c>
      <x:c r="U461" s="82" t="str"/>
      <x:c r="V461" s="80" t="str">
        <x:v>Coleção principal (~1:64)</x:v>
      </x:c>
      <x:c r="W461" s="82" t="str">
        <x:v>https://hotwheels.fandom.com/wiki/Ferrari_F50_Spider</x:v>
      </x:c>
      <x:c r="X461" s="82" t="str">
        <x:v>https://hotwheels.fandom.com/wiki/Ferrari_F50_Spider</x:v>
      </x:c>
    </x:row>
    <x:row r="462">
      <x:c r="A462" s="80" t="str">
        <x:v>Não</x:v>
      </x:c>
      <x:c r="B462" s="80" t="str">
        <x:v>2 — Completar aos poucos</x:v>
      </x:c>
      <x:c r="C462" s="81" t="n">
        <x:v>1998</x:v>
      </x:c>
      <x:c r="D462" s="80" t="str">
        <x:v>Ferrari F50 Spider</x:v>
      </x:c>
      <x:c r="E462" s="80" t="str">
        <x:v>Ferrari F50 Spider</x:v>
      </x:c>
      <x:c r="F462" s="82" t="str"/>
      <x:c r="G462" s="80" t="str"/>
      <x:c r="H462" s="80" t="str"/>
      <x:c r="I462" s="83" t="str"/>
      <x:c r="J462" s="80" t="str">
        <x:v>Yellow</x:v>
      </x:c>
      <x:c r="K462" s="82" t="str">
        <x:v>Red "FERRARI" on Rear Wing, Ferrari Logo on Hood</x:v>
      </x:c>
      <x:c r="L462" s="82" t="str">
        <x:v>SB</x:v>
      </x:c>
      <x:c r="M462" s="82" t="str"/>
      <x:c r="N462" s="82" t="str"/>
      <x:c r="O462" s="82" t="str"/>
      <x:c r="P462" s="82" t="str"/>
      <x:c r="Q462" s="82" t="str"/>
      <x:c r="R462" s="82" t="str">
        <x:v>Outra linha</x:v>
      </x:c>
      <x:c r="S462" s="82" t="str">
        <x:v>Rara</x:v>
      </x:c>
      <x:c r="T462" s="82" t="str">
        <x:v>Lançado</x:v>
      </x:c>
      <x:c r="U462" s="82" t="str"/>
      <x:c r="V462" s="80" t="str">
        <x:v>Coleção principal (~1:64)</x:v>
      </x:c>
      <x:c r="W462" s="82" t="str">
        <x:v>https://hotwheels.fandom.com/wiki/Ferrari_F50_Spider</x:v>
      </x:c>
      <x:c r="X462" s="82" t="str">
        <x:v>https://hotwheels.fandom.com/wiki/Ferrari_F50_Spider</x:v>
      </x:c>
    </x:row>
    <x:row r="463">
      <x:c r="A463" s="80" t="str">
        <x:v>Não</x:v>
      </x:c>
      <x:c r="B463" s="80" t="str">
        <x:v>2 — Completar aos poucos</x:v>
      </x:c>
      <x:c r="C463" s="81" t="n">
        <x:v>1998</x:v>
      </x:c>
      <x:c r="D463" s="80" t="str">
        <x:v>Ferrari F50 Spider</x:v>
      </x:c>
      <x:c r="E463" s="80" t="str">
        <x:v>Ferrari F50 Spider</x:v>
      </x:c>
      <x:c r="F463" s="82" t="str">
        <x:v>G-Force Stunt Riders 5-Pack</x:v>
      </x:c>
      <x:c r="G463" s="80" t="str"/>
      <x:c r="H463" s="80" t="str"/>
      <x:c r="I463" s="83" t="str">
        <x:v>18829</x:v>
      </x:c>
      <x:c r="J463" s="80" t="str">
        <x:v>Metalflake Purple</x:v>
      </x:c>
      <x:c r="K463" s="82" t="str">
        <x:v>Red, Silver, Black "Stunt Machines" "TEAM LEADER"</x:v>
      </x:c>
      <x:c r="L463" s="82" t="str">
        <x:v>SB</x:v>
      </x:c>
      <x:c r="M463" s="82" t="str">
        <x:v>Black / / / Plastic</x:v>
      </x:c>
      <x:c r="N463" s="82" t="str">
        <x:v>Heavy smoke tint</x:v>
      </x:c>
      <x:c r="O463" s="82" t="str">
        <x:v>Black</x:v>
      </x:c>
      <x:c r="P463" s="82" t="str">
        <x:v>Malaysia</x:v>
      </x:c>
      <x:c r="Q463" s="82" t="str"/>
      <x:c r="R463" s="82" t="str">
        <x:v>Temática / multipack</x:v>
      </x:c>
      <x:c r="S463" s="82" t="str">
        <x:v>Rara</x:v>
      </x:c>
      <x:c r="T463" s="82" t="str">
        <x:v>Lançado</x:v>
      </x:c>
      <x:c r="U463" s="82" t="str"/>
      <x:c r="V463" s="80" t="str">
        <x:v>Coleção principal (~1:64)</x:v>
      </x:c>
      <x:c r="W463" s="82" t="str">
        <x:v>https://hotwheels.fandom.com/wiki/Ferrari_F50_Spider</x:v>
      </x:c>
      <x:c r="X463" s="82" t="str">
        <x:v>https://hotwheels.fandom.com/wiki/Ferrari_F50_Spider</x:v>
      </x:c>
    </x:row>
    <x:row r="464">
      <x:c r="A464" s="80" t="str">
        <x:v>Não</x:v>
      </x:c>
      <x:c r="B464" s="80" t="str">
        <x:v>2 — Completar aos poucos</x:v>
      </x:c>
      <x:c r="C464" s="81" t="n">
        <x:v>1998</x:v>
      </x:c>
      <x:c r="D464" s="80" t="str">
        <x:v>Ferrari F50 Spider</x:v>
      </x:c>
      <x:c r="E464" s="80" t="str">
        <x:v>Ferrari F50 Spider</x:v>
      </x:c>
      <x:c r="F464" s="82" t="str">
        <x:v>Mainline</x:v>
      </x:c>
      <x:c r="G464" s="80" t="str"/>
      <x:c r="H464" s="80" t="str">
        <x:v>855</x:v>
      </x:c>
      <x:c r="I464" s="83" t="str">
        <x:v>19523</x:v>
      </x:c>
      <x:c r="J464" s="80" t="str">
        <x:v>Metalflake Purple</x:v>
      </x:c>
      <x:c r="K464" s="82" t="str">
        <x:v>Red, Silver, Black "Stunt Machines" "TEAM LEADER"</x:v>
      </x:c>
      <x:c r="L464" s="82" t="str">
        <x:v>SB</x:v>
      </x:c>
      <x:c r="M464" s="82" t="str">
        <x:v>Black / / / Plastic</x:v>
      </x:c>
      <x:c r="N464" s="82" t="str">
        <x:v>Heavy smoke tint</x:v>
      </x:c>
      <x:c r="O464" s="82" t="str">
        <x:v>Black</x:v>
      </x:c>
      <x:c r="P464" s="82" t="str">
        <x:v>Malaysia / India</x:v>
      </x:c>
      <x:c r="Q464" s="82" t="str"/>
      <x:c r="R464" s="82" t="str">
        <x:v>Mainline</x:v>
      </x:c>
      <x:c r="S464" s="82" t="str">
        <x:v>Rara</x:v>
      </x:c>
      <x:c r="T464" s="82" t="str">
        <x:v>Lançado</x:v>
      </x:c>
      <x:c r="U464" s="82" t="str"/>
      <x:c r="V464" s="80" t="str">
        <x:v>Coleção principal (~1:64)</x:v>
      </x:c>
      <x:c r="W464" s="82" t="str">
        <x:v>https://hotwheels.fandom.com/wiki/Ferrari_F50_Spider</x:v>
      </x:c>
      <x:c r="X464" s="82" t="str">
        <x:v>https://hotwheels.fandom.com/wiki/Ferrari_F50_Spider</x:v>
      </x:c>
    </x:row>
    <x:row r="465">
      <x:c r="A465" s="80" t="str">
        <x:v>Não</x:v>
      </x:c>
      <x:c r="B465" s="80" t="str">
        <x:v>2 — Completar aos poucos</x:v>
      </x:c>
      <x:c r="C465" s="81" t="n">
        <x:v>1998</x:v>
      </x:c>
      <x:c r="D465" s="80" t="str">
        <x:v>Ferrari F50 Spider</x:v>
      </x:c>
      <x:c r="E465" s="80" t="str">
        <x:v>Ferrari F50 Spider</x:v>
      </x:c>
      <x:c r="F465" s="82" t="str">
        <x:v>Mainline</x:v>
      </x:c>
      <x:c r="G465" s="80" t="str"/>
      <x:c r="H465" s="80" t="str">
        <x:v>855</x:v>
      </x:c>
      <x:c r="I465" s="83" t="str">
        <x:v>19523</x:v>
      </x:c>
      <x:c r="J465" s="80" t="str">
        <x:v>Metalflake Purple</x:v>
      </x:c>
      <x:c r="K465" s="82" t="str">
        <x:v>Red, Silver, Black "Stunt Machines" "TEAM LEADER"</x:v>
      </x:c>
      <x:c r="L465" s="82" t="str">
        <x:v>3SP</x:v>
      </x:c>
      <x:c r="M465" s="82" t="str">
        <x:v>Black / / / Plastic</x:v>
      </x:c>
      <x:c r="N465" s="82" t="str">
        <x:v>Heavy smoke tint</x:v>
      </x:c>
      <x:c r="O465" s="82" t="str">
        <x:v>Black</x:v>
      </x:c>
      <x:c r="P465" s="82" t="str">
        <x:v>Malaysia / India</x:v>
      </x:c>
      <x:c r="Q465" s="82" t="str"/>
      <x:c r="R465" s="82" t="str">
        <x:v>Mainline</x:v>
      </x:c>
      <x:c r="S465" s="82" t="str">
        <x:v>Rara</x:v>
      </x:c>
      <x:c r="T465" s="82" t="str">
        <x:v>Lançado</x:v>
      </x:c>
      <x:c r="U465" s="82" t="str"/>
      <x:c r="V465" s="80" t="str">
        <x:v>Coleção principal (~1:64)</x:v>
      </x:c>
      <x:c r="W465" s="82" t="str">
        <x:v>https://hotwheels.fandom.com/wiki/Ferrari_F50_Spider</x:v>
      </x:c>
      <x:c r="X465" s="82" t="str">
        <x:v>https://hotwheels.fandom.com/wiki/Ferrari_F50_Spider</x:v>
      </x:c>
    </x:row>
    <x:row r="466">
      <x:c r="A466" s="80" t="str">
        <x:v>Não</x:v>
      </x:c>
      <x:c r="B466" s="80" t="str">
        <x:v>2 — Completar aos poucos</x:v>
      </x:c>
      <x:c r="C466" s="81" t="n">
        <x:v>1998</x:v>
      </x:c>
      <x:c r="D466" s="80" t="str">
        <x:v>Ferrari F50 Spider</x:v>
      </x:c>
      <x:c r="E466" s="80" t="str">
        <x:v>Ferrari F50 Spider</x:v>
      </x:c>
      <x:c r="F466" s="82" t="str">
        <x:v>Mainline</x:v>
      </x:c>
      <x:c r="G466" s="80" t="str"/>
      <x:c r="H466" s="80" t="str">
        <x:v>377</x:v>
      </x:c>
      <x:c r="I466" s="83" t="str">
        <x:v>14917</x:v>
      </x:c>
      <x:c r="J466" s="80" t="str">
        <x:v>Red</x:v>
      </x:c>
      <x:c r="K466" s="82" t="str">
        <x:v>Yellow "Hot Wheels" logo on rear wing</x:v>
      </x:c>
      <x:c r="L466" s="82" t="str">
        <x:v>LW</x:v>
      </x:c>
      <x:c r="M466" s="82" t="str">
        <x:v>Gray / / / Plastic</x:v>
      </x:c>
      <x:c r="N466" s="82" t="str">
        <x:v>Clear</x:v>
      </x:c>
      <x:c r="O466" s="82" t="str">
        <x:v>Black</x:v>
      </x:c>
      <x:c r="P466" s="82" t="str">
        <x:v>India</x:v>
      </x:c>
      <x:c r="Q466" s="82" t="str"/>
      <x:c r="R466" s="82" t="str">
        <x:v>Mainline</x:v>
      </x:c>
      <x:c r="S466" s="82" t="str">
        <x:v>Rara</x:v>
      </x:c>
      <x:c r="T466" s="82" t="str">
        <x:v>Lançado</x:v>
      </x:c>
      <x:c r="U466" s="82" t="str"/>
      <x:c r="V466" s="80" t="str">
        <x:v>Coleção principal (~1:64)</x:v>
      </x:c>
      <x:c r="W466" s="82" t="str">
        <x:v>https://hotwheels.fandom.com/wiki/Ferrari_F50_Spider</x:v>
      </x:c>
      <x:c r="X466" s="82" t="str">
        <x:v>https://hotwheels.fandom.com/wiki/Ferrari_F50_Spider</x:v>
      </x:c>
    </x:row>
    <x:row r="467">
      <x:c r="A467" s="80" t="str">
        <x:v>Não</x:v>
      </x:c>
      <x:c r="B467" s="80" t="str">
        <x:v>2 — Completar aos poucos</x:v>
      </x:c>
      <x:c r="C467" s="81" t="n">
        <x:v>1998</x:v>
      </x:c>
      <x:c r="D467" s="80" t="str">
        <x:v>Ferrari F50 Spider</x:v>
      </x:c>
      <x:c r="E467" s="80" t="str">
        <x:v>Ferrari F50 Spider</x:v>
      </x:c>
      <x:c r="F467" s="82" t="str">
        <x:v>Toys R Us 10-Pack</x:v>
      </x:c>
      <x:c r="G467" s="80" t="str"/>
      <x:c r="H467" s="80" t="str"/>
      <x:c r="I467" s="83" t="str">
        <x:v>18317</x:v>
      </x:c>
      <x:c r="J467" s="80" t="str">
        <x:v>Yellow</x:v>
      </x:c>
      <x:c r="K467" s="82" t="str">
        <x:v>Black "Ferrari" on rear wing &amp; Logo on hood</x:v>
      </x:c>
      <x:c r="L467" s="82" t="str">
        <x:v>5SP</x:v>
      </x:c>
      <x:c r="M467" s="82" t="str">
        <x:v>Gray / / / Plastic</x:v>
      </x:c>
      <x:c r="N467" s="82" t="str">
        <x:v>Heavy smoke tint</x:v>
      </x:c>
      <x:c r="O467" s="82" t="str">
        <x:v>Black</x:v>
      </x:c>
      <x:c r="P467" s="82" t="str">
        <x:v>Malaysia</x:v>
      </x:c>
      <x:c r="Q467" s="82" t="str"/>
      <x:c r="R467" s="82" t="str">
        <x:v>Outra linha</x:v>
      </x:c>
      <x:c r="S467" s="82" t="str">
        <x:v>Rara</x:v>
      </x:c>
      <x:c r="T467" s="82" t="str">
        <x:v>Lançado</x:v>
      </x:c>
      <x:c r="U467" s="82" t="str"/>
      <x:c r="V467" s="80" t="str">
        <x:v>Coleção principal (~1:64)</x:v>
      </x:c>
      <x:c r="W467" s="82" t="str">
        <x:v>https://hotwheels.fandom.com/wiki/Ferrari_F50_Spider</x:v>
      </x:c>
      <x:c r="X467" s="82" t="str">
        <x:v>https://hotwheels.fandom.com/wiki/Ferrari_F50_Spider</x:v>
      </x:c>
    </x:row>
    <x:row r="468">
      <x:c r="A468" s="80" t="str">
        <x:v>Não</x:v>
      </x:c>
      <x:c r="B468" s="80" t="str">
        <x:v>2 — Completar aos poucos</x:v>
      </x:c>
      <x:c r="C468" s="81" t="n">
        <x:v>1998</x:v>
      </x:c>
      <x:c r="D468" s="80" t="str">
        <x:v>Ferrari F512M</x:v>
      </x:c>
      <x:c r="E468" s="80" t="str">
        <x:v>Ferrari F512M</x:v>
      </x:c>
      <x:c r="F468" s="82" t="str">
        <x:v>Mainline</x:v>
      </x:c>
      <x:c r="G468" s="80" t="str"/>
      <x:c r="H468" s="80" t="str">
        <x:v>784</x:v>
      </x:c>
      <x:c r="I468" s="83" t="str">
        <x:v>19953</x:v>
      </x:c>
      <x:c r="J468" s="80" t="str">
        <x:v>Metalflake Silver</x:v>
      </x:c>
      <x:c r="K468" s="82" t="str">
        <x:v>Yellow &amp; Black Ferrari Logo on hood</x:v>
      </x:c>
      <x:c r="L468" s="82" t="str">
        <x:v>5DOT</x:v>
      </x:c>
      <x:c r="M468" s="82" t="str">
        <x:v>Black / / / Metal</x:v>
      </x:c>
      <x:c r="N468" s="82" t="str">
        <x:v>Clear</x:v>
      </x:c>
      <x:c r="O468" s="82" t="str">
        <x:v>Black</x:v>
      </x:c>
      <x:c r="P468" s="82" t="str">
        <x:v>Malaysia</x:v>
      </x:c>
      <x:c r="Q468" s="82" t="str"/>
      <x:c r="R468" s="82" t="str">
        <x:v>Mainline</x:v>
      </x:c>
      <x:c r="S468" s="82" t="str">
        <x:v>Rara</x:v>
      </x:c>
      <x:c r="T468" s="82" t="str">
        <x:v>Lançado</x:v>
      </x:c>
      <x:c r="U468" s="82" t="str">
        <x:v>Ferrari Testarossa or Ferrari F512M on card</x:v>
      </x:c>
      <x:c r="V468" s="80" t="str">
        <x:v>Coleção principal (~1:64)</x:v>
      </x:c>
      <x:c r="W468" s="82" t="str">
        <x:v>https://hotwheels.fandom.com/wiki/Ferrari_F512M</x:v>
      </x:c>
      <x:c r="X468" s="82" t="str">
        <x:v>https://hotwheels.fandom.com/wiki/Ferrari_F512M</x:v>
      </x:c>
    </x:row>
    <x:row r="469">
      <x:c r="A469" s="80" t="str">
        <x:v>Não</x:v>
      </x:c>
      <x:c r="B469" s="80" t="str">
        <x:v>2 — Completar aos poucos</x:v>
      </x:c>
      <x:c r="C469" s="81" t="n">
        <x:v>1998</x:v>
      </x:c>
      <x:c r="D469" s="80" t="str">
        <x:v>Ferrari F512M</x:v>
      </x:c>
      <x:c r="E469" s="80" t="str">
        <x:v>Ferrari F512M</x:v>
      </x:c>
      <x:c r="F469" s="82" t="str">
        <x:v>Mainline</x:v>
      </x:c>
      <x:c r="G469" s="80" t="str"/>
      <x:c r="H469" s="80" t="str">
        <x:v>784</x:v>
      </x:c>
      <x:c r="I469" s="83" t="str">
        <x:v>19953</x:v>
      </x:c>
      <x:c r="J469" s="80" t="str">
        <x:v>Metalflake Silver</x:v>
      </x:c>
      <x:c r="K469" s="82" t="str">
        <x:v>Yellow &amp; Black Ferrari Logo on hood</x:v>
      </x:c>
      <x:c r="L469" s="82" t="str">
        <x:v>5SP</x:v>
      </x:c>
      <x:c r="M469" s="82" t="str">
        <x:v>Black / / / Metal</x:v>
      </x:c>
      <x:c r="N469" s="82" t="str">
        <x:v>Clear</x:v>
      </x:c>
      <x:c r="O469" s="82" t="str">
        <x:v>Black</x:v>
      </x:c>
      <x:c r="P469" s="82" t="str">
        <x:v>Malaysia</x:v>
      </x:c>
      <x:c r="Q469" s="82" t="str"/>
      <x:c r="R469" s="82" t="str">
        <x:v>Mainline</x:v>
      </x:c>
      <x:c r="S469" s="82" t="str">
        <x:v>Rara</x:v>
      </x:c>
      <x:c r="T469" s="82" t="str">
        <x:v>Lançado</x:v>
      </x:c>
      <x:c r="U469" s="82" t="str">
        <x:v>Ferrari Testarossa or Ferrari F512M on card</x:v>
      </x:c>
      <x:c r="V469" s="80" t="str">
        <x:v>Coleção principal (~1:64)</x:v>
      </x:c>
      <x:c r="W469" s="82" t="str">
        <x:v>https://hotwheels.fandom.com/wiki/Ferrari_F512M</x:v>
      </x:c>
      <x:c r="X469" s="82" t="str">
        <x:v>https://hotwheels.fandom.com/wiki/Ferrari_F512M</x:v>
      </x:c>
    </x:row>
    <x:row r="470">
      <x:c r="A470" s="80" t="str">
        <x:v>Não</x:v>
      </x:c>
      <x:c r="B470" s="80" t="str">
        <x:v>2 — Completar aos poucos</x:v>
      </x:c>
      <x:c r="C470" s="81" t="n">
        <x:v>1998</x:v>
      </x:c>
      <x:c r="D470" s="80" t="str">
        <x:v>Ferrari Testarossa (1987)</x:v>
      </x:c>
      <x:c r="E470" s="80" t="str">
        <x:v>Ferrari Testarossa</x:v>
      </x:c>
      <x:c r="F470" s="82" t="str">
        <x:v>Mainline</x:v>
      </x:c>
      <x:c r="G470" s="80" t="str"/>
      <x:c r="H470" s="80" t="str">
        <x:v>834</x:v>
      </x:c>
      <x:c r="I470" s="83" t="str">
        <x:v>13576</x:v>
      </x:c>
      <x:c r="J470" s="80" t="str">
        <x:v>Black</x:v>
      </x:c>
      <x:c r="K470" s="82" t="str">
        <x:v>Yellow &amp; Black "Ferrari" logo on hood</x:v>
      </x:c>
      <x:c r="L470" s="82" t="str">
        <x:v>BW</x:v>
      </x:c>
      <x:c r="M470" s="82" t="str">
        <x:v>Black / / / Metal</x:v>
      </x:c>
      <x:c r="N470" s="82" t="str">
        <x:v>Clear</x:v>
      </x:c>
      <x:c r="O470" s="82" t="str">
        <x:v>Tan &amp; Black</x:v>
      </x:c>
      <x:c r="P470" s="82" t="str">
        <x:v>India</x:v>
      </x:c>
      <x:c r="Q470" s="82" t="str"/>
      <x:c r="R470" s="82" t="str">
        <x:v>Mainline</x:v>
      </x:c>
      <x:c r="S470" s="82" t="str">
        <x:v>Rara</x:v>
      </x:c>
      <x:c r="T470" s="82" t="str">
        <x:v>Lançado</x:v>
      </x:c>
      <x:c r="U470" s="82" t="str"/>
      <x:c r="V470" s="80" t="str">
        <x:v>Coleção principal (~1:64)</x:v>
      </x:c>
      <x:c r="W470" s="82" t="str">
        <x:v>https://hotwheels.fandom.com/wiki/Ferrari_Testarossa_(1987)</x:v>
      </x:c>
      <x:c r="X470" s="82" t="str">
        <x:v>https://hotwheels.fandom.com/wiki/Ferrari_Testarossa_(1987)</x:v>
      </x:c>
    </x:row>
    <x:row r="471">
      <x:c r="A471" s="80" t="str">
        <x:v>Não</x:v>
      </x:c>
      <x:c r="B471" s="80" t="str">
        <x:v>2 — Completar aos poucos</x:v>
      </x:c>
      <x:c r="C471" s="81" t="n">
        <x:v>1998</x:v>
      </x:c>
      <x:c r="D471" s="80" t="str">
        <x:v>Racebait 308</x:v>
      </x:c>
      <x:c r="E471" s="80" t="str">
        <x:v>Racebait 308</x:v>
      </x:c>
      <x:c r="F471" s="82" t="str">
        <x:v>Mainline</x:v>
      </x:c>
      <x:c r="G471" s="80" t="str"/>
      <x:c r="H471" s="80" t="str">
        <x:v>816</x:v>
      </x:c>
      <x:c r="I471" s="83" t="str">
        <x:v>19985</x:v>
      </x:c>
      <x:c r="J471" s="80" t="str">
        <x:v>Metalflake Brown</x:v>
      </x:c>
      <x:c r="K471" s="82" t="str">
        <x:v>Ferrari logo on hood, yellow Hot Wheels logo in the back</x:v>
      </x:c>
      <x:c r="L471" s="82" t="str">
        <x:v>5DOT</x:v>
      </x:c>
      <x:c r="M471" s="82" t="str">
        <x:v>Black / / / Metal</x:v>
      </x:c>
      <x:c r="N471" s="82" t="str">
        <x:v>Tinted black</x:v>
      </x:c>
      <x:c r="O471" s="82" t="str">
        <x:v>Tan</x:v>
      </x:c>
      <x:c r="P471" s="82" t="str">
        <x:v>Malaysia</x:v>
      </x:c>
      <x:c r="Q471" s="82" t="str"/>
      <x:c r="R471" s="82" t="str">
        <x:v>Mainline</x:v>
      </x:c>
      <x:c r="S471" s="82" t="str">
        <x:v>Rara</x:v>
      </x:c>
      <x:c r="T471" s="82" t="str">
        <x:v>Lançado</x:v>
      </x:c>
      <x:c r="U471" s="82" t="str">
        <x:v>Named Ferrari 308</x:v>
      </x:c>
      <x:c r="V471" s="80" t="str">
        <x:v>Coleção principal (~1:64)</x:v>
      </x:c>
      <x:c r="W471" s="82" t="str">
        <x:v>https://hotwheels.fandom.com/wiki/Racebait_308</x:v>
      </x:c>
      <x:c r="X471" s="82" t="str">
        <x:v>https://hotwheels.fandom.com/wiki/Racebait_308</x:v>
      </x:c>
    </x:row>
    <x:row r="472">
      <x:c r="A472" s="80" t="str">
        <x:v>Não</x:v>
      </x:c>
      <x:c r="B472" s="80" t="str">
        <x:v>2 — Completar aos poucos</x:v>
      </x:c>
      <x:c r="C472" s="81" t="n">
        <x:v>1998</x:v>
      </x:c>
      <x:c r="D472" s="80" t="str">
        <x:v>Racebait 308</x:v>
      </x:c>
      <x:c r="E472" s="80" t="str">
        <x:v>Racebait 308</x:v>
      </x:c>
      <x:c r="F472" s="82" t="str">
        <x:v>Mainline</x:v>
      </x:c>
      <x:c r="G472" s="80" t="str"/>
      <x:c r="H472" s="80" t="str">
        <x:v>816</x:v>
      </x:c>
      <x:c r="I472" s="83" t="str">
        <x:v>19985</x:v>
      </x:c>
      <x:c r="J472" s="80" t="str">
        <x:v>Metalflake Brown</x:v>
      </x:c>
      <x:c r="K472" s="82" t="str">
        <x:v>Ferrari logo on hood, yellow Hot Wheels logo in the back</x:v>
      </x:c>
      <x:c r="L472" s="82" t="str">
        <x:v>5SP</x:v>
      </x:c>
      <x:c r="M472" s="82" t="str">
        <x:v>Black / / / Metal</x:v>
      </x:c>
      <x:c r="N472" s="82" t="str">
        <x:v>Tinted black</x:v>
      </x:c>
      <x:c r="O472" s="82" t="str">
        <x:v>Tan</x:v>
      </x:c>
      <x:c r="P472" s="82" t="str">
        <x:v>Malaysia</x:v>
      </x:c>
      <x:c r="Q472" s="82" t="str"/>
      <x:c r="R472" s="82" t="str">
        <x:v>Mainline</x:v>
      </x:c>
      <x:c r="S472" s="82" t="str">
        <x:v>Rara</x:v>
      </x:c>
      <x:c r="T472" s="82" t="str">
        <x:v>Lançado</x:v>
      </x:c>
      <x:c r="U472" s="82" t="str">
        <x:v>Named Ferrari 308</x:v>
      </x:c>
      <x:c r="V472" s="80" t="str">
        <x:v>Coleção principal (~1:64)</x:v>
      </x:c>
      <x:c r="W472" s="82" t="str">
        <x:v>https://hotwheels.fandom.com/wiki/Racebait_308</x:v>
      </x:c>
      <x:c r="X472" s="82" t="str">
        <x:v>https://hotwheels.fandom.com/wiki/Racebait_308</x:v>
      </x:c>
    </x:row>
    <x:row r="473">
      <x:c r="A473" s="80" t="str">
        <x:v>Não</x:v>
      </x:c>
      <x:c r="B473" s="80" t="str">
        <x:v>2 — Completar aos poucos</x:v>
      </x:c>
      <x:c r="C473" s="81" t="n">
        <x:v>1998</x:v>
      </x:c>
      <x:c r="D473" s="80" t="str">
        <x:v>Racebait 308</x:v>
      </x:c>
      <x:c r="E473" s="80" t="str">
        <x:v>Racebait 308</x:v>
      </x:c>
      <x:c r="F473" s="82" t="str">
        <x:v>Mainline</x:v>
      </x:c>
      <x:c r="G473" s="80" t="str"/>
      <x:c r="H473" s="80" t="str">
        <x:v>816</x:v>
      </x:c>
      <x:c r="I473" s="83" t="str">
        <x:v>19985</x:v>
      </x:c>
      <x:c r="J473" s="80" t="str">
        <x:v>Metalflake Brown</x:v>
      </x:c>
      <x:c r="K473" s="82" t="str">
        <x:v>Ferrari logo on hood, yellow Hot Wheels logo in the back</x:v>
      </x:c>
      <x:c r="L473" s="82" t="str">
        <x:v>5SP</x:v>
      </x:c>
      <x:c r="M473" s="82" t="str">
        <x:v>Black / / / Metal</x:v>
      </x:c>
      <x:c r="N473" s="82" t="str">
        <x:v>Tinted black</x:v>
      </x:c>
      <x:c r="O473" s="82" t="str">
        <x:v>Black</x:v>
      </x:c>
      <x:c r="P473" s="82" t="str">
        <x:v>Malaysia</x:v>
      </x:c>
      <x:c r="Q473" s="82" t="str"/>
      <x:c r="R473" s="82" t="str">
        <x:v>Mainline</x:v>
      </x:c>
      <x:c r="S473" s="82" t="str">
        <x:v>Rara</x:v>
      </x:c>
      <x:c r="T473" s="82" t="str">
        <x:v>Lançado</x:v>
      </x:c>
      <x:c r="U473" s="82" t="str">
        <x:v>Named Ferrari 308</x:v>
      </x:c>
      <x:c r="V473" s="80" t="str">
        <x:v>Coleção principal (~1:64)</x:v>
      </x:c>
      <x:c r="W473" s="82" t="str">
        <x:v>https://hotwheels.fandom.com/wiki/Racebait_308</x:v>
      </x:c>
      <x:c r="X473" s="82" t="str">
        <x:v>https://hotwheels.fandom.com/wiki/Racebait_308</x:v>
      </x:c>
    </x:row>
    <x:row r="474">
      <x:c r="A474" s="80" t="str">
        <x:v>Não</x:v>
      </x:c>
      <x:c r="B474" s="80" t="str">
        <x:v>2 — Completar aos poucos</x:v>
      </x:c>
      <x:c r="C474" s="81" t="n">
        <x:v>1998</x:v>
      </x:c>
      <x:c r="D474" s="80" t="str">
        <x:v>Racebait 308</x:v>
      </x:c>
      <x:c r="E474" s="80" t="str">
        <x:v>Racebait 308</x:v>
      </x:c>
      <x:c r="F474" s="82" t="str">
        <x:v>Mainline</x:v>
      </x:c>
      <x:c r="G474" s="80" t="str"/>
      <x:c r="H474" s="80" t="str">
        <x:v>816</x:v>
      </x:c>
      <x:c r="I474" s="83" t="str">
        <x:v>19985</x:v>
      </x:c>
      <x:c r="J474" s="80" t="str">
        <x:v>Red</x:v>
      </x:c>
      <x:c r="K474" s="82" t="str">
        <x:v>Ferrari logo on hood</x:v>
      </x:c>
      <x:c r="L474" s="82" t="str">
        <x:v>5SP</x:v>
      </x:c>
      <x:c r="M474" s="82" t="str">
        <x:v>Red / / / Metal</x:v>
      </x:c>
      <x:c r="N474" s="82" t="str">
        <x:v>Smoke</x:v>
      </x:c>
      <x:c r="O474" s="82" t="str">
        <x:v>Black</x:v>
      </x:c>
      <x:c r="P474" s="82" t="str">
        <x:v>Malaysa</x:v>
      </x:c>
      <x:c r="Q474" s="82" t="str"/>
      <x:c r="R474" s="82" t="str">
        <x:v>Mainline</x:v>
      </x:c>
      <x:c r="S474" s="82" t="str">
        <x:v>Rara</x:v>
      </x:c>
      <x:c r="T474" s="82" t="str">
        <x:v>Lançado</x:v>
      </x:c>
      <x:c r="U474" s="82" t="str">
        <x:v>Named Ferrari 308</x:v>
      </x:c>
      <x:c r="V474" s="80" t="str">
        <x:v>Coleção principal (~1:64)</x:v>
      </x:c>
      <x:c r="W474" s="82" t="str">
        <x:v>https://hotwheels.fandom.com/wiki/Racebait_308</x:v>
      </x:c>
      <x:c r="X474" s="82" t="str">
        <x:v>https://hotwheels.fandom.com/wiki/Racebait_308</x:v>
      </x:c>
    </x:row>
    <x:row r="475">
      <x:c r="A475" s="80" t="str">
        <x:v>Não</x:v>
      </x:c>
      <x:c r="B475" s="80" t="str">
        <x:v>2 — Completar aos poucos</x:v>
      </x:c>
      <x:c r="C475" s="81" t="n">
        <x:v>1998</x:v>
      </x:c>
      <x:c r="D475" s="80" t="str">
        <x:v>Racebait 308</x:v>
      </x:c>
      <x:c r="E475" s="80" t="str">
        <x:v>Racebait 308</x:v>
      </x:c>
      <x:c r="F475" s="82" t="str">
        <x:v>Mainline</x:v>
      </x:c>
      <x:c r="G475" s="80" t="str"/>
      <x:c r="H475" s="80" t="str">
        <x:v>816</x:v>
      </x:c>
      <x:c r="I475" s="83" t="str">
        <x:v>19985</x:v>
      </x:c>
      <x:c r="J475" s="80" t="str">
        <x:v>Red</x:v>
      </x:c>
      <x:c r="K475" s="82" t="str">
        <x:v>Ferrari logo on hood</x:v>
      </x:c>
      <x:c r="L475" s="82" t="str">
        <x:v>5SP</x:v>
      </x:c>
      <x:c r="M475" s="82" t="str">
        <x:v>Red / / / Metal</x:v>
      </x:c>
      <x:c r="N475" s="82" t="str">
        <x:v>Smoke</x:v>
      </x:c>
      <x:c r="O475" s="82" t="str">
        <x:v>Tan</x:v>
      </x:c>
      <x:c r="P475" s="82" t="str">
        <x:v>Malaysa</x:v>
      </x:c>
      <x:c r="Q475" s="82" t="str"/>
      <x:c r="R475" s="82" t="str">
        <x:v>Mainline</x:v>
      </x:c>
      <x:c r="S475" s="82" t="str">
        <x:v>Rara</x:v>
      </x:c>
      <x:c r="T475" s="82" t="str">
        <x:v>Lançado</x:v>
      </x:c>
      <x:c r="U475" s="82" t="str">
        <x:v>Named Ferrari 308</x:v>
      </x:c>
      <x:c r="V475" s="80" t="str">
        <x:v>Coleção principal (~1:64)</x:v>
      </x:c>
      <x:c r="W475" s="82" t="str">
        <x:v>https://hotwheels.fandom.com/wiki/Racebait_308</x:v>
      </x:c>
      <x:c r="X475" s="82" t="str">
        <x:v>https://hotwheels.fandom.com/wiki/Racebait_308</x:v>
      </x:c>
    </x:row>
    <x:row r="476">
      <x:c r="A476" s="80" t="str">
        <x:v>Não</x:v>
      </x:c>
      <x:c r="B476" s="80" t="str">
        <x:v>2 — Completar aos poucos</x:v>
      </x:c>
      <x:c r="C476" s="81" t="n">
        <x:v>1997</x:v>
      </x:c>
      <x:c r="D476" s="80" t="str">
        <x:v>Ferrari 250</x:v>
      </x:c>
      <x:c r="E476" s="80" t="str">
        <x:v>Ferrari 250</x:v>
      </x:c>
      <x:c r="F476" s="82" t="str">
        <x:v>Ferrari / 1/4</x:v>
      </x:c>
      <x:c r="G476" s="80" t="str"/>
      <x:c r="H476" s="80" t="str"/>
      <x:c r="I476" s="83" t="str">
        <x:v>17961</x:v>
      </x:c>
      <x:c r="J476" s="80" t="str">
        <x:v>Metalflake Silver</x:v>
      </x:c>
      <x:c r="K476" s="82" t="str">
        <x:v>Ferrari logo on hood</x:v>
      </x:c>
      <x:c r="L476" s="82" t="str">
        <x:v>5SP</x:v>
      </x:c>
      <x:c r="M476" s="82" t="str">
        <x:v>Grey / / / Plastic</x:v>
      </x:c>
      <x:c r="N476" s="82" t="str">
        <x:v>Clear</x:v>
      </x:c>
      <x:c r="O476" s="82" t="str">
        <x:v>Red</x:v>
      </x:c>
      <x:c r="P476" s="82" t="str">
        <x:v>Malaysia</x:v>
      </x:c>
      <x:c r="Q476" s="82" t="str"/>
      <x:c r="R476" s="82" t="str">
        <x:v>Mainline</x:v>
      </x:c>
      <x:c r="S476" s="82" t="str">
        <x:v>Rara</x:v>
      </x:c>
      <x:c r="T476" s="82" t="str">
        <x:v>Lançado</x:v>
      </x:c>
      <x:c r="U476" s="82" t="str">
        <x:v>Europe Release VHTF short card</x:v>
      </x:c>
      <x:c r="V476" s="80" t="str">
        <x:v>Coleção principal (~1:64)</x:v>
      </x:c>
      <x:c r="W476" s="82" t="str">
        <x:v>https://hotwheels.fandom.com/wiki/Ferrari_250</x:v>
      </x:c>
      <x:c r="X476" s="82" t="str">
        <x:v>https://hotwheels.fandom.com/wiki/Ferrari_250</x:v>
      </x:c>
    </x:row>
    <x:row r="477">
      <x:c r="A477" s="80" t="str">
        <x:v>Não</x:v>
      </x:c>
      <x:c r="B477" s="80" t="str">
        <x:v>2 — Completar aos poucos</x:v>
      </x:c>
      <x:c r="C477" s="81" t="n">
        <x:v>1997</x:v>
      </x:c>
      <x:c r="D477" s="80" t="str">
        <x:v>Ferrari 250</x:v>
      </x:c>
      <x:c r="E477" s="80" t="str">
        <x:v>Ferrari 250</x:v>
      </x:c>
      <x:c r="F477" s="82" t="str">
        <x:v>Ferrari 5-Pack</x:v>
      </x:c>
      <x:c r="G477" s="80" t="str"/>
      <x:c r="H477" s="80" t="str"/>
      <x:c r="I477" s="83" t="str">
        <x:v>5665</x:v>
      </x:c>
      <x:c r="J477" s="80" t="str">
        <x:v>Red</x:v>
      </x:c>
      <x:c r="K477" s="82" t="str">
        <x:v>Yellow &amp; Black Ferrari Logo on hood</x:v>
      </x:c>
      <x:c r="L477" s="82" t="str">
        <x:v>7SP</x:v>
      </x:c>
      <x:c r="M477" s="82" t="str">
        <x:v>Red / / / Plastic</x:v>
      </x:c>
      <x:c r="N477" s="82" t="str">
        <x:v>Clear</x:v>
      </x:c>
      <x:c r="O477" s="82" t="str">
        <x:v>Black</x:v>
      </x:c>
      <x:c r="P477" s="82" t="str">
        <x:v>Malaysia</x:v>
      </x:c>
      <x:c r="Q477" s="82" t="str"/>
      <x:c r="R477" s="82" t="str">
        <x:v>Temática / multipack</x:v>
      </x:c>
      <x:c r="S477" s="82" t="str">
        <x:v>Rara</x:v>
      </x:c>
      <x:c r="T477" s="82" t="str">
        <x:v>Lançado</x:v>
      </x:c>
      <x:c r="U477" s="82" t="str"/>
      <x:c r="V477" s="80" t="str">
        <x:v>Coleção principal (~1:64)</x:v>
      </x:c>
      <x:c r="W477" s="82" t="str">
        <x:v>https://hotwheels.fandom.com/wiki/Ferrari_250</x:v>
      </x:c>
      <x:c r="X477" s="82" t="str">
        <x:v>https://hotwheels.fandom.com/wiki/Ferrari_250</x:v>
      </x:c>
    </x:row>
    <x:row r="478">
      <x:c r="A478" s="80" t="str">
        <x:v>Não</x:v>
      </x:c>
      <x:c r="B478" s="80" t="str">
        <x:v>2 — Completar aos poucos</x:v>
      </x:c>
      <x:c r="C478" s="81" t="n">
        <x:v>1997</x:v>
      </x:c>
      <x:c r="D478" s="80" t="str">
        <x:v>Ferrari 308 GTS (Corgi)</x:v>
      </x:c>
      <x:c r="E478" s="80" t="str">
        <x:v>Ferrari 308 GTS</x:v>
      </x:c>
      <x:c r="F478" s="82" t="str">
        <x:v>Mainline</x:v>
      </x:c>
      <x:c r="G478" s="80" t="str"/>
      <x:c r="H478" s="80" t="str">
        <x:v>604</x:v>
      </x:c>
      <x:c r="I478" s="83" t="str">
        <x:v>95604</x:v>
      </x:c>
      <x:c r="J478" s="80" t="str">
        <x:v>Yellow</x:v>
      </x:c>
      <x:c r="K478" s="82" t="str">
        <x:v>Yellow HW logo on front windshield</x:v>
      </x:c>
      <x:c r="L478" s="82" t="str">
        <x:v>WSP</x:v>
      </x:c>
      <x:c r="M478" s="82" t="str">
        <x:v>Black / / / Plastic</x:v>
      </x:c>
      <x:c r="N478" s="82" t="str">
        <x:v>Clear</x:v>
      </x:c>
      <x:c r="O478" s="82" t="str">
        <x:v>Black</x:v>
      </x:c>
      <x:c r="P478" s="82" t="str">
        <x:v>China</x:v>
      </x:c>
      <x:c r="Q478" s="82" t="str"/>
      <x:c r="R478" s="82" t="str">
        <x:v>Mainline</x:v>
      </x:c>
      <x:c r="S478" s="82" t="str">
        <x:v>Rara</x:v>
      </x:c>
      <x:c r="T478" s="82" t="str">
        <x:v>Lançado</x:v>
      </x:c>
      <x:c r="U478" s="82" t="str"/>
      <x:c r="V478" s="80" t="str">
        <x:v>Coleção principal (~1:64)</x:v>
      </x:c>
      <x:c r="W478" s="82" t="str">
        <x:v>https://hotwheels.fandom.com/wiki/Ferrari_308_GTS_(Corgi)</x:v>
      </x:c>
      <x:c r="X478" s="82" t="str">
        <x:v>https://hotwheels.fandom.com/wiki/Ferrari_308_GTS_(Corgi)</x:v>
      </x:c>
    </x:row>
    <x:row r="479">
      <x:c r="A479" s="80" t="str">
        <x:v>Não</x:v>
      </x:c>
      <x:c r="B479" s="80" t="str">
        <x:v>2 — Completar aos poucos</x:v>
      </x:c>
      <x:c r="C479" s="81" t="n">
        <x:v>1997</x:v>
      </x:c>
      <x:c r="D479" s="80" t="str">
        <x:v>Ferrari 308 GTS (Corgi)</x:v>
      </x:c>
      <x:c r="E479" s="80" t="str">
        <x:v>Ferrari 308 GTS</x:v>
      </x:c>
      <x:c r="F479" s="82" t="str">
        <x:v>Mainline</x:v>
      </x:c>
      <x:c r="G479" s="80" t="str"/>
      <x:c r="H479" s="80" t="str">
        <x:v>604</x:v>
      </x:c>
      <x:c r="I479" s="83" t="str">
        <x:v>95604</x:v>
      </x:c>
      <x:c r="J479" s="80" t="str">
        <x:v>Yellow</x:v>
      </x:c>
      <x:c r="K479" s="82" t="str">
        <x:v>Yellow HW logo on front windshield</x:v>
      </x:c>
      <x:c r="L479" s="82" t="str">
        <x:v>5SP</x:v>
      </x:c>
      <x:c r="M479" s="82" t="str">
        <x:v>Black / / / Plastic</x:v>
      </x:c>
      <x:c r="N479" s="82" t="str">
        <x:v>Clear</x:v>
      </x:c>
      <x:c r="O479" s="82" t="str">
        <x:v>Black</x:v>
      </x:c>
      <x:c r="P479" s="82" t="str">
        <x:v>China</x:v>
      </x:c>
      <x:c r="Q479" s="82" t="str"/>
      <x:c r="R479" s="82" t="str">
        <x:v>Mainline</x:v>
      </x:c>
      <x:c r="S479" s="82" t="str">
        <x:v>Rara</x:v>
      </x:c>
      <x:c r="T479" s="82" t="str">
        <x:v>Lançado</x:v>
      </x:c>
      <x:c r="U479" s="82" t="str"/>
      <x:c r="V479" s="80" t="str">
        <x:v>Coleção principal (~1:64)</x:v>
      </x:c>
      <x:c r="W479" s="82" t="str">
        <x:v>https://hotwheels.fandom.com/wiki/Ferrari_308_GTS_(Corgi)</x:v>
      </x:c>
      <x:c r="X479" s="82" t="str">
        <x:v>https://hotwheels.fandom.com/wiki/Ferrari_308_GTS_(Corgi)</x:v>
      </x:c>
    </x:row>
    <x:row r="480">
      <x:c r="A480" s="80" t="str">
        <x:v>Não</x:v>
      </x:c>
      <x:c r="B480" s="80" t="str">
        <x:v>2 — Completar aos poucos</x:v>
      </x:c>
      <x:c r="C480" s="81" t="n">
        <x:v>1997</x:v>
      </x:c>
      <x:c r="D480" s="80" t="str">
        <x:v>Ferrari 328 GTB</x:v>
      </x:c>
      <x:c r="E480" s="80" t="str">
        <x:v>Ferrari 328 GTB</x:v>
      </x:c>
      <x:c r="F480" s="82" t="str">
        <x:v>Quicksilver / 3/4</x:v>
      </x:c>
      <x:c r="G480" s="80" t="str"/>
      <x:c r="H480" s="80" t="str">
        <x:v>547</x:v>
      </x:c>
      <x:c r="I480" s="83" t="str">
        <x:v>16920</x:v>
      </x:c>
      <x:c r="J480" s="80" t="str">
        <x:v>White</x:v>
      </x:c>
      <x:c r="K480" s="82" t="str">
        <x:v>Black, Blue, Pink "TORNADO"</x:v>
      </x:c>
      <x:c r="L480" s="82" t="str">
        <x:v>5DOT</x:v>
      </x:c>
      <x:c r="M480" s="82" t="str">
        <x:v>Black / / / Metal</x:v>
      </x:c>
      <x:c r="N480" s="82" t="str">
        <x:v>Black</x:v>
      </x:c>
      <x:c r="O480" s="82" t="str">
        <x:v>None, see gallery</x:v>
      </x:c>
      <x:c r="P480" s="82" t="str">
        <x:v>Malaysia</x:v>
      </x:c>
      <x:c r="Q480" s="82" t="str"/>
      <x:c r="R480" s="82" t="str">
        <x:v>Mainline</x:v>
      </x:c>
      <x:c r="S480" s="82" t="str">
        <x:v>Rara</x:v>
      </x:c>
      <x:c r="T480" s="82" t="str">
        <x:v>Lançado</x:v>
      </x:c>
      <x:c r="U480" s="82" t="str"/>
      <x:c r="V480" s="80" t="str">
        <x:v>Coleção principal (~1:64)</x:v>
      </x:c>
      <x:c r="W480" s="82" t="str">
        <x:v>https://hotwheels.fandom.com/wiki/Ferrari_328_GTB</x:v>
      </x:c>
      <x:c r="X480" s="82" t="str">
        <x:v>https://hotwheels.fandom.com/wiki/Ferrari_328_GTB</x:v>
      </x:c>
    </x:row>
    <x:row r="481">
      <x:c r="A481" s="80" t="str">
        <x:v>Não</x:v>
      </x:c>
      <x:c r="B481" s="80" t="str">
        <x:v>2 — Completar aos poucos</x:v>
      </x:c>
      <x:c r="C481" s="81" t="n">
        <x:v>1997</x:v>
      </x:c>
      <x:c r="D481" s="80" t="str">
        <x:v>Ferrari 348 tb</x:v>
      </x:c>
      <x:c r="E481" s="80" t="str">
        <x:v>Ferrari 348 tb</x:v>
      </x:c>
      <x:c r="F481" s="82" t="str">
        <x:v>Racing / 1/4</x:v>
      </x:c>
      <x:c r="G481" s="80" t="str"/>
      <x:c r="H481" s="80" t="str"/>
      <x:c r="I481" s="83" t="str">
        <x:v>95546</x:v>
      </x:c>
      <x:c r="J481" s="80" t="str">
        <x:v>Red</x:v>
      </x:c>
      <x:c r="K481" s="82" t="str">
        <x:v>Yellow stripes, silver lightning bolt design, Pirelli logo, Ferrari badge, "348" on hood</x:v>
      </x:c>
      <x:c r="L481" s="82" t="str">
        <x:v>5SP</x:v>
      </x:c>
      <x:c r="M481" s="82" t="str">
        <x:v>Black / / / Plastic</x:v>
      </x:c>
      <x:c r="N481" s="82" t="str">
        <x:v>Smoke tint</x:v>
      </x:c>
      <x:c r="O481" s="82" t="str">
        <x:v>Black</x:v>
      </x:c>
      <x:c r="P481" s="82" t="str">
        <x:v>China</x:v>
      </x:c>
      <x:c r="Q481" s="82" t="str"/>
      <x:c r="R481" s="82" t="str">
        <x:v>Outra linha</x:v>
      </x:c>
      <x:c r="S481" s="82" t="str">
        <x:v>Rara</x:v>
      </x:c>
      <x:c r="T481" s="82" t="str">
        <x:v>Lançado</x:v>
      </x:c>
      <x:c r="U481" s="82" t="str"/>
      <x:c r="V481" s="80" t="str">
        <x:v>Coleção principal (~1:64)</x:v>
      </x:c>
      <x:c r="W481" s="82" t="str">
        <x:v>https://hotwheels.fandom.com/wiki/Ferrari_348_tb</x:v>
      </x:c>
      <x:c r="X481" s="82" t="str">
        <x:v>https://hotwheels.fandom.com/wiki/Ferrari_348_tb</x:v>
      </x:c>
    </x:row>
    <x:row r="482">
      <x:c r="A482" s="80" t="str">
        <x:v>Não</x:v>
      </x:c>
      <x:c r="B482" s="80" t="str">
        <x:v>2 — Completar aos poucos</x:v>
      </x:c>
      <x:c r="C482" s="81" t="n">
        <x:v>1997</x:v>
      </x:c>
      <x:c r="D482" s="80" t="str">
        <x:v>Ferrari F355</x:v>
      </x:c>
      <x:c r="E482" s="80" t="str">
        <x:v>Ferrari F355</x:v>
      </x:c>
      <x:c r="F482" s="82" t="str">
        <x:v>Rockin' Rods / 2/4</x:v>
      </x:c>
      <x:c r="G482" s="80" t="str"/>
      <x:c r="H482" s="80" t="str">
        <x:v>570</x:v>
      </x:c>
      <x:c r="I482" s="83" t="str">
        <x:v>16943</x:v>
      </x:c>
      <x:c r="J482" s="80" t="str">
        <x:v>Black</x:v>
      </x:c>
      <x:c r="K482" s="82" t="str">
        <x:v>Red, green, white &amp; purple</x:v>
      </x:c>
      <x:c r="L482" s="82" t="str">
        <x:v>5SP</x:v>
      </x:c>
      <x:c r="M482" s="82" t="str">
        <x:v>Unpainted / / / Metal</x:v>
      </x:c>
      <x:c r="N482" s="82" t="str">
        <x:v>Clear</x:v>
      </x:c>
      <x:c r="O482" s="82" t="str">
        <x:v>Purple</x:v>
      </x:c>
      <x:c r="P482" s="82" t="str">
        <x:v>Malaysia</x:v>
      </x:c>
      <x:c r="Q482" s="82" t="str"/>
      <x:c r="R482" s="82" t="str">
        <x:v>Mainline</x:v>
      </x:c>
      <x:c r="S482" s="82" t="str">
        <x:v>Rara</x:v>
      </x:c>
      <x:c r="T482" s="82" t="str">
        <x:v>Lançado</x:v>
      </x:c>
      <x:c r="U482" s="82" t="str"/>
      <x:c r="V482" s="80" t="str">
        <x:v>Coleção principal (~1:64)</x:v>
      </x:c>
      <x:c r="W482" s="82" t="str">
        <x:v>https://hotwheels.fandom.com/wiki/Ferrari_F355</x:v>
      </x:c>
      <x:c r="X482" s="82" t="str">
        <x:v>https://hotwheels.fandom.com/wiki/Ferrari_F355</x:v>
      </x:c>
    </x:row>
    <x:row r="483">
      <x:c r="A483" s="80" t="str">
        <x:v>Não</x:v>
      </x:c>
      <x:c r="B483" s="80" t="str">
        <x:v>2 — Completar aos poucos</x:v>
      </x:c>
      <x:c r="C483" s="81" t="n">
        <x:v>1997</x:v>
      </x:c>
      <x:c r="D483" s="80" t="str">
        <x:v>Ferrari F355</x:v>
      </x:c>
      <x:c r="E483" s="80" t="str">
        <x:v>Ferrari F355</x:v>
      </x:c>
      <x:c r="F483" s="82" t="str">
        <x:v>Rockin' Rods / 2/4</x:v>
      </x:c>
      <x:c r="G483" s="80" t="str"/>
      <x:c r="H483" s="80" t="str">
        <x:v>570</x:v>
      </x:c>
      <x:c r="I483" s="83" t="str">
        <x:v>16943</x:v>
      </x:c>
      <x:c r="J483" s="80" t="str">
        <x:v>Black</x:v>
      </x:c>
      <x:c r="K483" s="82" t="str">
        <x:v>Red, green, white &amp; purple</x:v>
      </x:c>
      <x:c r="L483" s="82" t="str">
        <x:v>3SP</x:v>
      </x:c>
      <x:c r="M483" s="82" t="str">
        <x:v>Unpainted / / / Metal</x:v>
      </x:c>
      <x:c r="N483" s="82" t="str">
        <x:v>Clear</x:v>
      </x:c>
      <x:c r="O483" s="82" t="str">
        <x:v>Purple</x:v>
      </x:c>
      <x:c r="P483" s="82" t="str">
        <x:v>Malaysia</x:v>
      </x:c>
      <x:c r="Q483" s="82" t="str"/>
      <x:c r="R483" s="82" t="str">
        <x:v>Mainline</x:v>
      </x:c>
      <x:c r="S483" s="82" t="str">
        <x:v>Rara</x:v>
      </x:c>
      <x:c r="T483" s="82" t="str">
        <x:v>Lançado</x:v>
      </x:c>
      <x:c r="U483" s="82" t="str"/>
      <x:c r="V483" s="80" t="str">
        <x:v>Coleção principal (~1:64)</x:v>
      </x:c>
      <x:c r="W483" s="82" t="str">
        <x:v>https://hotwheels.fandom.com/wiki/Ferrari_F355</x:v>
      </x:c>
      <x:c r="X483" s="82" t="str">
        <x:v>https://hotwheels.fandom.com/wiki/Ferrari_F355</x:v>
      </x:c>
    </x:row>
    <x:row r="484">
      <x:c r="A484" s="80" t="str">
        <x:v>Não</x:v>
      </x:c>
      <x:c r="B484" s="80" t="str">
        <x:v>2 — Completar aos poucos</x:v>
      </x:c>
      <x:c r="C484" s="81" t="n">
        <x:v>1997</x:v>
      </x:c>
      <x:c r="D484" s="80" t="str">
        <x:v>Ferrari F355</x:v>
      </x:c>
      <x:c r="E484" s="80" t="str">
        <x:v>Ferrari F355</x:v>
      </x:c>
      <x:c r="F484" s="82" t="str">
        <x:v>Street Racers / 4/4</x:v>
      </x:c>
      <x:c r="G484" s="80" t="str"/>
      <x:c r="H484" s="80" t="str"/>
      <x:c r="I484" s="83" t="str">
        <x:v>13338</x:v>
      </x:c>
      <x:c r="J484" s="80" t="str">
        <x:v>Yellow</x:v>
      </x:c>
      <x:c r="K484" s="82" t="str">
        <x:v>Red HW logo license plate</x:v>
      </x:c>
      <x:c r="L484" s="82" t="str">
        <x:v>7SP</x:v>
      </x:c>
      <x:c r="M484" s="82" t="str">
        <x:v>Unpainted / / / Metal</x:v>
      </x:c>
      <x:c r="N484" s="82" t="str">
        <x:v>Clear</x:v>
      </x:c>
      <x:c r="O484" s="82" t="str">
        <x:v>Black</x:v>
      </x:c>
      <x:c r="P484" s="82" t="str">
        <x:v>Malaysia</x:v>
      </x:c>
      <x:c r="Q484" s="82" t="str"/>
      <x:c r="R484" s="82" t="str">
        <x:v>Outra linha</x:v>
      </x:c>
      <x:c r="S484" s="82" t="str">
        <x:v>Rara</x:v>
      </x:c>
      <x:c r="T484" s="82" t="str">
        <x:v>Lançado</x:v>
      </x:c>
      <x:c r="U484" s="82" t="str"/>
      <x:c r="V484" s="80" t="str">
        <x:v>Coleção principal (~1:64)</x:v>
      </x:c>
      <x:c r="W484" s="82" t="str">
        <x:v>https://hotwheels.fandom.com/wiki/Ferrari_F355</x:v>
      </x:c>
      <x:c r="X484" s="82" t="str">
        <x:v>https://hotwheels.fandom.com/wiki/Ferrari_F355</x:v>
      </x:c>
    </x:row>
    <x:row r="485">
      <x:c r="A485" s="80" t="str">
        <x:v>Não</x:v>
      </x:c>
      <x:c r="B485" s="80" t="str">
        <x:v>2 — Completar aos poucos</x:v>
      </x:c>
      <x:c r="C485" s="81" t="n">
        <x:v>1997</x:v>
      </x:c>
      <x:c r="D485" s="80" t="str">
        <x:v>Ferrari F40</x:v>
      </x:c>
      <x:c r="E485" s="80" t="str">
        <x:v>Ferrari F40</x:v>
      </x:c>
      <x:c r="F485" s="82" t="str">
        <x:v>Ferrari / 3/4</x:v>
      </x:c>
      <x:c r="G485" s="80" t="str"/>
      <x:c r="H485" s="80" t="str"/>
      <x:c r="I485" s="83" t="str">
        <x:v>17963</x:v>
      </x:c>
      <x:c r="J485" s="80" t="str">
        <x:v>Red</x:v>
      </x:c>
      <x:c r="K485" s="82" t="str">
        <x:v>Black &amp; yellow Ferrari logo on hood; yellow "Ferrari" on rear spoiler</x:v>
      </x:c>
      <x:c r="L485" s="82" t="str">
        <x:v>5SP</x:v>
      </x:c>
      <x:c r="M485" s="82" t="str">
        <x:v>ZAMAC</x:v>
      </x:c>
      <x:c r="N485" s="82" t="str">
        <x:v>Clear</x:v>
      </x:c>
      <x:c r="O485" s="82" t="str">
        <x:v>Tan</x:v>
      </x:c>
      <x:c r="P485" s="82" t="str">
        <x:v>Malaysia</x:v>
      </x:c>
      <x:c r="Q485" s="82" t="str"/>
      <x:c r="R485" s="82" t="str">
        <x:v>Outra linha</x:v>
      </x:c>
      <x:c r="S485" s="82" t="str">
        <x:v>Rara</x:v>
      </x:c>
      <x:c r="T485" s="82" t="str">
        <x:v>Lançado</x:v>
      </x:c>
      <x:c r="U485" s="82" t="str">
        <x:v>International only</x:v>
      </x:c>
      <x:c r="V485" s="80" t="str">
        <x:v>Coleção principal (~1:64)</x:v>
      </x:c>
      <x:c r="W485" s="82" t="str">
        <x:v>https://hotwheels.fandom.com/wiki/Ferrari_F40</x:v>
      </x:c>
      <x:c r="X485" s="82" t="str">
        <x:v>https://hotwheels.fandom.com/wiki/Ferrari_F40</x:v>
      </x:c>
    </x:row>
    <x:row r="486">
      <x:c r="A486" s="80" t="str">
        <x:v>Não</x:v>
      </x:c>
      <x:c r="B486" s="80" t="str">
        <x:v>2 — Completar aos poucos</x:v>
      </x:c>
      <x:c r="C486" s="81" t="n">
        <x:v>1997</x:v>
      </x:c>
      <x:c r="D486" s="80" t="str">
        <x:v>Ferrari F40</x:v>
      </x:c>
      <x:c r="E486" s="80" t="str">
        <x:v>Ferrari F40</x:v>
      </x:c>
      <x:c r="F486" s="82" t="str">
        <x:v>Ferrari / 3/4</x:v>
      </x:c>
      <x:c r="G486" s="80" t="str"/>
      <x:c r="H486" s="80" t="str">
        <x:v>Grayish/Tan</x:v>
      </x:c>
      <x:c r="I486" s="83" t="str">
        <x:v>17963</x:v>
      </x:c>
      <x:c r="J486" s="80" t="str">
        <x:v>Red</x:v>
      </x:c>
      <x:c r="K486" s="82" t="str">
        <x:v>Black &amp; yellow Ferrari logo on hood; yellow "Ferrari" on rear spoiler</x:v>
      </x:c>
      <x:c r="L486" s="82" t="str">
        <x:v>5SP</x:v>
      </x:c>
      <x:c r="M486" s="82" t="str">
        <x:v>ZAMAC</x:v>
      </x:c>
      <x:c r="N486" s="82" t="str">
        <x:v>Clear</x:v>
      </x:c>
      <x:c r="O486" s="82" t="str"/>
      <x:c r="P486" s="82" t="str">
        <x:v>Malaysia</x:v>
      </x:c>
      <x:c r="Q486" s="82" t="str"/>
      <x:c r="R486" s="82" t="str">
        <x:v>Mainline</x:v>
      </x:c>
      <x:c r="S486" s="82" t="str">
        <x:v>Rara</x:v>
      </x:c>
      <x:c r="T486" s="82" t="str">
        <x:v>Lançado</x:v>
      </x:c>
      <x:c r="U486" s="82" t="str">
        <x:v>International only</x:v>
      </x:c>
      <x:c r="V486" s="80" t="str">
        <x:v>Coleção principal (~1:64)</x:v>
      </x:c>
      <x:c r="W486" s="82" t="str">
        <x:v>https://hotwheels.fandom.com/wiki/Ferrari_F40</x:v>
      </x:c>
      <x:c r="X486" s="82" t="str">
        <x:v>https://hotwheels.fandom.com/wiki/Ferrari_F40</x:v>
      </x:c>
    </x:row>
    <x:row r="487">
      <x:c r="A487" s="80" t="str">
        <x:v>Não</x:v>
      </x:c>
      <x:c r="B487" s="80" t="str">
        <x:v>2 — Completar aos poucos</x:v>
      </x:c>
      <x:c r="C487" s="81" t="n">
        <x:v>1997</x:v>
      </x:c>
      <x:c r="D487" s="80" t="str">
        <x:v>Ferrari F50 Spider</x:v>
      </x:c>
      <x:c r="E487" s="80" t="str">
        <x:v>Ferrari F50 Spider</x:v>
      </x:c>
      <x:c r="F487" s="82" t="str">
        <x:v>Ferrari / 4/4</x:v>
      </x:c>
      <x:c r="G487" s="80" t="str"/>
      <x:c r="H487" s="80" t="str"/>
      <x:c r="I487" s="83" t="str">
        <x:v>17694</x:v>
      </x:c>
      <x:c r="J487" s="80" t="str">
        <x:v>Red</x:v>
      </x:c>
      <x:c r="K487" s="82" t="str">
        <x:v>Yellow "Ferrari" logo on rear wing, yellow "Hot Wheels" logo on side</x:v>
      </x:c>
      <x:c r="L487" s="82" t="str">
        <x:v>LW</x:v>
      </x:c>
      <x:c r="M487" s="82" t="str">
        <x:v>Gray / / / Plastic</x:v>
      </x:c>
      <x:c r="N487" s="82" t="str">
        <x:v>Clear</x:v>
      </x:c>
      <x:c r="O487" s="82" t="str">
        <x:v>Black</x:v>
      </x:c>
      <x:c r="P487" s="82" t="str">
        <x:v>Malaysia</x:v>
      </x:c>
      <x:c r="Q487" s="82" t="str"/>
      <x:c r="R487" s="82" t="str">
        <x:v>Mainline</x:v>
      </x:c>
      <x:c r="S487" s="82" t="str">
        <x:v>Rara</x:v>
      </x:c>
      <x:c r="T487" s="82" t="str">
        <x:v>Lançado</x:v>
      </x:c>
      <x:c r="U487" s="82" t="str">
        <x:v>Europe Exclusive</x:v>
      </x:c>
      <x:c r="V487" s="80" t="str">
        <x:v>Coleção principal (~1:64)</x:v>
      </x:c>
      <x:c r="W487" s="82" t="str">
        <x:v>https://hotwheels.fandom.com/wiki/Ferrari_F50_Spider</x:v>
      </x:c>
      <x:c r="X487" s="82" t="str">
        <x:v>https://hotwheels.fandom.com/wiki/Ferrari_F50_Spider</x:v>
      </x:c>
    </x:row>
    <x:row r="488">
      <x:c r="A488" s="80" t="str">
        <x:v>Não</x:v>
      </x:c>
      <x:c r="B488" s="80" t="str">
        <x:v>2 — Completar aos poucos</x:v>
      </x:c>
      <x:c r="C488" s="81" t="n">
        <x:v>1997</x:v>
      </x:c>
      <x:c r="D488" s="80" t="str">
        <x:v>Ferrari Testarossa (Corgi)</x:v>
      </x:c>
      <x:c r="E488" s="80" t="str">
        <x:v>Ferrari Testarossa</x:v>
      </x:c>
      <x:c r="F488" s="82" t="str">
        <x:v>65740</x:v>
      </x:c>
      <x:c r="G488" s="80" t="str"/>
      <x:c r="H488" s="80" t="str">
        <x:v>Super Highway Playtrack</x:v>
      </x:c>
      <x:c r="I488" s="83" t="str"/>
      <x:c r="J488" s="80" t="str">
        <x:v>Yellow</x:v>
      </x:c>
      <x:c r="K488" s="82" t="str">
        <x:v>Yellow HW logo, Painted lower lights</x:v>
      </x:c>
      <x:c r="L488" s="82" t="str">
        <x:v>5SP</x:v>
      </x:c>
      <x:c r="M488" s="82" t="str">
        <x:v>Black / / / Plastic</x:v>
      </x:c>
      <x:c r="N488" s="82" t="str">
        <x:v>Clear</x:v>
      </x:c>
      <x:c r="O488" s="82" t="str">
        <x:v>Black</x:v>
      </x:c>
      <x:c r="P488" s="82" t="str">
        <x:v>China</x:v>
      </x:c>
      <x:c r="Q488" s="82" t="str"/>
      <x:c r="R488" s="82" t="str">
        <x:v>Mainline</x:v>
      </x:c>
      <x:c r="S488" s="82" t="str">
        <x:v>Rara</x:v>
      </x:c>
      <x:c r="T488" s="82" t="str">
        <x:v>Lançado</x:v>
      </x:c>
      <x:c r="U488" s="82" t="str"/>
      <x:c r="V488" s="80" t="str">
        <x:v>Coleção principal (~1:64)</x:v>
      </x:c>
      <x:c r="W488" s="82" t="str">
        <x:v>https://hotwheels.fandom.com/wiki/Ferrari_Testarossa_(Corgi)</x:v>
      </x:c>
      <x:c r="X488" s="82" t="str">
        <x:v>https://hotwheels.fandom.com/wiki/Ferrari_Testarossa_(Corgi)</x:v>
      </x:c>
    </x:row>
    <x:row r="489">
      <x:c r="A489" s="80" t="str">
        <x:v>Não</x:v>
      </x:c>
      <x:c r="B489" s="80" t="str">
        <x:v>2 — Completar aos poucos</x:v>
      </x:c>
      <x:c r="C489" s="81" t="n">
        <x:v>1997</x:v>
      </x:c>
      <x:c r="D489" s="80" t="str">
        <x:v>Ferrari Testarossa (Corgi)</x:v>
      </x:c>
      <x:c r="E489" s="80" t="str">
        <x:v>Ferrari Testarossa</x:v>
      </x:c>
      <x:c r="F489" s="82" t="str">
        <x:v>Backpack 5-Pack</x:v>
      </x:c>
      <x:c r="G489" s="80" t="str"/>
      <x:c r="H489" s="80" t="str"/>
      <x:c r="I489" s="83" t="str">
        <x:v>4773</x:v>
      </x:c>
      <x:c r="J489" s="80" t="str">
        <x:v>Yellow</x:v>
      </x:c>
      <x:c r="K489" s="82" t="str">
        <x:v>Yellow HW logo, Painted lower lights</x:v>
      </x:c>
      <x:c r="L489" s="82" t="str">
        <x:v>5SP</x:v>
      </x:c>
      <x:c r="M489" s="82" t="str">
        <x:v>Black / / / Plastic</x:v>
      </x:c>
      <x:c r="N489" s="82" t="str">
        <x:v>Clear</x:v>
      </x:c>
      <x:c r="O489" s="82" t="str">
        <x:v>Black</x:v>
      </x:c>
      <x:c r="P489" s="82" t="str">
        <x:v>China</x:v>
      </x:c>
      <x:c r="Q489" s="82" t="str"/>
      <x:c r="R489" s="82" t="str">
        <x:v>Temática / multipack</x:v>
      </x:c>
      <x:c r="S489" s="82" t="str">
        <x:v>Rara</x:v>
      </x:c>
      <x:c r="T489" s="82" t="str">
        <x:v>Lançado</x:v>
      </x:c>
      <x:c r="U489" s="82" t="str"/>
      <x:c r="V489" s="80" t="str">
        <x:v>Coleção principal (~1:64)</x:v>
      </x:c>
      <x:c r="W489" s="82" t="str">
        <x:v>https://hotwheels.fandom.com/wiki/Ferrari_Testarossa_(Corgi)</x:v>
      </x:c>
      <x:c r="X489" s="82" t="str">
        <x:v>https://hotwheels.fandom.com/wiki/Ferrari_Testarossa_(Corgi)</x:v>
      </x:c>
    </x:row>
    <x:row r="490">
      <x:c r="A490" s="80" t="str">
        <x:v>Não</x:v>
      </x:c>
      <x:c r="B490" s="80" t="str">
        <x:v>2 — Completar aos poucos</x:v>
      </x:c>
      <x:c r="C490" s="81" t="n">
        <x:v>1997</x:v>
      </x:c>
      <x:c r="D490" s="80" t="str">
        <x:v>Racebait 308</x:v>
      </x:c>
      <x:c r="E490" s="80" t="str">
        <x:v>Racebait 308</x:v>
      </x:c>
      <x:c r="F490" s="82" t="str">
        <x:v>Ferrari / 2/4</x:v>
      </x:c>
      <x:c r="G490" s="80" t="str"/>
      <x:c r="H490" s="80" t="str"/>
      <x:c r="I490" s="83" t="str">
        <x:v>17962</x:v>
      </x:c>
      <x:c r="J490" s="80" t="str">
        <x:v>Black</x:v>
      </x:c>
      <x:c r="K490" s="82" t="str">
        <x:v>"Ferrari" logo on hood &amp; trunk</x:v>
      </x:c>
      <x:c r="L490" s="82" t="str">
        <x:v>5SP</x:v>
      </x:c>
      <x:c r="M490" s="82" t="str">
        <x:v>Black / / / Metal</x:v>
      </x:c>
      <x:c r="N490" s="82" t="str">
        <x:v>Clear</x:v>
      </x:c>
      <x:c r="O490" s="82" t="str">
        <x:v>Red</x:v>
      </x:c>
      <x:c r="P490" s="82" t="str">
        <x:v>Malaysia</x:v>
      </x:c>
      <x:c r="Q490" s="82" t="str"/>
      <x:c r="R490" s="82" t="str">
        <x:v>Mainline</x:v>
      </x:c>
      <x:c r="S490" s="82" t="str">
        <x:v>Rara</x:v>
      </x:c>
      <x:c r="T490" s="82" t="str">
        <x:v>Lançado</x:v>
      </x:c>
      <x:c r="U490" s="82" t="str">
        <x:v>Europe Only</x:v>
      </x:c>
      <x:c r="V490" s="80" t="str">
        <x:v>Coleção principal (~1:64)</x:v>
      </x:c>
      <x:c r="W490" s="82" t="str">
        <x:v>https://hotwheels.fandom.com/wiki/Racebait_308</x:v>
      </x:c>
      <x:c r="X490" s="82" t="str">
        <x:v>https://hotwheels.fandom.com/wiki/Racebait_308</x:v>
      </x:c>
    </x:row>
    <x:row r="491">
      <x:c r="A491" s="80" t="str">
        <x:v>Não</x:v>
      </x:c>
      <x:c r="B491" s="80" t="str">
        <x:v>2 — Completar aos poucos</x:v>
      </x:c>
      <x:c r="C491" s="81" t="n">
        <x:v>1996</x:v>
      </x:c>
      <x:c r="D491" s="80" t="str">
        <x:v>Ferrari 250</x:v>
      </x:c>
      <x:c r="E491" s="80" t="str">
        <x:v>Ferrari 250</x:v>
      </x:c>
      <x:c r="F491" s="82" t="str">
        <x:v>FAO Schwarz The History of Hot Wheels II</x:v>
      </x:c>
      <x:c r="G491" s="80" t="str"/>
      <x:c r="H491" s="80" t="str"/>
      <x:c r="I491" s="83" t="str">
        <x:v>15732</x:v>
      </x:c>
      <x:c r="J491" s="80" t="str">
        <x:v>Metalflake Black</x:v>
      </x:c>
      <x:c r="K491" s="82" t="str">
        <x:v>Red &amp; White Hot Wheels logo on rear</x:v>
      </x:c>
      <x:c r="L491" s="82" t="str">
        <x:v>DDRR Gold Rim</x:v>
      </x:c>
      <x:c r="M491" s="82" t="str">
        <x:v>Black / / / Plastic</x:v>
      </x:c>
      <x:c r="N491" s="82" t="str">
        <x:v>Clear</x:v>
      </x:c>
      <x:c r="O491" s="82" t="str">
        <x:v>Tan</x:v>
      </x:c>
      <x:c r="P491" s="82" t="str">
        <x:v>Malaysia</x:v>
      </x:c>
      <x:c r="Q491" s="82" t="str"/>
      <x:c r="R491" s="82" t="str">
        <x:v>Outra linha</x:v>
      </x:c>
      <x:c r="S491" s="82" t="str">
        <x:v>Rara</x:v>
      </x:c>
      <x:c r="T491" s="82" t="str">
        <x:v>Lançado</x:v>
      </x:c>
      <x:c r="U491" s="82" t="str"/>
      <x:c r="V491" s="80" t="str">
        <x:v>Coleção principal (~1:64)</x:v>
      </x:c>
      <x:c r="W491" s="82" t="str">
        <x:v>https://hotwheels.fandom.com/wiki/Ferrari_250</x:v>
      </x:c>
      <x:c r="X491" s="82" t="str">
        <x:v>https://hotwheels.fandom.com/wiki/Ferrari_250</x:v>
      </x:c>
    </x:row>
    <x:row r="492">
      <x:c r="A492" s="80" t="str">
        <x:v>Não</x:v>
      </x:c>
      <x:c r="B492" s="80" t="str">
        <x:v>2 — Completar aos poucos</x:v>
      </x:c>
      <x:c r="C492" s="81" t="n">
        <x:v>1996</x:v>
      </x:c>
      <x:c r="D492" s="80" t="str">
        <x:v>Ferrari 250</x:v>
      </x:c>
      <x:c r="E492" s="80" t="str">
        <x:v>Ferrari 250</x:v>
      </x:c>
      <x:c r="F492" s="82" t="str">
        <x:v>Mainline</x:v>
      </x:c>
      <x:c r="G492" s="80" t="str"/>
      <x:c r="H492" s="80" t="str">
        <x:v>452</x:v>
      </x:c>
      <x:c r="I492" s="83" t="str">
        <x:v>12936</x:v>
      </x:c>
      <x:c r="J492" s="80" t="str">
        <x:v>Metalflake Dark Green</x:v>
      </x:c>
      <x:c r="K492" s="82" t="str">
        <x:v>Ferrari logo on hood, Red &amp; White HW logo on rear</x:v>
      </x:c>
      <x:c r="L492" s="82" t="str">
        <x:v>7SP</x:v>
      </x:c>
      <x:c r="M492" s="82" t="str">
        <x:v>Dark Green / / / Plastic</x:v>
      </x:c>
      <x:c r="N492" s="82" t="str">
        <x:v>Clear</x:v>
      </x:c>
      <x:c r="O492" s="82" t="str">
        <x:v>Tan</x:v>
      </x:c>
      <x:c r="P492" s="82" t="str">
        <x:v>Malaysia</x:v>
      </x:c>
      <x:c r="Q492" s="82" t="str"/>
      <x:c r="R492" s="82" t="str">
        <x:v>Mainline</x:v>
      </x:c>
      <x:c r="S492" s="82" t="str">
        <x:v>Rara</x:v>
      </x:c>
      <x:c r="T492" s="82" t="str">
        <x:v>Lançado</x:v>
      </x:c>
      <x:c r="U492" s="82" t="str"/>
      <x:c r="V492" s="80" t="str">
        <x:v>Coleção principal (~1:64)</x:v>
      </x:c>
      <x:c r="W492" s="82" t="str">
        <x:v>https://hotwheels.fandom.com/wiki/Ferrari_250</x:v>
      </x:c>
      <x:c r="X492" s="82" t="str">
        <x:v>https://hotwheels.fandom.com/wiki/Ferrari_250</x:v>
      </x:c>
    </x:row>
    <x:row r="493">
      <x:c r="A493" s="80" t="str">
        <x:v>Não</x:v>
      </x:c>
      <x:c r="B493" s="80" t="str">
        <x:v>2 — Completar aos poucos</x:v>
      </x:c>
      <x:c r="C493" s="81" t="n">
        <x:v>1996</x:v>
      </x:c>
      <x:c r="D493" s="80" t="str">
        <x:v>Ferrari 250</x:v>
      </x:c>
      <x:c r="E493" s="80" t="str">
        <x:v>Ferrari 250</x:v>
      </x:c>
      <x:c r="F493" s="82" t="str">
        <x:v>Mainline</x:v>
      </x:c>
      <x:c r="G493" s="80" t="str"/>
      <x:c r="H493" s="80" t="str">
        <x:v>452</x:v>
      </x:c>
      <x:c r="I493" s="83" t="str">
        <x:v>12936</x:v>
      </x:c>
      <x:c r="J493" s="80" t="str">
        <x:v>Metalflake Dark Green</x:v>
      </x:c>
      <x:c r="K493" s="82" t="str">
        <x:v>Ferrari logo on hood, Red &amp; White HW logo on rear</x:v>
      </x:c>
      <x:c r="L493" s="82" t="str">
        <x:v>5SP</x:v>
      </x:c>
      <x:c r="M493" s="82" t="str">
        <x:v>Dark Green / / / Plastic</x:v>
      </x:c>
      <x:c r="N493" s="82" t="str">
        <x:v>Clear</x:v>
      </x:c>
      <x:c r="O493" s="82" t="str">
        <x:v>Tan</x:v>
      </x:c>
      <x:c r="P493" s="82" t="str">
        <x:v>Malaysia</x:v>
      </x:c>
      <x:c r="Q493" s="82" t="str"/>
      <x:c r="R493" s="82" t="str">
        <x:v>Mainline</x:v>
      </x:c>
      <x:c r="S493" s="82" t="str">
        <x:v>Rara</x:v>
      </x:c>
      <x:c r="T493" s="82" t="str">
        <x:v>Lançado</x:v>
      </x:c>
      <x:c r="U493" s="82" t="str"/>
      <x:c r="V493" s="80" t="str">
        <x:v>Coleção principal (~1:64)</x:v>
      </x:c>
      <x:c r="W493" s="82" t="str">
        <x:v>https://hotwheels.fandom.com/wiki/Ferrari_250</x:v>
      </x:c>
      <x:c r="X493" s="82" t="str">
        <x:v>https://hotwheels.fandom.com/wiki/Ferrari_250</x:v>
      </x:c>
    </x:row>
    <x:row r="494">
      <x:c r="A494" s="80" t="str">
        <x:v>Não</x:v>
      </x:c>
      <x:c r="B494" s="80" t="str">
        <x:v>2 — Completar aos poucos</x:v>
      </x:c>
      <x:c r="C494" s="81" t="n">
        <x:v>1996</x:v>
      </x:c>
      <x:c r="D494" s="80" t="str">
        <x:v>Ferrari 250</x:v>
      </x:c>
      <x:c r="E494" s="80" t="str">
        <x:v>Ferrari 250</x:v>
      </x:c>
      <x:c r="F494" s="82" t="str">
        <x:v>Mainline</x:v>
      </x:c>
      <x:c r="G494" s="80" t="str"/>
      <x:c r="H494" s="80" t="str">
        <x:v>452</x:v>
      </x:c>
      <x:c r="I494" s="83" t="str">
        <x:v>12936</x:v>
      </x:c>
      <x:c r="J494" s="80" t="str">
        <x:v>Metalflake Dark Green</x:v>
      </x:c>
      <x:c r="K494" s="82" t="str">
        <x:v>Ferrari logo on hood, Red &amp; White HW logo on rear</x:v>
      </x:c>
      <x:c r="L494" s="82" t="str">
        <x:v>5DOT</x:v>
      </x:c>
      <x:c r="M494" s="82" t="str">
        <x:v>Dark Green / / / Plastic</x:v>
      </x:c>
      <x:c r="N494" s="82" t="str">
        <x:v>Clear</x:v>
      </x:c>
      <x:c r="O494" s="82" t="str">
        <x:v>Tan</x:v>
      </x:c>
      <x:c r="P494" s="82" t="str">
        <x:v>Malaysia</x:v>
      </x:c>
      <x:c r="Q494" s="82" t="str"/>
      <x:c r="R494" s="82" t="str">
        <x:v>Mainline</x:v>
      </x:c>
      <x:c r="S494" s="82" t="str">
        <x:v>Rara</x:v>
      </x:c>
      <x:c r="T494" s="82" t="str">
        <x:v>Lançado</x:v>
      </x:c>
      <x:c r="U494" s="82" t="str"/>
      <x:c r="V494" s="80" t="str">
        <x:v>Coleção principal (~1:64)</x:v>
      </x:c>
      <x:c r="W494" s="82" t="str">
        <x:v>https://hotwheels.fandom.com/wiki/Ferrari_250</x:v>
      </x:c>
      <x:c r="X494" s="82" t="str">
        <x:v>https://hotwheels.fandom.com/wiki/Ferrari_250</x:v>
      </x:c>
    </x:row>
    <x:row r="495">
      <x:c r="A495" s="80" t="str">
        <x:v>Não</x:v>
      </x:c>
      <x:c r="B495" s="80" t="str">
        <x:v>2 — Completar aos poucos</x:v>
      </x:c>
      <x:c r="C495" s="81" t="n">
        <x:v>1996</x:v>
      </x:c>
      <x:c r="D495" s="80" t="str">
        <x:v>Ferrari 250</x:v>
      </x:c>
      <x:c r="E495" s="80" t="str">
        <x:v>Ferrari 250</x:v>
      </x:c>
      <x:c r="F495" s="82" t="str">
        <x:v>Treasure Hunt</x:v>
      </x:c>
      <x:c r="G495" s="80" t="str"/>
      <x:c r="H495" s="80" t="str">
        <x:v>430</x:v>
      </x:c>
      <x:c r="I495" s="83" t="str">
        <x:v>15076</x:v>
      </x:c>
      <x:c r="J495" s="80" t="str">
        <x:v>Metallic Grey</x:v>
      </x:c>
      <x:c r="K495" s="82" t="str">
        <x:v>Hot Wheels logo red and white square (back of car)</x:v>
      </x:c>
      <x:c r="L495" s="82" t="str">
        <x:v>DDRR</x:v>
      </x:c>
      <x:c r="M495" s="82" t="str">
        <x:v>Dark Gray / / / Plastic</x:v>
      </x:c>
      <x:c r="N495" s="82" t="str">
        <x:v>Clear</x:v>
      </x:c>
      <x:c r="O495" s="82" t="str">
        <x:v>Red</x:v>
      </x:c>
      <x:c r="P495" s="82" t="str">
        <x:v>Malaysia</x:v>
      </x:c>
      <x:c r="Q495" s="82" t="str">
        <x:v>Treasure Hunt</x:v>
      </x:c>
      <x:c r="R495" s="82" t="str">
        <x:v>Mainline especial</x:v>
      </x:c>
      <x:c r="S495" s="82" t="str">
        <x:v>Rara</x:v>
      </x:c>
      <x:c r="T495" s="82" t="str">
        <x:v>Lançado</x:v>
      </x:c>
      <x:c r="U495" s="82" t="str"/>
      <x:c r="V495" s="80" t="str">
        <x:v>Coleção principal (~1:64)</x:v>
      </x:c>
      <x:c r="W495" s="82" t="str">
        <x:v>https://hotwheels.fandom.com/wiki/Ferrari_250</x:v>
      </x:c>
      <x:c r="X495" s="82" t="str">
        <x:v>https://hotwheels.fandom.com/wiki/Ferrari_250</x:v>
      </x:c>
    </x:row>
    <x:row r="496">
      <x:c r="A496" s="80" t="str">
        <x:v>Não</x:v>
      </x:c>
      <x:c r="B496" s="80" t="str">
        <x:v>2 — Completar aos poucos</x:v>
      </x:c>
      <x:c r="C496" s="81" t="n">
        <x:v>1996</x:v>
      </x:c>
      <x:c r="D496" s="80" t="str">
        <x:v>Ferrari 308 GTS (Corgi)</x:v>
      </x:c>
      <x:c r="E496" s="80" t="str">
        <x:v>Ferrari 308 GTS</x:v>
      </x:c>
      <x:c r="F496" s="82" t="str">
        <x:v>FAO Schwarz Gold Series III</x:v>
      </x:c>
      <x:c r="G496" s="80" t="str"/>
      <x:c r="H496" s="80" t="str"/>
      <x:c r="I496" s="83" t="str">
        <x:v>16020</x:v>
      </x:c>
      <x:c r="J496" s="80" t="str">
        <x:v>Black</x:v>
      </x:c>
      <x:c r="K496" s="82" t="str">
        <x:v>Yellow HW logo on front windshield</x:v>
      </x:c>
      <x:c r="L496" s="82" t="str">
        <x:v>Gold 5SP</x:v>
      </x:c>
      <x:c r="M496" s="82" t="str">
        <x:v>Black / / / Plastic</x:v>
      </x:c>
      <x:c r="N496" s="82" t="str">
        <x:v>Clear</x:v>
      </x:c>
      <x:c r="O496" s="82" t="str">
        <x:v>Yellow</x:v>
      </x:c>
      <x:c r="P496" s="82" t="str">
        <x:v>China</x:v>
      </x:c>
      <x:c r="Q496" s="82" t="str"/>
      <x:c r="R496" s="82" t="str">
        <x:v>Outra linha</x:v>
      </x:c>
      <x:c r="S496" s="82" t="str">
        <x:v>Rara</x:v>
      </x:c>
      <x:c r="T496" s="82" t="str">
        <x:v>Lançado</x:v>
      </x:c>
      <x:c r="U496" s="82" t="str"/>
      <x:c r="V496" s="80" t="str">
        <x:v>Coleção principal (~1:64)</x:v>
      </x:c>
      <x:c r="W496" s="82" t="str">
        <x:v>https://hotwheels.fandom.com/wiki/Ferrari_308_GTS_(Corgi)</x:v>
      </x:c>
      <x:c r="X496" s="82" t="str">
        <x:v>https://hotwheels.fandom.com/wiki/Ferrari_308_GTS_(Corgi)</x:v>
      </x:c>
    </x:row>
    <x:row r="497">
      <x:c r="A497" s="80" t="str">
        <x:v>Não</x:v>
      </x:c>
      <x:c r="B497" s="80" t="str">
        <x:v>2 — Completar aos poucos</x:v>
      </x:c>
      <x:c r="C497" s="81" t="n">
        <x:v>1996</x:v>
      </x:c>
      <x:c r="D497" s="80" t="str">
        <x:v>Ferrari 308 GTS (Corgi)</x:v>
      </x:c>
      <x:c r="E497" s="80" t="str">
        <x:v>Ferrari 308 GTS</x:v>
      </x:c>
      <x:c r="F497" s="82" t="str">
        <x:v>Mainline</x:v>
      </x:c>
      <x:c r="G497" s="80" t="str"/>
      <x:c r="H497" s="80" t="str">
        <x:v>496</x:v>
      </x:c>
      <x:c r="I497" s="83" t="str">
        <x:v>16303</x:v>
      </x:c>
      <x:c r="J497" s="80" t="str">
        <x:v>Red</x:v>
      </x:c>
      <x:c r="K497" s="82" t="str">
        <x:v>Yellow HW logo on front windshield</x:v>
      </x:c>
      <x:c r="L497" s="82" t="str">
        <x:v>5SP</x:v>
      </x:c>
      <x:c r="M497" s="82" t="str">
        <x:v>Black / / / Plastic</x:v>
      </x:c>
      <x:c r="N497" s="82" t="str">
        <x:v>Clear</x:v>
      </x:c>
      <x:c r="O497" s="82" t="str">
        <x:v>Black</x:v>
      </x:c>
      <x:c r="P497" s="82" t="str">
        <x:v>China</x:v>
      </x:c>
      <x:c r="Q497" s="82" t="str"/>
      <x:c r="R497" s="82" t="str">
        <x:v>Mainline</x:v>
      </x:c>
      <x:c r="S497" s="82" t="str">
        <x:v>Rara</x:v>
      </x:c>
      <x:c r="T497" s="82" t="str">
        <x:v>Lançado</x:v>
      </x:c>
      <x:c r="U497" s="82" t="str"/>
      <x:c r="V497" s="80" t="str">
        <x:v>Coleção principal (~1:64)</x:v>
      </x:c>
      <x:c r="W497" s="82" t="str">
        <x:v>https://hotwheels.fandom.com/wiki/Ferrari_308_GTS_(Corgi)</x:v>
      </x:c>
      <x:c r="X497" s="82" t="str">
        <x:v>https://hotwheels.fandom.com/wiki/Ferrari_308_GTS_(Corgi)</x:v>
      </x:c>
    </x:row>
    <x:row r="498">
      <x:c r="A498" s="80" t="str">
        <x:v>Não</x:v>
      </x:c>
      <x:c r="B498" s="80" t="str">
        <x:v>2 — Completar aos poucos</x:v>
      </x:c>
      <x:c r="C498" s="81" t="n">
        <x:v>1996</x:v>
      </x:c>
      <x:c r="D498" s="80" t="str">
        <x:v>Ferrari 308 GTS (Corgi)</x:v>
      </x:c>
      <x:c r="E498" s="80" t="str">
        <x:v>Ferrari 308 GTS</x:v>
      </x:c>
      <x:c r="F498" s="82" t="str">
        <x:v>Mainline</x:v>
      </x:c>
      <x:c r="G498" s="80" t="str"/>
      <x:c r="H498" s="80" t="str">
        <x:v>496</x:v>
      </x:c>
      <x:c r="I498" s="83" t="str">
        <x:v>16303</x:v>
      </x:c>
      <x:c r="J498" s="80" t="str">
        <x:v>Red</x:v>
      </x:c>
      <x:c r="K498" s="82" t="str">
        <x:v>Yellow HW logo on front windshield</x:v>
      </x:c>
      <x:c r="L498" s="82" t="str">
        <x:v>LW</x:v>
      </x:c>
      <x:c r="M498" s="82" t="str">
        <x:v>Black / / / Plastic</x:v>
      </x:c>
      <x:c r="N498" s="82" t="str">
        <x:v>Clear</x:v>
      </x:c>
      <x:c r="O498" s="82" t="str">
        <x:v>Black</x:v>
      </x:c>
      <x:c r="P498" s="82" t="str">
        <x:v>China</x:v>
      </x:c>
      <x:c r="Q498" s="82" t="str"/>
      <x:c r="R498" s="82" t="str">
        <x:v>Mainline</x:v>
      </x:c>
      <x:c r="S498" s="82" t="str">
        <x:v>Rara</x:v>
      </x:c>
      <x:c r="T498" s="82" t="str">
        <x:v>Lançado</x:v>
      </x:c>
      <x:c r="U498" s="82" t="str"/>
      <x:c r="V498" s="80" t="str">
        <x:v>Coleção principal (~1:64)</x:v>
      </x:c>
      <x:c r="W498" s="82" t="str">
        <x:v>https://hotwheels.fandom.com/wiki/Ferrari_308_GTS_(Corgi)</x:v>
      </x:c>
      <x:c r="X498" s="82" t="str">
        <x:v>https://hotwheels.fandom.com/wiki/Ferrari_308_GTS_(Corgi)</x:v>
      </x:c>
    </x:row>
    <x:row r="499">
      <x:c r="A499" s="80" t="str">
        <x:v>Não</x:v>
      </x:c>
      <x:c r="B499" s="80" t="str">
        <x:v>2 — Completar aos poucos</x:v>
      </x:c>
      <x:c r="C499" s="81" t="n">
        <x:v>1996</x:v>
      </x:c>
      <x:c r="D499" s="80" t="str">
        <x:v>Ferrari 328 GTB</x:v>
      </x:c>
      <x:c r="E499" s="80" t="str">
        <x:v>Ferrari 328 GTB</x:v>
      </x:c>
      <x:c r="F499" s="82" t="str">
        <x:v>G-Force Track Set</x:v>
      </x:c>
      <x:c r="G499" s="80" t="str"/>
      <x:c r="H499" s="80" t="str"/>
      <x:c r="I499" s="83" t="str">
        <x:v>1684</x:v>
      </x:c>
      <x:c r="J499" s="80" t="str">
        <x:v>Orange</x:v>
      </x:c>
      <x:c r="K499" s="82" t="str">
        <x:v>Black tire track tampos on sides &amp; across top, Orange HW logo on windshield</x:v>
      </x:c>
      <x:c r="L499" s="82" t="str">
        <x:v>SCW</x:v>
      </x:c>
      <x:c r="M499" s="82" t="str">
        <x:v>Unpainted / / / Metal</x:v>
      </x:c>
      <x:c r="N499" s="82" t="str">
        <x:v>Blue</x:v>
      </x:c>
      <x:c r="O499" s="82" t="str">
        <x:v>None</x:v>
      </x:c>
      <x:c r="P499" s="82" t="str">
        <x:v>Malaysia</x:v>
      </x:c>
      <x:c r="Q499" s="82" t="str"/>
      <x:c r="R499" s="82" t="str">
        <x:v>Outra linha</x:v>
      </x:c>
      <x:c r="S499" s="82" t="str">
        <x:v>Rara</x:v>
      </x:c>
      <x:c r="T499" s="82" t="str">
        <x:v>Lançado</x:v>
      </x:c>
      <x:c r="U499" s="82" t="str"/>
      <x:c r="V499" s="80" t="str">
        <x:v>Coleção principal (~1:64)</x:v>
      </x:c>
      <x:c r="W499" s="82" t="str">
        <x:v>https://hotwheels.fandom.com/wiki/Ferrari_328_GTB</x:v>
      </x:c>
      <x:c r="X499" s="82" t="str">
        <x:v>https://hotwheels.fandom.com/wiki/Ferrari_328_GTB</x:v>
      </x:c>
    </x:row>
    <x:row r="500">
      <x:c r="A500" s="80" t="str">
        <x:v>Não</x:v>
      </x:c>
      <x:c r="B500" s="80" t="str">
        <x:v>2 — Completar aos poucos</x:v>
      </x:c>
      <x:c r="C500" s="81" t="n">
        <x:v>1996</x:v>
      </x:c>
      <x:c r="D500" s="80" t="str">
        <x:v>Ferrari 348</x:v>
      </x:c>
      <x:c r="E500" s="80" t="str">
        <x:v>Ferrari 348</x:v>
      </x:c>
      <x:c r="F500" s="82" t="str">
        <x:v>Mainline</x:v>
      </x:c>
      <x:c r="G500" s="80" t="str"/>
      <x:c r="H500" s="80" t="str">
        <x:v>443</x:v>
      </x:c>
      <x:c r="I500" s="83" t="str">
        <x:v>12933</x:v>
      </x:c>
      <x:c r="J500" s="80" t="str">
        <x:v>Metallic Black</x:v>
      </x:c>
      <x:c r="K500" s="82" t="str">
        <x:v>Black &amp; Yellow Ferrari Logo</x:v>
      </x:c>
      <x:c r="L500" s="82" t="str">
        <x:v>5SP</x:v>
      </x:c>
      <x:c r="M500" s="82" t="str">
        <x:v>Black / / / Plastic</x:v>
      </x:c>
      <x:c r="N500" s="82" t="str">
        <x:v>Clear</x:v>
      </x:c>
      <x:c r="O500" s="82" t="str">
        <x:v>Red &amp; Black</x:v>
      </x:c>
      <x:c r="P500" s="82" t="str">
        <x:v>Malaysia</x:v>
      </x:c>
      <x:c r="Q500" s="82" t="str"/>
      <x:c r="R500" s="82" t="str">
        <x:v>Temática / multipack</x:v>
      </x:c>
      <x:c r="S500" s="82" t="str">
        <x:v>Rara</x:v>
      </x:c>
      <x:c r="T500" s="82" t="str">
        <x:v>Lançado</x:v>
      </x:c>
      <x:c r="U500" s="82" t="str">
        <x:v>Also available in Ferrari 5-Pack</x:v>
      </x:c>
      <x:c r="V500" s="80" t="str">
        <x:v>Coleção principal (~1:64)</x:v>
      </x:c>
      <x:c r="W500" s="82" t="str">
        <x:v>https://hotwheels.fandom.com/wiki/Ferrari_348</x:v>
      </x:c>
      <x:c r="X500" s="82" t="str">
        <x:v>https://hotwheels.fandom.com/wiki/Ferrari_348</x:v>
      </x:c>
    </x:row>
    <x:row r="501">
      <x:c r="A501" s="80" t="str">
        <x:v>Não</x:v>
      </x:c>
      <x:c r="B501" s="80" t="str">
        <x:v>2 — Completar aos poucos</x:v>
      </x:c>
      <x:c r="C501" s="81" t="n">
        <x:v>1996</x:v>
      </x:c>
      <x:c r="D501" s="80" t="str">
        <x:v>Ferrari 348</x:v>
      </x:c>
      <x:c r="E501" s="80" t="str">
        <x:v>Ferrari 348</x:v>
      </x:c>
      <x:c r="F501" s="82" t="str">
        <x:v>Mainline</x:v>
      </x:c>
      <x:c r="G501" s="80" t="str"/>
      <x:c r="H501" s="80" t="str">
        <x:v>443</x:v>
      </x:c>
      <x:c r="I501" s="83" t="str">
        <x:v>12933</x:v>
      </x:c>
      <x:c r="J501" s="80" t="str">
        <x:v>Metallic Black</x:v>
      </x:c>
      <x:c r="K501" s="82" t="str">
        <x:v>Black &amp; Yellow Ferrari Logo</x:v>
      </x:c>
      <x:c r="L501" s="82" t="str">
        <x:v>7SP</x:v>
      </x:c>
      <x:c r="M501" s="82" t="str">
        <x:v>Black / / / Plastic</x:v>
      </x:c>
      <x:c r="N501" s="82" t="str">
        <x:v>Clear</x:v>
      </x:c>
      <x:c r="O501" s="82" t="str">
        <x:v>Red &amp; Black</x:v>
      </x:c>
      <x:c r="P501" s="82" t="str">
        <x:v>Malaysia</x:v>
      </x:c>
      <x:c r="Q501" s="82" t="str"/>
      <x:c r="R501" s="82" t="str">
        <x:v>Mainline</x:v>
      </x:c>
      <x:c r="S501" s="82" t="str">
        <x:v>Rara</x:v>
      </x:c>
      <x:c r="T501" s="82" t="str">
        <x:v>Lançado</x:v>
      </x:c>
      <x:c r="U501" s="82" t="str"/>
      <x:c r="V501" s="80" t="str">
        <x:v>Coleção principal (~1:64)</x:v>
      </x:c>
      <x:c r="W501" s="82" t="str">
        <x:v>https://hotwheels.fandom.com/wiki/Ferrari_348</x:v>
      </x:c>
      <x:c r="X501" s="82" t="str">
        <x:v>https://hotwheels.fandom.com/wiki/Ferrari_348</x:v>
      </x:c>
    </x:row>
    <x:row r="502">
      <x:c r="A502" s="80" t="str">
        <x:v>Não</x:v>
      </x:c>
      <x:c r="B502" s="80" t="str">
        <x:v>2 — Completar aos poucos</x:v>
      </x:c>
      <x:c r="C502" s="81" t="n">
        <x:v>1996</x:v>
      </x:c>
      <x:c r="D502" s="80" t="str">
        <x:v>Ferrari 348</x:v>
      </x:c>
      <x:c r="E502" s="80" t="str">
        <x:v>Ferrari 348</x:v>
      </x:c>
      <x:c r="F502" s="82" t="str">
        <x:v>Mainline</x:v>
      </x:c>
      <x:c r="G502" s="80" t="str"/>
      <x:c r="H502" s="80" t="str">
        <x:v>443</x:v>
      </x:c>
      <x:c r="I502" s="83" t="str">
        <x:v>12933</x:v>
      </x:c>
      <x:c r="J502" s="80" t="str">
        <x:v>Metallic Black</x:v>
      </x:c>
      <x:c r="K502" s="82" t="str">
        <x:v>Black &amp; Yellow Ferrari Logo</x:v>
      </x:c>
      <x:c r="L502" s="82" t="str">
        <x:v>5DOT</x:v>
      </x:c>
      <x:c r="M502" s="82" t="str">
        <x:v>Black / / / Plastic</x:v>
      </x:c>
      <x:c r="N502" s="82" t="str">
        <x:v>Clear</x:v>
      </x:c>
      <x:c r="O502" s="82" t="str">
        <x:v>Red &amp; Black</x:v>
      </x:c>
      <x:c r="P502" s="82" t="str">
        <x:v>Malaysia</x:v>
      </x:c>
      <x:c r="Q502" s="82" t="str"/>
      <x:c r="R502" s="82" t="str">
        <x:v>Mainline</x:v>
      </x:c>
      <x:c r="S502" s="82" t="str">
        <x:v>Rara</x:v>
      </x:c>
      <x:c r="T502" s="82" t="str">
        <x:v>Lançado</x:v>
      </x:c>
      <x:c r="U502" s="82" t="str"/>
      <x:c r="V502" s="80" t="str">
        <x:v>Coleção principal (~1:64)</x:v>
      </x:c>
      <x:c r="W502" s="82" t="str">
        <x:v>https://hotwheels.fandom.com/wiki/Ferrari_348</x:v>
      </x:c>
      <x:c r="X502" s="82" t="str">
        <x:v>https://hotwheels.fandom.com/wiki/Ferrari_348</x:v>
      </x:c>
    </x:row>
    <x:row r="503">
      <x:c r="A503" s="80" t="str">
        <x:v>Não</x:v>
      </x:c>
      <x:c r="B503" s="80" t="str">
        <x:v>2 — Completar aos poucos</x:v>
      </x:c>
      <x:c r="C503" s="81" t="n">
        <x:v>1996</x:v>
      </x:c>
      <x:c r="D503" s="80" t="str">
        <x:v>Ferrari 348 tb</x:v>
      </x:c>
      <x:c r="E503" s="80" t="str">
        <x:v>Ferrari 348 tb</x:v>
      </x:c>
      <x:c r="F503" s="82" t="str">
        <x:v>FAO Schwarz Gold Series III</x:v>
      </x:c>
      <x:c r="G503" s="80" t="str"/>
      <x:c r="H503" s="80" t="str"/>
      <x:c r="I503" s="83" t="str">
        <x:v>16020</x:v>
      </x:c>
      <x:c r="J503" s="80" t="str">
        <x:v>Black</x:v>
      </x:c>
      <x:c r="K503" s="82" t="str">
        <x:v>Detailed foglights, painted engine</x:v>
      </x:c>
      <x:c r="L503" s="82" t="str">
        <x:v>Gold 5SP</x:v>
      </x:c>
      <x:c r="M503" s="82" t="str">
        <x:v>Gray / / / Plastic</x:v>
      </x:c>
      <x:c r="N503" s="82" t="str">
        <x:v>Clear</x:v>
      </x:c>
      <x:c r="O503" s="82" t="str">
        <x:v>Beige</x:v>
      </x:c>
      <x:c r="P503" s="82" t="str">
        <x:v>China</x:v>
      </x:c>
      <x:c r="Q503" s="82" t="str"/>
      <x:c r="R503" s="82" t="str">
        <x:v>Outra linha</x:v>
      </x:c>
      <x:c r="S503" s="82" t="str">
        <x:v>Rara</x:v>
      </x:c>
      <x:c r="T503" s="82" t="str">
        <x:v>Lançado</x:v>
      </x:c>
      <x:c r="U503" s="82" t="str"/>
      <x:c r="V503" s="80" t="str">
        <x:v>Coleção principal (~1:64)</x:v>
      </x:c>
      <x:c r="W503" s="82" t="str">
        <x:v>https://hotwheels.fandom.com/wiki/Ferrari_348_tb</x:v>
      </x:c>
      <x:c r="X503" s="82" t="str">
        <x:v>https://hotwheels.fandom.com/wiki/Ferrari_348_tb</x:v>
      </x:c>
    </x:row>
    <x:row r="504">
      <x:c r="A504" s="80" t="str">
        <x:v>Não</x:v>
      </x:c>
      <x:c r="B504" s="80" t="str">
        <x:v>2 — Completar aos poucos</x:v>
      </x:c>
      <x:c r="C504" s="81" t="n">
        <x:v>1996</x:v>
      </x:c>
      <x:c r="D504" s="80" t="str">
        <x:v>Ferrari 348 tb</x:v>
      </x:c>
      <x:c r="E504" s="80" t="str">
        <x:v>Ferrari 348 tb</x:v>
      </x:c>
      <x:c r="F504" s="82" t="str">
        <x:v>Street Traxx Drawbridge playset</x:v>
      </x:c>
      <x:c r="G504" s="80" t="str"/>
      <x:c r="H504" s="80" t="str"/>
      <x:c r="I504" s="83" t="str">
        <x:v>65621</x:v>
      </x:c>
      <x:c r="J504" s="80" t="str">
        <x:v>Red</x:v>
      </x:c>
      <x:c r="K504" s="82" t="str">
        <x:v>None</x:v>
      </x:c>
      <x:c r="L504" s="82" t="str">
        <x:v>Corgi1</x:v>
      </x:c>
      <x:c r="M504" s="82" t="str">
        <x:v>Black / / / Plastic</x:v>
      </x:c>
      <x:c r="N504" s="82" t="str">
        <x:v>Clear</x:v>
      </x:c>
      <x:c r="O504" s="82" t="str">
        <x:v>Beige</x:v>
      </x:c>
      <x:c r="P504" s="82" t="str">
        <x:v>China</x:v>
      </x:c>
      <x:c r="Q504" s="82" t="str"/>
      <x:c r="R504" s="82" t="str">
        <x:v>Outra linha</x:v>
      </x:c>
      <x:c r="S504" s="82" t="str">
        <x:v>Rara</x:v>
      </x:c>
      <x:c r="T504" s="82" t="str">
        <x:v>Lançado</x:v>
      </x:c>
      <x:c r="U504" s="82" t="str"/>
      <x:c r="V504" s="80" t="str">
        <x:v>Coleção principal (~1:64)</x:v>
      </x:c>
      <x:c r="W504" s="82" t="str">
        <x:v>https://hotwheels.fandom.com/wiki/Ferrari_348_tb</x:v>
      </x:c>
      <x:c r="X504" s="82" t="str">
        <x:v>https://hotwheels.fandom.com/wiki/Ferrari_348_tb</x:v>
      </x:c>
    </x:row>
    <x:row r="505">
      <x:c r="A505" s="80" t="str">
        <x:v>Não</x:v>
      </x:c>
      <x:c r="B505" s="80" t="str">
        <x:v>2 — Completar aos poucos</x:v>
      </x:c>
      <x:c r="C505" s="81" t="n">
        <x:v>1996</x:v>
      </x:c>
      <x:c r="D505" s="80" t="str">
        <x:v>Ferrari F355</x:v>
      </x:c>
      <x:c r="E505" s="80" t="str">
        <x:v>Ferrari F355</x:v>
      </x:c>
      <x:c r="F505" s="82" t="str">
        <x:v>Treasure Hunt / 8/12</x:v>
      </x:c>
      <x:c r="G505" s="80" t="str"/>
      <x:c r="H505" s="80" t="str">
        <x:v>435</x:v>
      </x:c>
      <x:c r="I505" s="83" t="str">
        <x:v>15081</x:v>
      </x:c>
      <x:c r="J505" s="80" t="str">
        <x:v>Pearl White</x:v>
      </x:c>
      <x:c r="K505" s="82" t="str">
        <x:v>Red taillights, gold HW logo</x:v>
      </x:c>
      <x:c r="L505" s="82" t="str">
        <x:v>PC5</x:v>
      </x:c>
      <x:c r="M505" s="82" t="str">
        <x:v>Unpainted / / / Metal</x:v>
      </x:c>
      <x:c r="N505" s="82" t="str">
        <x:v>Clear</x:v>
      </x:c>
      <x:c r="O505" s="82" t="str">
        <x:v>Tan</x:v>
      </x:c>
      <x:c r="P505" s="82" t="str">
        <x:v>Malaysia</x:v>
      </x:c>
      <x:c r="Q505" s="82" t="str">
        <x:v>Treasure Hunt</x:v>
      </x:c>
      <x:c r="R505" s="82" t="str">
        <x:v>Mainline especial</x:v>
      </x:c>
      <x:c r="S505" s="82" t="str">
        <x:v>Rara</x:v>
      </x:c>
      <x:c r="T505" s="82" t="str">
        <x:v>Lançado</x:v>
      </x:c>
      <x:c r="U505" s="82" t="str"/>
      <x:c r="V505" s="80" t="str">
        <x:v>Coleção principal (~1:64)</x:v>
      </x:c>
      <x:c r="W505" s="82" t="str">
        <x:v>https://hotwheels.fandom.com/wiki/Ferrari_F355</x:v>
      </x:c>
      <x:c r="X505" s="82" t="str">
        <x:v>https://hotwheels.fandom.com/wiki/Ferrari_F355</x:v>
      </x:c>
    </x:row>
    <x:row r="506">
      <x:c r="A506" s="80" t="str">
        <x:v>Não</x:v>
      </x:c>
      <x:c r="B506" s="80" t="str">
        <x:v>2 — Completar aos poucos</x:v>
      </x:c>
      <x:c r="C506" s="81" t="n">
        <x:v>1996</x:v>
      </x:c>
      <x:c r="D506" s="80" t="str">
        <x:v>Ferrari F40</x:v>
      </x:c>
      <x:c r="E506" s="80" t="str">
        <x:v>Ferrari F40</x:v>
      </x:c>
      <x:c r="F506" s="82" t="str">
        <x:v>Mainline</x:v>
      </x:c>
      <x:c r="G506" s="80" t="str"/>
      <x:c r="H506" s="80" t="str">
        <x:v>442</x:v>
      </x:c>
      <x:c r="I506" s="83" t="str">
        <x:v>12935</x:v>
      </x:c>
      <x:c r="J506" s="80" t="str">
        <x:v>Pearl White</x:v>
      </x:c>
      <x:c r="K506" s="82" t="str">
        <x:v>Ferrari Crest in Black &amp; Yellow</x:v>
      </x:c>
      <x:c r="L506" s="82" t="str">
        <x:v>7SP</x:v>
      </x:c>
      <x:c r="M506" s="82" t="str">
        <x:v>ZAMAC</x:v>
      </x:c>
      <x:c r="N506" s="82" t="str">
        <x:v>Smoke tint</x:v>
      </x:c>
      <x:c r="O506" s="82" t="str">
        <x:v>Tan</x:v>
      </x:c>
      <x:c r="P506" s="82" t="str">
        <x:v>Malaysia</x:v>
      </x:c>
      <x:c r="Q506" s="82" t="str"/>
      <x:c r="R506" s="82" t="str">
        <x:v>Temática / multipack</x:v>
      </x:c>
      <x:c r="S506" s="82" t="str">
        <x:v>Rara</x:v>
      </x:c>
      <x:c r="T506" s="82" t="str">
        <x:v>Lançado</x:v>
      </x:c>
      <x:c r="U506" s="82" t="str">
        <x:v>Also found in Ferrari 5-Pack</x:v>
      </x:c>
      <x:c r="V506" s="80" t="str">
        <x:v>Coleção principal (~1:64)</x:v>
      </x:c>
      <x:c r="W506" s="82" t="str">
        <x:v>https://hotwheels.fandom.com/wiki/Ferrari_F40</x:v>
      </x:c>
      <x:c r="X506" s="82" t="str">
        <x:v>https://hotwheels.fandom.com/wiki/Ferrari_F40</x:v>
      </x:c>
    </x:row>
    <x:row r="507">
      <x:c r="A507" s="80" t="str">
        <x:v>Não</x:v>
      </x:c>
      <x:c r="B507" s="80" t="str">
        <x:v>2 — Completar aos poucos</x:v>
      </x:c>
      <x:c r="C507" s="81" t="n">
        <x:v>1996</x:v>
      </x:c>
      <x:c r="D507" s="80" t="str">
        <x:v>Ferrari F40</x:v>
      </x:c>
      <x:c r="E507" s="80" t="str">
        <x:v>Ferrari F40</x:v>
      </x:c>
      <x:c r="F507" s="82" t="str">
        <x:v>Mainline</x:v>
      </x:c>
      <x:c r="G507" s="80" t="str"/>
      <x:c r="H507" s="80" t="str">
        <x:v>442</x:v>
      </x:c>
      <x:c r="I507" s="83" t="str">
        <x:v>12935</x:v>
      </x:c>
      <x:c r="J507" s="80" t="str">
        <x:v>Pearl White</x:v>
      </x:c>
      <x:c r="K507" s="82" t="str">
        <x:v>Ferrari Crest in Black &amp; Yellow</x:v>
      </x:c>
      <x:c r="L507" s="82" t="str">
        <x:v>5SP</x:v>
      </x:c>
      <x:c r="M507" s="82" t="str">
        <x:v>ZAMAC</x:v>
      </x:c>
      <x:c r="N507" s="82" t="str">
        <x:v>Smoke tint</x:v>
      </x:c>
      <x:c r="O507" s="82" t="str">
        <x:v>Tan</x:v>
      </x:c>
      <x:c r="P507" s="82" t="str">
        <x:v>Malaysia</x:v>
      </x:c>
      <x:c r="Q507" s="82" t="str"/>
      <x:c r="R507" s="82" t="str">
        <x:v>Temática / multipack</x:v>
      </x:c>
      <x:c r="S507" s="82" t="str">
        <x:v>Rara</x:v>
      </x:c>
      <x:c r="T507" s="82" t="str">
        <x:v>Lançado</x:v>
      </x:c>
      <x:c r="U507" s="82" t="str">
        <x:v>Also found in Ferrari 5-Pack</x:v>
      </x:c>
      <x:c r="V507" s="80" t="str">
        <x:v>Coleção principal (~1:64)</x:v>
      </x:c>
      <x:c r="W507" s="82" t="str">
        <x:v>https://hotwheels.fandom.com/wiki/Ferrari_F40</x:v>
      </x:c>
      <x:c r="X507" s="82" t="str">
        <x:v>https://hotwheels.fandom.com/wiki/Ferrari_F40</x:v>
      </x:c>
    </x:row>
    <x:row r="508">
      <x:c r="A508" s="80" t="str">
        <x:v>Não</x:v>
      </x:c>
      <x:c r="B508" s="80" t="str">
        <x:v>2 — Completar aos poucos</x:v>
      </x:c>
      <x:c r="C508" s="81" t="n">
        <x:v>1996</x:v>
      </x:c>
      <x:c r="D508" s="80" t="str">
        <x:v>Ferrari F40</x:v>
      </x:c>
      <x:c r="E508" s="80" t="str">
        <x:v>Ferrari F40</x:v>
      </x:c>
      <x:c r="F508" s="82" t="str">
        <x:v>Mainline</x:v>
      </x:c>
      <x:c r="G508" s="80" t="str"/>
      <x:c r="H508" s="80" t="str">
        <x:v>442</x:v>
      </x:c>
      <x:c r="I508" s="83" t="str">
        <x:v>12935</x:v>
      </x:c>
      <x:c r="J508" s="80" t="str">
        <x:v>Pearl White</x:v>
      </x:c>
      <x:c r="K508" s="82" t="str">
        <x:v>Ferrari Crest in Black &amp; Yellow</x:v>
      </x:c>
      <x:c r="L508" s="82" t="str">
        <x:v>White 5DOT</x:v>
      </x:c>
      <x:c r="M508" s="82" t="str">
        <x:v>ZAMAC</x:v>
      </x:c>
      <x:c r="N508" s="82" t="str">
        <x:v>Smoke tint</x:v>
      </x:c>
      <x:c r="O508" s="82" t="str">
        <x:v>Tan</x:v>
      </x:c>
      <x:c r="P508" s="82" t="str">
        <x:v>Malaysia</x:v>
      </x:c>
      <x:c r="Q508" s="82" t="str"/>
      <x:c r="R508" s="82" t="str">
        <x:v>Temática / multipack</x:v>
      </x:c>
      <x:c r="S508" s="82" t="str">
        <x:v>Rara</x:v>
      </x:c>
      <x:c r="T508" s="82" t="str">
        <x:v>Lançado</x:v>
      </x:c>
      <x:c r="U508" s="82" t="str">
        <x:v>Also found in Ferrari 5-Pack</x:v>
      </x:c>
      <x:c r="V508" s="80" t="str">
        <x:v>Coleção principal (~1:64)</x:v>
      </x:c>
      <x:c r="W508" s="82" t="str">
        <x:v>https://hotwheels.fandom.com/wiki/Ferrari_F40</x:v>
      </x:c>
      <x:c r="X508" s="82" t="str">
        <x:v>https://hotwheels.fandom.com/wiki/Ferrari_F40</x:v>
      </x:c>
    </x:row>
    <x:row r="509">
      <x:c r="A509" s="80" t="str">
        <x:v>Não</x:v>
      </x:c>
      <x:c r="B509" s="80" t="str">
        <x:v>2 — Completar aos poucos</x:v>
      </x:c>
      <x:c r="C509" s="81" t="n">
        <x:v>1996</x:v>
      </x:c>
      <x:c r="D509" s="80" t="str">
        <x:v>Ferrari F40</x:v>
      </x:c>
      <x:c r="E509" s="80" t="str">
        <x:v>Ferrari F40</x:v>
      </x:c>
      <x:c r="F509" s="82" t="str">
        <x:v>Mainline</x:v>
      </x:c>
      <x:c r="G509" s="80" t="str"/>
      <x:c r="H509" s="80" t="str">
        <x:v>442</x:v>
      </x:c>
      <x:c r="I509" s="83" t="str">
        <x:v>12935</x:v>
      </x:c>
      <x:c r="J509" s="80" t="str">
        <x:v>Pearl White</x:v>
      </x:c>
      <x:c r="K509" s="82" t="str">
        <x:v>Ferrari Crest in Black &amp; Yellow</x:v>
      </x:c>
      <x:c r="L509" s="82" t="str">
        <x:v>5DOT</x:v>
      </x:c>
      <x:c r="M509" s="82" t="str">
        <x:v>ZAMAC</x:v>
      </x:c>
      <x:c r="N509" s="82" t="str">
        <x:v>Smoke tint</x:v>
      </x:c>
      <x:c r="O509" s="82" t="str">
        <x:v>Tan</x:v>
      </x:c>
      <x:c r="P509" s="82" t="str">
        <x:v>Malaysia</x:v>
      </x:c>
      <x:c r="Q509" s="82" t="str"/>
      <x:c r="R509" s="82" t="str">
        <x:v>Temática / multipack</x:v>
      </x:c>
      <x:c r="S509" s="82" t="str">
        <x:v>Rara</x:v>
      </x:c>
      <x:c r="T509" s="82" t="str">
        <x:v>Lançado</x:v>
      </x:c>
      <x:c r="U509" s="82" t="str">
        <x:v>Also found in Ferrari 5-Pack</x:v>
      </x:c>
      <x:c r="V509" s="80" t="str">
        <x:v>Coleção principal (~1:64)</x:v>
      </x:c>
      <x:c r="W509" s="82" t="str">
        <x:v>https://hotwheels.fandom.com/wiki/Ferrari_F40</x:v>
      </x:c>
      <x:c r="X509" s="82" t="str">
        <x:v>https://hotwheels.fandom.com/wiki/Ferrari_F40</x:v>
      </x:c>
    </x:row>
    <x:row r="510">
      <x:c r="A510" s="80" t="str">
        <x:v>Não</x:v>
      </x:c>
      <x:c r="B510" s="80" t="str">
        <x:v>2 — Completar aos poucos</x:v>
      </x:c>
      <x:c r="C510" s="81" t="n">
        <x:v>1996</x:v>
      </x:c>
      <x:c r="D510" s="80" t="str">
        <x:v>Ferrari F40</x:v>
      </x:c>
      <x:c r="E510" s="80" t="str">
        <x:v>Ferrari F40</x:v>
      </x:c>
      <x:c r="F510" s="82" t="str">
        <x:v>Mainline</x:v>
      </x:c>
      <x:c r="G510" s="80" t="str"/>
      <x:c r="H510" s="80" t="str">
        <x:v>442</x:v>
      </x:c>
      <x:c r="I510" s="83" t="str">
        <x:v>12935</x:v>
      </x:c>
      <x:c r="J510" s="80" t="str">
        <x:v>Pearl White</x:v>
      </x:c>
      <x:c r="K510" s="82" t="str">
        <x:v>Ferrari Crest in Black &amp; Yellow</x:v>
      </x:c>
      <x:c r="L510" s="82" t="str">
        <x:v>SB</x:v>
      </x:c>
      <x:c r="M510" s="82" t="str">
        <x:v>ZAMAC</x:v>
      </x:c>
      <x:c r="N510" s="82" t="str">
        <x:v>Smoke tint</x:v>
      </x:c>
      <x:c r="O510" s="82" t="str">
        <x:v>Tan</x:v>
      </x:c>
      <x:c r="P510" s="82" t="str">
        <x:v>Malaysia</x:v>
      </x:c>
      <x:c r="Q510" s="82" t="str"/>
      <x:c r="R510" s="82" t="str">
        <x:v>Temática / multipack</x:v>
      </x:c>
      <x:c r="S510" s="82" t="str">
        <x:v>Rara</x:v>
      </x:c>
      <x:c r="T510" s="82" t="str">
        <x:v>Lançado</x:v>
      </x:c>
      <x:c r="U510" s="82" t="str">
        <x:v>Also found in Ferrari 5-Pack</x:v>
      </x:c>
      <x:c r="V510" s="80" t="str">
        <x:v>Coleção principal (~1:64)</x:v>
      </x:c>
      <x:c r="W510" s="82" t="str">
        <x:v>https://hotwheels.fandom.com/wiki/Ferrari_F40</x:v>
      </x:c>
      <x:c r="X510" s="82" t="str">
        <x:v>https://hotwheels.fandom.com/wiki/Ferrari_F40</x:v>
      </x:c>
    </x:row>
    <x:row r="511">
      <x:c r="A511" s="80" t="str">
        <x:v>Não</x:v>
      </x:c>
      <x:c r="B511" s="80" t="str">
        <x:v>2 — Completar aos poucos</x:v>
      </x:c>
      <x:c r="C511" s="81" t="n">
        <x:v>1996</x:v>
      </x:c>
      <x:c r="D511" s="80" t="str">
        <x:v>Ferrari F50 Spider</x:v>
      </x:c>
      <x:c r="E511" s="80" t="str">
        <x:v>Ferrari F50 Spider</x:v>
      </x:c>
      <x:c r="F511" s="82" t="str">
        <x:v>1996 First Editions / 12/12</x:v>
      </x:c>
      <x:c r="G511" s="80" t="str"/>
      <x:c r="H511" s="80" t="str">
        <x:v>377</x:v>
      </x:c>
      <x:c r="I511" s="83" t="str">
        <x:v>14917</x:v>
      </x:c>
      <x:c r="J511" s="80" t="str">
        <x:v>Red</x:v>
      </x:c>
      <x:c r="K511" s="82" t="str">
        <x:v>Yellow "Hot Wheels" logo on rear wing</x:v>
      </x:c>
      <x:c r="L511" s="82" t="str">
        <x:v>LW</x:v>
      </x:c>
      <x:c r="M511" s="82" t="str">
        <x:v>Gray / / / Plastic</x:v>
      </x:c>
      <x:c r="N511" s="82" t="str">
        <x:v>Clear</x:v>
      </x:c>
      <x:c r="O511" s="82" t="str">
        <x:v>Black</x:v>
      </x:c>
      <x:c r="P511" s="82" t="str">
        <x:v>Malaysia / China</x:v>
      </x:c>
      <x:c r="Q511" s="82" t="str"/>
      <x:c r="R511" s="82" t="str">
        <x:v>Mainline</x:v>
      </x:c>
      <x:c r="S511" s="82" t="str">
        <x:v>Rara</x:v>
      </x:c>
      <x:c r="T511" s="82" t="str">
        <x:v>Lançado</x:v>
      </x:c>
      <x:c r="U511" s="82" t="str"/>
      <x:c r="V511" s="80" t="str">
        <x:v>Coleção principal (~1:64)</x:v>
      </x:c>
      <x:c r="W511" s="82" t="str">
        <x:v>https://hotwheels.fandom.com/wiki/Ferrari_F50_Spider</x:v>
      </x:c>
      <x:c r="X511" s="82" t="str">
        <x:v>https://hotwheels.fandom.com/wiki/Ferrari_F50_Spider</x:v>
      </x:c>
    </x:row>
    <x:row r="512">
      <x:c r="A512" s="80" t="str">
        <x:v>Não</x:v>
      </x:c>
      <x:c r="B512" s="80" t="str">
        <x:v>2 — Completar aos poucos</x:v>
      </x:c>
      <x:c r="C512" s="81" t="n">
        <x:v>1996</x:v>
      </x:c>
      <x:c r="D512" s="80" t="str">
        <x:v>Ferrari Testarossa (1987)</x:v>
      </x:c>
      <x:c r="E512" s="80" t="str">
        <x:v>Ferrari Testarossa</x:v>
      </x:c>
      <x:c r="F512" s="82" t="str"/>
      <x:c r="G512" s="80" t="str"/>
      <x:c r="H512" s="80" t="str"/>
      <x:c r="I512" s="83" t="str">
        <x:v>13576</x:v>
      </x:c>
      <x:c r="J512" s="80" t="str">
        <x:v>Red</x:v>
      </x:c>
      <x:c r="K512" s="82" t="str">
        <x:v>Yellow &amp; Black "Ferrari" logo &amp; name on hood</x:v>
      </x:c>
      <x:c r="L512" s="82" t="str">
        <x:v>UH</x:v>
      </x:c>
      <x:c r="M512" s="82" t="str">
        <x:v>Black / / / Plastic</x:v>
      </x:c>
      <x:c r="N512" s="82" t="str">
        <x:v>Clear</x:v>
      </x:c>
      <x:c r="O512" s="82" t="str">
        <x:v>Black &amp; Red</x:v>
      </x:c>
      <x:c r="P512" s="82" t="str">
        <x:v>Malaysia</x:v>
      </x:c>
      <x:c r="Q512" s="82" t="str"/>
      <x:c r="R512" s="82" t="str">
        <x:v>Outra linha</x:v>
      </x:c>
      <x:c r="S512" s="82" t="str">
        <x:v>Rara</x:v>
      </x:c>
      <x:c r="T512" s="82" t="str">
        <x:v>Lançado</x:v>
      </x:c>
      <x:c r="U512" s="82" t="str"/>
      <x:c r="V512" s="80" t="str">
        <x:v>Coleção principal (~1:64)</x:v>
      </x:c>
      <x:c r="W512" s="82" t="str">
        <x:v>https://hotwheels.fandom.com/wiki/Ferrari_Testarossa_(1987)</x:v>
      </x:c>
      <x:c r="X512" s="82" t="str">
        <x:v>https://hotwheels.fandom.com/wiki/Ferrari_Testarossa_(1987)</x:v>
      </x:c>
    </x:row>
    <x:row r="513">
      <x:c r="A513" s="80" t="str">
        <x:v>Não</x:v>
      </x:c>
      <x:c r="B513" s="80" t="str">
        <x:v>2 — Completar aos poucos</x:v>
      </x:c>
      <x:c r="C513" s="81" t="n">
        <x:v>1996</x:v>
      </x:c>
      <x:c r="D513" s="80" t="str">
        <x:v>Ferrari Testarossa (1987)</x:v>
      </x:c>
      <x:c r="E513" s="80" t="str">
        <x:v>Ferrari Testarossa</x:v>
      </x:c>
      <x:c r="F513" s="82" t="str">
        <x:v>FAO Schwarz The History of Hot Wheels II</x:v>
      </x:c>
      <x:c r="G513" s="80" t="str"/>
      <x:c r="H513" s="80" t="str"/>
      <x:c r="I513" s="83" t="str">
        <x:v>15732</x:v>
      </x:c>
      <x:c r="J513" s="80" t="str">
        <x:v>Metalflake Dark Red</x:v>
      </x:c>
      <x:c r="K513" s="82" t="str">
        <x:v>None</x:v>
      </x:c>
      <x:c r="L513" s="82" t="str">
        <x:v>Gold PC5</x:v>
      </x:c>
      <x:c r="M513" s="82" t="str">
        <x:v>Metalflake Dark Red / / / Metal</x:v>
      </x:c>
      <x:c r="N513" s="82" t="str">
        <x:v>Clear</x:v>
      </x:c>
      <x:c r="O513" s="82" t="str">
        <x:v>Black &amp; Dark Red</x:v>
      </x:c>
      <x:c r="P513" s="82" t="str">
        <x:v>Malaysia</x:v>
      </x:c>
      <x:c r="Q513" s="82" t="str"/>
      <x:c r="R513" s="82" t="str">
        <x:v>Outra linha</x:v>
      </x:c>
      <x:c r="S513" s="82" t="str">
        <x:v>Rara</x:v>
      </x:c>
      <x:c r="T513" s="82" t="str">
        <x:v>Lançado</x:v>
      </x:c>
      <x:c r="U513" s="82" t="str"/>
      <x:c r="V513" s="80" t="str">
        <x:v>Coleção principal (~1:64)</x:v>
      </x:c>
      <x:c r="W513" s="82" t="str">
        <x:v>https://hotwheels.fandom.com/wiki/Ferrari_Testarossa_(1987)</x:v>
      </x:c>
      <x:c r="X513" s="82" t="str">
        <x:v>https://hotwheels.fandom.com/wiki/Ferrari_Testarossa_(1987)</x:v>
      </x:c>
    </x:row>
    <x:row r="514">
      <x:c r="A514" s="80" t="str">
        <x:v>Não</x:v>
      </x:c>
      <x:c r="B514" s="80" t="str">
        <x:v>2 — Completar aos poucos</x:v>
      </x:c>
      <x:c r="C514" s="81" t="n">
        <x:v>1996</x:v>
      </x:c>
      <x:c r="D514" s="80" t="str">
        <x:v>Ferrari Testarossa (1987)</x:v>
      </x:c>
      <x:c r="E514" s="80" t="str">
        <x:v>Ferrari Testarossa</x:v>
      </x:c>
      <x:c r="F514" s="82" t="str">
        <x:v>Ferrari 5-Pack</x:v>
      </x:c>
      <x:c r="G514" s="80" t="str"/>
      <x:c r="H514" s="80" t="str"/>
      <x:c r="I514" s="83" t="str">
        <x:v>13576</x:v>
      </x:c>
      <x:c r="J514" s="80" t="str">
        <x:v>Metalflake Silver</x:v>
      </x:c>
      <x:c r="K514" s="82" t="str">
        <x:v>Yellow &amp; Black "Ferrari" logo &amp; name on hood</x:v>
      </x:c>
      <x:c r="L514" s="82" t="str">
        <x:v>5SP</x:v>
      </x:c>
      <x:c r="M514" s="82" t="str">
        <x:v>Metalflake Silver / / / Metal</x:v>
      </x:c>
      <x:c r="N514" s="82" t="str">
        <x:v>Clear</x:v>
      </x:c>
      <x:c r="O514" s="82" t="str">
        <x:v>Black &amp; Gray</x:v>
      </x:c>
      <x:c r="P514" s="82" t="str">
        <x:v>Malaysia</x:v>
      </x:c>
      <x:c r="Q514" s="82" t="str"/>
      <x:c r="R514" s="82" t="str">
        <x:v>Temática / multipack</x:v>
      </x:c>
      <x:c r="S514" s="82" t="str">
        <x:v>Rara</x:v>
      </x:c>
      <x:c r="T514" s="82" t="str">
        <x:v>Lançado</x:v>
      </x:c>
      <x:c r="U514" s="82" t="str"/>
      <x:c r="V514" s="80" t="str">
        <x:v>Coleção principal (~1:64)</x:v>
      </x:c>
      <x:c r="W514" s="82" t="str">
        <x:v>https://hotwheels.fandom.com/wiki/Ferrari_Testarossa_(1987)</x:v>
      </x:c>
      <x:c r="X514" s="82" t="str">
        <x:v>https://hotwheels.fandom.com/wiki/Ferrari_Testarossa_(1987)</x:v>
      </x:c>
    </x:row>
    <x:row r="515">
      <x:c r="A515" s="80" t="str">
        <x:v>Não</x:v>
      </x:c>
      <x:c r="B515" s="80" t="str">
        <x:v>2 — Completar aos poucos</x:v>
      </x:c>
      <x:c r="C515" s="81" t="n">
        <x:v>1996</x:v>
      </x:c>
      <x:c r="D515" s="80" t="str">
        <x:v>Ferrari Testarossa (1987)</x:v>
      </x:c>
      <x:c r="E515" s="80" t="str">
        <x:v>Ferrari Testarossa</x:v>
      </x:c>
      <x:c r="F515" s="82" t="str">
        <x:v>Gold Medal Speed</x:v>
      </x:c>
      <x:c r="G515" s="80" t="str"/>
      <x:c r="H515" s="80" t="str">
        <x:v>35</x:v>
      </x:c>
      <x:c r="I515" s="83" t="str">
        <x:v>13576</x:v>
      </x:c>
      <x:c r="J515" s="80" t="str">
        <x:v>Metalflake Black</x:v>
      </x:c>
      <x:c r="K515" s="82" t="str">
        <x:v>Yellow &amp; Black "Ferrari" logo &amp; name on hood</x:v>
      </x:c>
      <x:c r="L515" s="82" t="str">
        <x:v>Gold 3SP</x:v>
      </x:c>
      <x:c r="M515" s="82" t="str">
        <x:v>Metalflake Black / / / Metal</x:v>
      </x:c>
      <x:c r="N515" s="82" t="str">
        <x:v>Clear</x:v>
      </x:c>
      <x:c r="O515" s="82" t="str">
        <x:v>Tan &amp; Black</x:v>
      </x:c>
      <x:c r="P515" s="82" t="str">
        <x:v>Malaysia</x:v>
      </x:c>
      <x:c r="Q515" s="82" t="str"/>
      <x:c r="R515" s="82" t="str">
        <x:v>Mainline</x:v>
      </x:c>
      <x:c r="S515" s="82" t="str">
        <x:v>Rara</x:v>
      </x:c>
      <x:c r="T515" s="82" t="str">
        <x:v>Lançado</x:v>
      </x:c>
      <x:c r="U515" s="82" t="str"/>
      <x:c r="V515" s="80" t="str">
        <x:v>Coleção principal (~1:64)</x:v>
      </x:c>
      <x:c r="W515" s="82" t="str">
        <x:v>https://hotwheels.fandom.com/wiki/Ferrari_Testarossa_(1987)</x:v>
      </x:c>
      <x:c r="X515" s="82" t="str">
        <x:v>https://hotwheels.fandom.com/wiki/Ferrari_Testarossa_(1987)</x:v>
      </x:c>
    </x:row>
    <x:row r="516">
      <x:c r="A516" s="80" t="str">
        <x:v>Não</x:v>
      </x:c>
      <x:c r="B516" s="80" t="str">
        <x:v>2 — Completar aos poucos</x:v>
      </x:c>
      <x:c r="C516" s="81" t="n">
        <x:v>1996</x:v>
      </x:c>
      <x:c r="D516" s="80" t="str">
        <x:v>Ferrari Testarossa (1987)</x:v>
      </x:c>
      <x:c r="E516" s="80" t="str">
        <x:v>Ferrari Testarossa</x:v>
      </x:c>
      <x:c r="F516" s="82" t="str">
        <x:v>Gold Medal Speed</x:v>
      </x:c>
      <x:c r="G516" s="80" t="str"/>
      <x:c r="H516" s="80" t="str">
        <x:v>35</x:v>
      </x:c>
      <x:c r="I516" s="83" t="str">
        <x:v>13576</x:v>
      </x:c>
      <x:c r="J516" s="80" t="str">
        <x:v>Metalflake Black</x:v>
      </x:c>
      <x:c r="K516" s="82" t="str">
        <x:v>Yellow &amp; Black "Ferrari" logo &amp; name on hood</x:v>
      </x:c>
      <x:c r="L516" s="82" t="str">
        <x:v>Gold LW</x:v>
      </x:c>
      <x:c r="M516" s="82" t="str">
        <x:v>Metalflake Black Metal</x:v>
      </x:c>
      <x:c r="N516" s="82" t="str">
        <x:v>Clear</x:v>
      </x:c>
      <x:c r="O516" s="82" t="str">
        <x:v>Tan &amp; Black</x:v>
      </x:c>
      <x:c r="P516" s="82" t="str">
        <x:v>Malaysia</x:v>
      </x:c>
      <x:c r="Q516" s="82" t="str"/>
      <x:c r="R516" s="82" t="str">
        <x:v>Mainline</x:v>
      </x:c>
      <x:c r="S516" s="82" t="str">
        <x:v>Rara</x:v>
      </x:c>
      <x:c r="T516" s="82" t="str">
        <x:v>Lançado</x:v>
      </x:c>
      <x:c r="U516" s="82" t="str"/>
      <x:c r="V516" s="80" t="str">
        <x:v>Coleção principal (~1:64)</x:v>
      </x:c>
      <x:c r="W516" s="82" t="str">
        <x:v>https://hotwheels.fandom.com/wiki/Ferrari_Testarossa_(1987)</x:v>
      </x:c>
      <x:c r="X516" s="82" t="str">
        <x:v>https://hotwheels.fandom.com/wiki/Ferrari_Testarossa_(1987)</x:v>
      </x:c>
    </x:row>
    <x:row r="517">
      <x:c r="A517" s="80" t="str">
        <x:v>Não</x:v>
      </x:c>
      <x:c r="B517" s="80" t="str">
        <x:v>2 — Completar aos poucos</x:v>
      </x:c>
      <x:c r="C517" s="81" t="n">
        <x:v>1996</x:v>
      </x:c>
      <x:c r="D517" s="80" t="str">
        <x:v>Ferrari Testarossa (Corgi)</x:v>
      </x:c>
      <x:c r="E517" s="80" t="str">
        <x:v>Ferrari Testarossa</x:v>
      </x:c>
      <x:c r="F517" s="82" t="str">
        <x:v>FAO Schwarz Series III Set</x:v>
      </x:c>
      <x:c r="G517" s="80" t="str"/>
      <x:c r="H517" s="80" t="str"/>
      <x:c r="I517" s="83" t="str">
        <x:v>16020</x:v>
      </x:c>
      <x:c r="J517" s="80" t="str">
        <x:v>Black</x:v>
      </x:c>
      <x:c r="K517" s="82" t="str">
        <x:v>Gold HW logo, lower lights</x:v>
      </x:c>
      <x:c r="L517" s="82" t="str">
        <x:v>Gold 5SP</x:v>
      </x:c>
      <x:c r="M517" s="82" t="str">
        <x:v>Black / / / Plastic</x:v>
      </x:c>
      <x:c r="N517" s="82" t="str">
        <x:v>Clear</x:v>
      </x:c>
      <x:c r="O517" s="82" t="str">
        <x:v>Beige</x:v>
      </x:c>
      <x:c r="P517" s="82" t="str">
        <x:v>China</x:v>
      </x:c>
      <x:c r="Q517" s="82" t="str"/>
      <x:c r="R517" s="82" t="str">
        <x:v>Outra linha</x:v>
      </x:c>
      <x:c r="S517" s="82" t="str">
        <x:v>Rara</x:v>
      </x:c>
      <x:c r="T517" s="82" t="str">
        <x:v>Lançado</x:v>
      </x:c>
      <x:c r="U517" s="82" t="str"/>
      <x:c r="V517" s="80" t="str">
        <x:v>Coleção principal (~1:64)</x:v>
      </x:c>
      <x:c r="W517" s="82" t="str">
        <x:v>https://hotwheels.fandom.com/wiki/Ferrari_Testarossa_(Corgi)</x:v>
      </x:c>
      <x:c r="X517" s="82" t="str">
        <x:v>https://hotwheels.fandom.com/wiki/Ferrari_Testarossa_(Corgi)</x:v>
      </x:c>
    </x:row>
    <x:row r="518">
      <x:c r="A518" s="80" t="str">
        <x:v>Não</x:v>
      </x:c>
      <x:c r="B518" s="80" t="str">
        <x:v>2 — Completar aos poucos</x:v>
      </x:c>
      <x:c r="C518" s="81" t="n">
        <x:v>1996</x:v>
      </x:c>
      <x:c r="D518" s="80" t="str">
        <x:v>Ferrari Testarossa (Corgi)</x:v>
      </x:c>
      <x:c r="E518" s="80" t="str">
        <x:v>Ferrari Testarossa</x:v>
      </x:c>
      <x:c r="F518" s="82" t="str">
        <x:v>Mainline</x:v>
      </x:c>
      <x:c r="G518" s="80" t="str"/>
      <x:c r="H518" s="80" t="str">
        <x:v>497</x:v>
      </x:c>
      <x:c r="I518" s="83" t="str">
        <x:v>16304</x:v>
      </x:c>
      <x:c r="J518" s="80" t="str">
        <x:v>White</x:v>
      </x:c>
      <x:c r="K518" s="82" t="str">
        <x:v>None</x:v>
      </x:c>
      <x:c r="L518" s="82" t="str">
        <x:v>5SP</x:v>
      </x:c>
      <x:c r="M518" s="82" t="str">
        <x:v>Black / / / Plastic</x:v>
      </x:c>
      <x:c r="N518" s="82" t="str">
        <x:v>Clear</x:v>
      </x:c>
      <x:c r="O518" s="82" t="str">
        <x:v>Black</x:v>
      </x:c>
      <x:c r="P518" s="82" t="str">
        <x:v>China</x:v>
      </x:c>
      <x:c r="Q518" s="82" t="str"/>
      <x:c r="R518" s="82" t="str">
        <x:v>Mainline</x:v>
      </x:c>
      <x:c r="S518" s="82" t="str">
        <x:v>Rara</x:v>
      </x:c>
      <x:c r="T518" s="82" t="str">
        <x:v>Lançado</x:v>
      </x:c>
      <x:c r="U518" s="82" t="str"/>
      <x:c r="V518" s="80" t="str">
        <x:v>Coleção principal (~1:64)</x:v>
      </x:c>
      <x:c r="W518" s="82" t="str">
        <x:v>https://hotwheels.fandom.com/wiki/Ferrari_Testarossa_(Corgi)</x:v>
      </x:c>
      <x:c r="X518" s="82" t="str">
        <x:v>https://hotwheels.fandom.com/wiki/Ferrari_Testarossa_(Corgi)</x:v>
      </x:c>
    </x:row>
    <x:row r="519">
      <x:c r="A519" s="80" t="str">
        <x:v>Não</x:v>
      </x:c>
      <x:c r="B519" s="80" t="str">
        <x:v>2 — Completar aos poucos</x:v>
      </x:c>
      <x:c r="C519" s="81" t="n">
        <x:v>1996</x:v>
      </x:c>
      <x:c r="D519" s="80" t="str">
        <x:v>Ferrari Testarossa (Corgi)</x:v>
      </x:c>
      <x:c r="E519" s="80" t="str">
        <x:v>Ferrari Testarossa</x:v>
      </x:c>
      <x:c r="F519" s="82" t="str">
        <x:v>Mainline</x:v>
      </x:c>
      <x:c r="G519" s="80" t="str"/>
      <x:c r="H519" s="80" t="str">
        <x:v>497</x:v>
      </x:c>
      <x:c r="I519" s="83" t="str">
        <x:v>16304</x:v>
      </x:c>
      <x:c r="J519" s="80" t="str">
        <x:v>White</x:v>
      </x:c>
      <x:c r="K519" s="82" t="str">
        <x:v>None</x:v>
      </x:c>
      <x:c r="L519" s="82" t="str">
        <x:v>LW</x:v>
      </x:c>
      <x:c r="M519" s="82" t="str">
        <x:v>Black / / / Plastic</x:v>
      </x:c>
      <x:c r="N519" s="82" t="str">
        <x:v>Clear</x:v>
      </x:c>
      <x:c r="O519" s="82" t="str">
        <x:v>Black</x:v>
      </x:c>
      <x:c r="P519" s="82" t="str">
        <x:v>China</x:v>
      </x:c>
      <x:c r="Q519" s="82" t="str"/>
      <x:c r="R519" s="82" t="str">
        <x:v>Mainline</x:v>
      </x:c>
      <x:c r="S519" s="82" t="str">
        <x:v>Rara</x:v>
      </x:c>
      <x:c r="T519" s="82" t="str">
        <x:v>Lançado</x:v>
      </x:c>
      <x:c r="U519" s="82" t="str"/>
      <x:c r="V519" s="80" t="str">
        <x:v>Coleção principal (~1:64)</x:v>
      </x:c>
      <x:c r="W519" s="82" t="str">
        <x:v>https://hotwheels.fandom.com/wiki/Ferrari_Testarossa_(Corgi)</x:v>
      </x:c>
      <x:c r="X519" s="82" t="str">
        <x:v>https://hotwheels.fandom.com/wiki/Ferrari_Testarossa_(Corgi)</x:v>
      </x:c>
    </x:row>
    <x:row r="520">
      <x:c r="A520" s="80" t="str">
        <x:v>Não</x:v>
      </x:c>
      <x:c r="B520" s="80" t="str">
        <x:v>2 — Completar aos poucos</x:v>
      </x:c>
      <x:c r="C520" s="81" t="n">
        <x:v>1995</x:v>
      </x:c>
      <x:c r="D520" s="80" t="str">
        <x:v>Ferrari 250</x:v>
      </x:c>
      <x:c r="E520" s="80" t="str">
        <x:v>Ferrari 250</x:v>
      </x:c>
      <x:c r="F520" s="82" t="str">
        <x:v>Ferrari 5-Pack</x:v>
      </x:c>
      <x:c r="G520" s="80" t="str"/>
      <x:c r="H520" s="80" t="str"/>
      <x:c r="I520" s="83" t="str">
        <x:v>12405</x:v>
      </x:c>
      <x:c r="J520" s="80" t="str">
        <x:v>Green</x:v>
      </x:c>
      <x:c r="K520" s="82" t="str">
        <x:v>Yellow &amp; Black Ferrari Logo on hood</x:v>
      </x:c>
      <x:c r="L520" s="82" t="str">
        <x:v>7SP</x:v>
      </x:c>
      <x:c r="M520" s="82" t="str">
        <x:v>Green / / / Plastic</x:v>
      </x:c>
      <x:c r="N520" s="82" t="str">
        <x:v>Clear</x:v>
      </x:c>
      <x:c r="O520" s="82" t="str">
        <x:v>Tan</x:v>
      </x:c>
      <x:c r="P520" s="82" t="str">
        <x:v>Malaysia</x:v>
      </x:c>
      <x:c r="Q520" s="82" t="str"/>
      <x:c r="R520" s="82" t="str">
        <x:v>Temática / multipack</x:v>
      </x:c>
      <x:c r="S520" s="82" t="str">
        <x:v>Rara</x:v>
      </x:c>
      <x:c r="T520" s="82" t="str">
        <x:v>Lançado</x:v>
      </x:c>
      <x:c r="U520" s="82" t="str"/>
      <x:c r="V520" s="80" t="str">
        <x:v>Coleção principal (~1:64)</x:v>
      </x:c>
      <x:c r="W520" s="82" t="str">
        <x:v>https://hotwheels.fandom.com/wiki/Ferrari_250</x:v>
      </x:c>
      <x:c r="X520" s="82" t="str">
        <x:v>https://hotwheels.fandom.com/wiki/Ferrari_250</x:v>
      </x:c>
    </x:row>
    <x:row r="521">
      <x:c r="A521" s="80" t="str">
        <x:v>Não</x:v>
      </x:c>
      <x:c r="B521" s="80" t="str">
        <x:v>2 — Completar aos poucos</x:v>
      </x:c>
      <x:c r="C521" s="81" t="n">
        <x:v>1995</x:v>
      </x:c>
      <x:c r="D521" s="80" t="str">
        <x:v>Ferrari 250</x:v>
      </x:c>
      <x:c r="E521" s="80" t="str">
        <x:v>Ferrari 250</x:v>
      </x:c>
      <x:c r="F521" s="82" t="str">
        <x:v>Mainline</x:v>
      </x:c>
      <x:c r="G521" s="80" t="str"/>
      <x:c r="H521" s="80" t="str">
        <x:v>117</x:v>
      </x:c>
      <x:c r="I521" s="83" t="str">
        <x:v>5665</x:v>
      </x:c>
      <x:c r="J521" s="80" t="str">
        <x:v>Yellow</x:v>
      </x:c>
      <x:c r="K521" s="82" t="str">
        <x:v>Red "Ferrari", Black "7"</x:v>
      </x:c>
      <x:c r="L521" s="82" t="str">
        <x:v>BW</x:v>
      </x:c>
      <x:c r="M521" s="82" t="str">
        <x:v>Yellow / / / Plastic</x:v>
      </x:c>
      <x:c r="N521" s="82" t="str">
        <x:v>Clear</x:v>
      </x:c>
      <x:c r="O521" s="82" t="str">
        <x:v>Black</x:v>
      </x:c>
      <x:c r="P521" s="82" t="str">
        <x:v>Malaysia</x:v>
      </x:c>
      <x:c r="Q521" s="82" t="str"/>
      <x:c r="R521" s="82" t="str">
        <x:v>Mainline</x:v>
      </x:c>
      <x:c r="S521" s="82" t="str">
        <x:v>Rara</x:v>
      </x:c>
      <x:c r="T521" s="82" t="str">
        <x:v>Lançado</x:v>
      </x:c>
      <x:c r="U521" s="82" t="str">
        <x:v>Black Pipes</x:v>
      </x:c>
      <x:c r="V521" s="80" t="str">
        <x:v>Coleção principal (~1:64)</x:v>
      </x:c>
      <x:c r="W521" s="82" t="str">
        <x:v>https://hotwheels.fandom.com/wiki/Ferrari_250</x:v>
      </x:c>
      <x:c r="X521" s="82" t="str">
        <x:v>https://hotwheels.fandom.com/wiki/Ferrari_250</x:v>
      </x:c>
    </x:row>
    <x:row r="522">
      <x:c r="A522" s="80" t="str">
        <x:v>Não</x:v>
      </x:c>
      <x:c r="B522" s="80" t="str">
        <x:v>2 — Completar aos poucos</x:v>
      </x:c>
      <x:c r="C522" s="81" t="n">
        <x:v>1995</x:v>
      </x:c>
      <x:c r="D522" s="80" t="str">
        <x:v>Ferrari 250</x:v>
      </x:c>
      <x:c r="E522" s="80" t="str">
        <x:v>Ferrari 250</x:v>
      </x:c>
      <x:c r="F522" s="82" t="str">
        <x:v>Mainline</x:v>
      </x:c>
      <x:c r="G522" s="80" t="str"/>
      <x:c r="H522" s="80" t="str">
        <x:v>117</x:v>
      </x:c>
      <x:c r="I522" s="83" t="str">
        <x:v>5665 / 14622</x:v>
      </x:c>
      <x:c r="J522" s="80" t="str">
        <x:v>Yellow</x:v>
      </x:c>
      <x:c r="K522" s="82" t="str">
        <x:v>Red "Ferrari", Black "7"</x:v>
      </x:c>
      <x:c r="L522" s="82" t="str">
        <x:v>7SP</x:v>
      </x:c>
      <x:c r="M522" s="82" t="str">
        <x:v>Yellow / / / Plastic</x:v>
      </x:c>
      <x:c r="N522" s="82" t="str">
        <x:v>Clear</x:v>
      </x:c>
      <x:c r="O522" s="82" t="str">
        <x:v>Black</x:v>
      </x:c>
      <x:c r="P522" s="82" t="str">
        <x:v>Malaysia</x:v>
      </x:c>
      <x:c r="Q522" s="82" t="str"/>
      <x:c r="R522" s="82" t="str">
        <x:v>Mainline</x:v>
      </x:c>
      <x:c r="S522" s="82" t="str">
        <x:v>Rara</x:v>
      </x:c>
      <x:c r="T522" s="82" t="str">
        <x:v>Lançado</x:v>
      </x:c>
      <x:c r="U522" s="82" t="str">
        <x:v>Black pipes / also on 2-Pack Lucky</x:v>
      </x:c>
      <x:c r="V522" s="80" t="str">
        <x:v>Coleção principal (~1:64)</x:v>
      </x:c>
      <x:c r="W522" s="82" t="str">
        <x:v>https://hotwheels.fandom.com/wiki/Ferrari_250</x:v>
      </x:c>
      <x:c r="X522" s="82" t="str">
        <x:v>https://hotwheels.fandom.com/wiki/Ferrari_250</x:v>
      </x:c>
    </x:row>
    <x:row r="523">
      <x:c r="A523" s="80" t="str">
        <x:v>Não</x:v>
      </x:c>
      <x:c r="B523" s="80" t="str">
        <x:v>2 — Completar aos poucos</x:v>
      </x:c>
      <x:c r="C523" s="81" t="n">
        <x:v>1995</x:v>
      </x:c>
      <x:c r="D523" s="80" t="str">
        <x:v>Ferrari 250</x:v>
      </x:c>
      <x:c r="E523" s="80" t="str">
        <x:v>Ferrari 250</x:v>
      </x:c>
      <x:c r="F523" s="82" t="str">
        <x:v>Then &amp; Now 8-Pack</x:v>
      </x:c>
      <x:c r="G523" s="80" t="str"/>
      <x:c r="H523" s="80" t="str"/>
      <x:c r="I523" s="83" t="str">
        <x:v>5665</x:v>
      </x:c>
      <x:c r="J523" s="80" t="str">
        <x:v>Metallic Dark Red</x:v>
      </x:c>
      <x:c r="K523" s="82" t="str">
        <x:v>Red &amp; White Hot Wheels logo on rear</x:v>
      </x:c>
      <x:c r="L523" s="82" t="str">
        <x:v>7SP</x:v>
      </x:c>
      <x:c r="M523" s="82" t="str">
        <x:v>Dark Red / / / Plastic</x:v>
      </x:c>
      <x:c r="N523" s="82" t="str">
        <x:v>Clear</x:v>
      </x:c>
      <x:c r="O523" s="82" t="str">
        <x:v>Tan</x:v>
      </x:c>
      <x:c r="P523" s="82" t="str">
        <x:v>Malaysia</x:v>
      </x:c>
      <x:c r="Q523" s="82" t="str"/>
      <x:c r="R523" s="82" t="str">
        <x:v>Outra linha</x:v>
      </x:c>
      <x:c r="S523" s="82" t="str">
        <x:v>Rara</x:v>
      </x:c>
      <x:c r="T523" s="82" t="str">
        <x:v>Lançado</x:v>
      </x:c>
      <x:c r="U523" s="82" t="str"/>
      <x:c r="V523" s="80" t="str">
        <x:v>Coleção principal (~1:64)</x:v>
      </x:c>
      <x:c r="W523" s="82" t="str">
        <x:v>https://hotwheels.fandom.com/wiki/Ferrari_250</x:v>
      </x:c>
      <x:c r="X523" s="82" t="str">
        <x:v>https://hotwheels.fandom.com/wiki/Ferrari_250</x:v>
      </x:c>
    </x:row>
    <x:row r="524">
      <x:c r="A524" s="80" t="str">
        <x:v>Não</x:v>
      </x:c>
      <x:c r="B524" s="80" t="str">
        <x:v>2 — Completar aos poucos</x:v>
      </x:c>
      <x:c r="C524" s="81" t="n">
        <x:v>1995</x:v>
      </x:c>
      <x:c r="D524" s="80" t="str">
        <x:v>Ferrari 328 GTB</x:v>
      </x:c>
      <x:c r="E524" s="80" t="str">
        <x:v>Ferrari 328 GTB</x:v>
      </x:c>
      <x:c r="F524" s="82" t="str">
        <x:v>Track System 5-Pack</x:v>
      </x:c>
      <x:c r="G524" s="80" t="str"/>
      <x:c r="H524" s="80" t="str"/>
      <x:c r="I524" s="83" t="str">
        <x:v>13366</x:v>
      </x:c>
      <x:c r="J524" s="80" t="str">
        <x:v>Metalflake Dark Red</x:v>
      </x:c>
      <x:c r="K524" s="82" t="str">
        <x:v>White HW logo on rear</x:v>
      </x:c>
      <x:c r="L524" s="82" t="str">
        <x:v>Gold 7SP</x:v>
      </x:c>
      <x:c r="M524" s="82" t="str">
        <x:v>Metalflake Dark Red / / / Metal</x:v>
      </x:c>
      <x:c r="N524" s="82" t="str">
        <x:v>Chrome gold</x:v>
      </x:c>
      <x:c r="O524" s="82" t="str">
        <x:v>None</x:v>
      </x:c>
      <x:c r="P524" s="82" t="str">
        <x:v>Malaysia</x:v>
      </x:c>
      <x:c r="Q524" s="82" t="str"/>
      <x:c r="R524" s="82" t="str">
        <x:v>Temática / multipack</x:v>
      </x:c>
      <x:c r="S524" s="82" t="str">
        <x:v>Rara</x:v>
      </x:c>
      <x:c r="T524" s="82" t="str">
        <x:v>Lançado</x:v>
      </x:c>
      <x:c r="U524" s="82" t="str"/>
      <x:c r="V524" s="80" t="str">
        <x:v>Coleção principal (~1:64)</x:v>
      </x:c>
      <x:c r="W524" s="82" t="str">
        <x:v>https://hotwheels.fandom.com/wiki/Ferrari_328_GTB</x:v>
      </x:c>
      <x:c r="X524" s="82" t="str">
        <x:v>https://hotwheels.fandom.com/wiki/Ferrari_328_GTB</x:v>
      </x:c>
    </x:row>
    <x:row r="525">
      <x:c r="A525" s="80" t="str">
        <x:v>Não</x:v>
      </x:c>
      <x:c r="B525" s="80" t="str">
        <x:v>2 — Completar aos poucos</x:v>
      </x:c>
      <x:c r="C525" s="81" t="n">
        <x:v>1995</x:v>
      </x:c>
      <x:c r="D525" s="80" t="str">
        <x:v>Ferrari 328 GTB</x:v>
      </x:c>
      <x:c r="E525" s="80" t="str">
        <x:v>Ferrari 328 GTB</x:v>
      </x:c>
      <x:c r="F525" s="82" t="str">
        <x:v>Track System 5-Pack</x:v>
      </x:c>
      <x:c r="G525" s="80" t="str"/>
      <x:c r="H525" s="80" t="str">
        <x:v>Gold 3SP</x:v>
      </x:c>
      <x:c r="I525" s="83" t="str">
        <x:v>13366</x:v>
      </x:c>
      <x:c r="J525" s="80" t="str">
        <x:v>Metalflake Dark Red</x:v>
      </x:c>
      <x:c r="K525" s="82" t="str">
        <x:v>White HW logo on rear</x:v>
      </x:c>
      <x:c r="L525" s="82" t="str"/>
      <x:c r="M525" s="82" t="str">
        <x:v>Metalflake Dark Red / / / Metal</x:v>
      </x:c>
      <x:c r="N525" s="82" t="str">
        <x:v>Chrome gold</x:v>
      </x:c>
      <x:c r="O525" s="82" t="str">
        <x:v>None</x:v>
      </x:c>
      <x:c r="P525" s="82" t="str">
        <x:v>Malaysia</x:v>
      </x:c>
      <x:c r="Q525" s="82" t="str"/>
      <x:c r="R525" s="82" t="str">
        <x:v>Temática / multipack</x:v>
      </x:c>
      <x:c r="S525" s="82" t="str">
        <x:v>Rara</x:v>
      </x:c>
      <x:c r="T525" s="82" t="str">
        <x:v>Lançado</x:v>
      </x:c>
      <x:c r="U525" s="82" t="str"/>
      <x:c r="V525" s="80" t="str">
        <x:v>Coleção principal (~1:64)</x:v>
      </x:c>
      <x:c r="W525" s="82" t="str">
        <x:v>https://hotwheels.fandom.com/wiki/Ferrari_328_GTB</x:v>
      </x:c>
      <x:c r="X525" s="82" t="str">
        <x:v>https://hotwheels.fandom.com/wiki/Ferrari_328_GTB</x:v>
      </x:c>
    </x:row>
    <x:row r="526">
      <x:c r="A526" s="80" t="str">
        <x:v>Não</x:v>
      </x:c>
      <x:c r="B526" s="80" t="str">
        <x:v>2 — Completar aos poucos</x:v>
      </x:c>
      <x:c r="C526" s="81" t="n">
        <x:v>1995</x:v>
      </x:c>
      <x:c r="D526" s="80" t="str">
        <x:v>Ferrari 348</x:v>
      </x:c>
      <x:c r="E526" s="80" t="str">
        <x:v>Ferrari 348</x:v>
      </x:c>
      <x:c r="F526" s="82" t="str">
        <x:v>Mainline</x:v>
      </x:c>
      <x:c r="G526" s="80" t="str"/>
      <x:c r="H526" s="80" t="str">
        <x:v>226</x:v>
      </x:c>
      <x:c r="I526" s="83" t="str">
        <x:v>4348</x:v>
      </x:c>
      <x:c r="J526" s="80" t="str">
        <x:v>Black</x:v>
      </x:c>
      <x:c r="K526" s="82" t="str">
        <x:v>Purple, White, Yellow "Ferrari 348" on hood</x:v>
      </x:c>
      <x:c r="L526" s="82" t="str">
        <x:v>5SP</x:v>
      </x:c>
      <x:c r="M526" s="82" t="str">
        <x:v>Black / / / Plastic</x:v>
      </x:c>
      <x:c r="N526" s="82" t="str">
        <x:v>Clear</x:v>
      </x:c>
      <x:c r="O526" s="82" t="str">
        <x:v>Black &amp; Red</x:v>
      </x:c>
      <x:c r="P526" s="82" t="str">
        <x:v>Malaysia</x:v>
      </x:c>
      <x:c r="Q526" s="82" t="str"/>
      <x:c r="R526" s="82" t="str">
        <x:v>Mainline</x:v>
      </x:c>
      <x:c r="S526" s="82" t="str">
        <x:v>Rara</x:v>
      </x:c>
      <x:c r="T526" s="82" t="str">
        <x:v>Lançado</x:v>
      </x:c>
      <x:c r="U526" s="82" t="str"/>
      <x:c r="V526" s="80" t="str">
        <x:v>Coleção principal (~1:64)</x:v>
      </x:c>
      <x:c r="W526" s="82" t="str">
        <x:v>https://hotwheels.fandom.com/wiki/Ferrari_348</x:v>
      </x:c>
      <x:c r="X526" s="82" t="str">
        <x:v>https://hotwheels.fandom.com/wiki/Ferrari_348</x:v>
      </x:c>
    </x:row>
    <x:row r="527">
      <x:c r="A527" s="80" t="str">
        <x:v>Não</x:v>
      </x:c>
      <x:c r="B527" s="80" t="str">
        <x:v>2 — Completar aos poucos</x:v>
      </x:c>
      <x:c r="C527" s="81" t="n">
        <x:v>1995</x:v>
      </x:c>
      <x:c r="D527" s="80" t="str">
        <x:v>Ferrari 348</x:v>
      </x:c>
      <x:c r="E527" s="80" t="str">
        <x:v>Ferrari 348</x:v>
      </x:c>
      <x:c r="F527" s="82" t="str">
        <x:v>Mainline</x:v>
      </x:c>
      <x:c r="G527" s="80" t="str"/>
      <x:c r="H527" s="80" t="str">
        <x:v>226</x:v>
      </x:c>
      <x:c r="I527" s="83" t="str">
        <x:v>4348</x:v>
      </x:c>
      <x:c r="J527" s="80" t="str">
        <x:v>Black</x:v>
      </x:c>
      <x:c r="K527" s="82" t="str">
        <x:v>Purple, White, Yellow "Ferrari 348" on hood</x:v>
      </x:c>
      <x:c r="L527" s="82" t="str">
        <x:v>7SP</x:v>
      </x:c>
      <x:c r="M527" s="82" t="str">
        <x:v>Black / / / Plastic</x:v>
      </x:c>
      <x:c r="N527" s="82" t="str">
        <x:v>Clear</x:v>
      </x:c>
      <x:c r="O527" s="82" t="str">
        <x:v>Black &amp; Red</x:v>
      </x:c>
      <x:c r="P527" s="82" t="str">
        <x:v>Malaysia</x:v>
      </x:c>
      <x:c r="Q527" s="82" t="str"/>
      <x:c r="R527" s="82" t="str">
        <x:v>Mainline</x:v>
      </x:c>
      <x:c r="S527" s="82" t="str">
        <x:v>Rara</x:v>
      </x:c>
      <x:c r="T527" s="82" t="str">
        <x:v>Lançado</x:v>
      </x:c>
      <x:c r="U527" s="82" t="str"/>
      <x:c r="V527" s="80" t="str">
        <x:v>Coleção principal (~1:64)</x:v>
      </x:c>
      <x:c r="W527" s="82" t="str">
        <x:v>https://hotwheels.fandom.com/wiki/Ferrari_348</x:v>
      </x:c>
      <x:c r="X527" s="82" t="str">
        <x:v>https://hotwheels.fandom.com/wiki/Ferrari_348</x:v>
      </x:c>
    </x:row>
    <x:row r="528">
      <x:c r="A528" s="80" t="str">
        <x:v>Não</x:v>
      </x:c>
      <x:c r="B528" s="80" t="str">
        <x:v>2 — Completar aos poucos</x:v>
      </x:c>
      <x:c r="C528" s="81" t="n">
        <x:v>1995</x:v>
      </x:c>
      <x:c r="D528" s="80" t="str">
        <x:v>Ferrari 348</x:v>
      </x:c>
      <x:c r="E528" s="80" t="str">
        <x:v>Ferrari 348</x:v>
      </x:c>
      <x:c r="F528" s="82" t="str">
        <x:v>Power Loop Set</x:v>
      </x:c>
      <x:c r="G528" s="80" t="str"/>
      <x:c r="H528" s="80" t="str"/>
      <x:c r="I528" s="83" t="str">
        <x:v>5666</x:v>
      </x:c>
      <x:c r="J528" s="80" t="str">
        <x:v>Bright Yellow-Green</x:v>
      </x:c>
      <x:c r="K528" s="82" t="str">
        <x:v>Pink, White, Black lightning bolt</x:v>
      </x:c>
      <x:c r="L528" s="82" t="str">
        <x:v>UH</x:v>
      </x:c>
      <x:c r="M528" s="82" t="str">
        <x:v>Black / / / Plastic</x:v>
      </x:c>
      <x:c r="N528" s="82" t="str">
        <x:v>Clear</x:v>
      </x:c>
      <x:c r="O528" s="82" t="str">
        <x:v>Black &amp; Bright Yellow-Green</x:v>
      </x:c>
      <x:c r="P528" s="82" t="str">
        <x:v>Malaysia</x:v>
      </x:c>
      <x:c r="Q528" s="82" t="str"/>
      <x:c r="R528" s="82" t="str">
        <x:v>Outra linha</x:v>
      </x:c>
      <x:c r="S528" s="82" t="str">
        <x:v>Rara</x:v>
      </x:c>
      <x:c r="T528" s="82" t="str">
        <x:v>Lançado</x:v>
      </x:c>
      <x:c r="U528" s="82" t="str"/>
      <x:c r="V528" s="80" t="str">
        <x:v>Coleção principal (~1:64)</x:v>
      </x:c>
      <x:c r="W528" s="82" t="str">
        <x:v>https://hotwheels.fandom.com/wiki/Ferrari_348</x:v>
      </x:c>
      <x:c r="X528" s="82" t="str">
        <x:v>https://hotwheels.fandom.com/wiki/Ferrari_348</x:v>
      </x:c>
    </x:row>
    <x:row r="529">
      <x:c r="A529" s="80" t="str">
        <x:v>Não</x:v>
      </x:c>
      <x:c r="B529" s="80" t="str">
        <x:v>2 — Completar aos poucos</x:v>
      </x:c>
      <x:c r="C529" s="81" t="n">
        <x:v>1995</x:v>
      </x:c>
      <x:c r="D529" s="80" t="str">
        <x:v>Ferrari F355</x:v>
      </x:c>
      <x:c r="E529" s="80" t="str">
        <x:v>Ferrari F355</x:v>
      </x:c>
      <x:c r="F529" s="82" t="str">
        <x:v>1995 Model Series / 10/12</x:v>
      </x:c>
      <x:c r="G529" s="80" t="str"/>
      <x:c r="H529" s="80" t="str">
        <x:v>350</x:v>
      </x:c>
      <x:c r="I529" s="83" t="str">
        <x:v>13338</x:v>
      </x:c>
      <x:c r="J529" s="80" t="str">
        <x:v>Dark Yellow</x:v>
      </x:c>
      <x:c r="K529" s="82" t="str">
        <x:v>Black Stripe on sides, Red HW logo license plate</x:v>
      </x:c>
      <x:c r="L529" s="82" t="str">
        <x:v>Gold 7SP</x:v>
      </x:c>
      <x:c r="M529" s="82" t="str">
        <x:v>Unpainted / Metal</x:v>
      </x:c>
      <x:c r="N529" s="82" t="str">
        <x:v>Clear</x:v>
      </x:c>
      <x:c r="O529" s="82" t="str">
        <x:v>Black</x:v>
      </x:c>
      <x:c r="P529" s="82" t="str">
        <x:v>Malaysia</x:v>
      </x:c>
      <x:c r="Q529" s="82" t="str"/>
      <x:c r="R529" s="82" t="str">
        <x:v>Mainline</x:v>
      </x:c>
      <x:c r="S529" s="82" t="str">
        <x:v>Rara</x:v>
      </x:c>
      <x:c r="T529" s="82" t="str">
        <x:v>Lançado</x:v>
      </x:c>
      <x:c r="U529" s="82" t="str"/>
      <x:c r="V529" s="80" t="str">
        <x:v>Coleção principal (~1:64)</x:v>
      </x:c>
      <x:c r="W529" s="82" t="str">
        <x:v>https://hotwheels.fandom.com/wiki/Ferrari_F355</x:v>
      </x:c>
      <x:c r="X529" s="82" t="str">
        <x:v>https://hotwheels.fandom.com/wiki/Ferrari_F355</x:v>
      </x:c>
    </x:row>
    <x:row r="530">
      <x:c r="A530" s="80" t="str">
        <x:v>Não</x:v>
      </x:c>
      <x:c r="B530" s="80" t="str">
        <x:v>2 — Completar aos poucos</x:v>
      </x:c>
      <x:c r="C530" s="81" t="n">
        <x:v>1995</x:v>
      </x:c>
      <x:c r="D530" s="80" t="str">
        <x:v>Ferrari F355</x:v>
      </x:c>
      <x:c r="E530" s="80" t="str">
        <x:v>Ferrari F355</x:v>
      </x:c>
      <x:c r="F530" s="82" t="str">
        <x:v>1995 Model Series / 10/12</x:v>
      </x:c>
      <x:c r="G530" s="80" t="str"/>
      <x:c r="H530" s="80" t="str">
        <x:v>350</x:v>
      </x:c>
      <x:c r="I530" s="83" t="str">
        <x:v>13338</x:v>
      </x:c>
      <x:c r="J530" s="80" t="str">
        <x:v>Yellow</x:v>
      </x:c>
      <x:c r="K530" s="82" t="str">
        <x:v>Red HW logo license plate</x:v>
      </x:c>
      <x:c r="L530" s="82" t="str">
        <x:v>5SP</x:v>
      </x:c>
      <x:c r="M530" s="82" t="str">
        <x:v>Unpainted / Metal</x:v>
      </x:c>
      <x:c r="N530" s="82" t="str">
        <x:v>Clear</x:v>
      </x:c>
      <x:c r="O530" s="82" t="str">
        <x:v>Black</x:v>
      </x:c>
      <x:c r="P530" s="82" t="str">
        <x:v>Malaysia</x:v>
      </x:c>
      <x:c r="Q530" s="82" t="str"/>
      <x:c r="R530" s="82" t="str">
        <x:v>Mainline</x:v>
      </x:c>
      <x:c r="S530" s="82" t="str">
        <x:v>Rara</x:v>
      </x:c>
      <x:c r="T530" s="82" t="str">
        <x:v>Lançado</x:v>
      </x:c>
      <x:c r="U530" s="82" t="str"/>
      <x:c r="V530" s="80" t="str">
        <x:v>Coleção principal (~1:64)</x:v>
      </x:c>
      <x:c r="W530" s="82" t="str">
        <x:v>https://hotwheels.fandom.com/wiki/Ferrari_F355</x:v>
      </x:c>
      <x:c r="X530" s="82" t="str">
        <x:v>https://hotwheels.fandom.com/wiki/Ferrari_F355</x:v>
      </x:c>
    </x:row>
    <x:row r="531">
      <x:c r="A531" s="80" t="str">
        <x:v>Não</x:v>
      </x:c>
      <x:c r="B531" s="80" t="str">
        <x:v>2 — Completar aos poucos</x:v>
      </x:c>
      <x:c r="C531" s="81" t="n">
        <x:v>1995</x:v>
      </x:c>
      <x:c r="D531" s="80" t="str">
        <x:v>Ferrari F355</x:v>
      </x:c>
      <x:c r="E531" s="80" t="str">
        <x:v>Ferrari F355</x:v>
      </x:c>
      <x:c r="F531" s="82" t="str">
        <x:v>1995 Model Series / 10/12</x:v>
      </x:c>
      <x:c r="G531" s="80" t="str"/>
      <x:c r="H531" s="80" t="str">
        <x:v>350</x:v>
      </x:c>
      <x:c r="I531" s="83" t="str">
        <x:v>13338</x:v>
      </x:c>
      <x:c r="J531" s="80" t="str">
        <x:v>Yellow</x:v>
      </x:c>
      <x:c r="K531" s="82" t="str">
        <x:v>Red HW logo license plate</x:v>
      </x:c>
      <x:c r="L531" s="82" t="str">
        <x:v>7SP</x:v>
      </x:c>
      <x:c r="M531" s="82" t="str">
        <x:v>Unpainted / Metal</x:v>
      </x:c>
      <x:c r="N531" s="82" t="str">
        <x:v>Clear</x:v>
      </x:c>
      <x:c r="O531" s="82" t="str">
        <x:v>Black</x:v>
      </x:c>
      <x:c r="P531" s="82" t="str">
        <x:v>Malaysia</x:v>
      </x:c>
      <x:c r="Q531" s="82" t="str"/>
      <x:c r="R531" s="82" t="str">
        <x:v>Mainline</x:v>
      </x:c>
      <x:c r="S531" s="82" t="str">
        <x:v>Rara</x:v>
      </x:c>
      <x:c r="T531" s="82" t="str">
        <x:v>Lançado</x:v>
      </x:c>
      <x:c r="U531" s="82" t="str"/>
      <x:c r="V531" s="80" t="str">
        <x:v>Coleção principal (~1:64)</x:v>
      </x:c>
      <x:c r="W531" s="82" t="str">
        <x:v>https://hotwheels.fandom.com/wiki/Ferrari_F355</x:v>
      </x:c>
      <x:c r="X531" s="82" t="str">
        <x:v>https://hotwheels.fandom.com/wiki/Ferrari_F355</x:v>
      </x:c>
    </x:row>
    <x:row r="532">
      <x:c r="A532" s="80" t="str">
        <x:v>Não</x:v>
      </x:c>
      <x:c r="B532" s="80" t="str">
        <x:v>2 — Completar aos poucos</x:v>
      </x:c>
      <x:c r="C532" s="81" t="n">
        <x:v>1995</x:v>
      </x:c>
      <x:c r="D532" s="80" t="str">
        <x:v>Ferrari F355</x:v>
      </x:c>
      <x:c r="E532" s="80" t="str">
        <x:v>Ferrari F355</x:v>
      </x:c>
      <x:c r="F532" s="82" t="str">
        <x:v>1995 Model Series / 10/12</x:v>
      </x:c>
      <x:c r="G532" s="80" t="str"/>
      <x:c r="H532" s="80" t="str">
        <x:v>350</x:v>
      </x:c>
      <x:c r="I532" s="83" t="str">
        <x:v>13338</x:v>
      </x:c>
      <x:c r="J532" s="80" t="str">
        <x:v>Yellow</x:v>
      </x:c>
      <x:c r="K532" s="82" t="str">
        <x:v>Red HW logo license plate</x:v>
      </x:c>
      <x:c r="L532" s="82" t="str">
        <x:v>Gold 7SP</x:v>
      </x:c>
      <x:c r="M532" s="82" t="str">
        <x:v>Unpainted / Metal</x:v>
      </x:c>
      <x:c r="N532" s="82" t="str">
        <x:v>Clear</x:v>
      </x:c>
      <x:c r="O532" s="82" t="str">
        <x:v>Black</x:v>
      </x:c>
      <x:c r="P532" s="82" t="str">
        <x:v>Malaysia</x:v>
      </x:c>
      <x:c r="Q532" s="82" t="str"/>
      <x:c r="R532" s="82" t="str">
        <x:v>Mainline</x:v>
      </x:c>
      <x:c r="S532" s="82" t="str">
        <x:v>Rara</x:v>
      </x:c>
      <x:c r="T532" s="82" t="str">
        <x:v>Lançado</x:v>
      </x:c>
      <x:c r="U532" s="82" t="str"/>
      <x:c r="V532" s="80" t="str">
        <x:v>Coleção principal (~1:64)</x:v>
      </x:c>
      <x:c r="W532" s="82" t="str">
        <x:v>https://hotwheels.fandom.com/wiki/Ferrari_F355</x:v>
      </x:c>
      <x:c r="X532" s="82" t="str">
        <x:v>https://hotwheels.fandom.com/wiki/Ferrari_F355</x:v>
      </x:c>
    </x:row>
    <x:row r="533">
      <x:c r="A533" s="80" t="str">
        <x:v>Não</x:v>
      </x:c>
      <x:c r="B533" s="80" t="str">
        <x:v>2 — Completar aos poucos</x:v>
      </x:c>
      <x:c r="C533" s="81" t="n">
        <x:v>1995</x:v>
      </x:c>
      <x:c r="D533" s="80" t="str">
        <x:v>Ferrari F355</x:v>
      </x:c>
      <x:c r="E533" s="80" t="str">
        <x:v>Ferrari F355</x:v>
      </x:c>
      <x:c r="F533" s="82" t="str">
        <x:v>1995 Model Series / 10/12</x:v>
      </x:c>
      <x:c r="G533" s="80" t="str"/>
      <x:c r="H533" s="80" t="str">
        <x:v>350</x:v>
      </x:c>
      <x:c r="I533" s="83" t="str">
        <x:v>13338</x:v>
      </x:c>
      <x:c r="J533" s="80" t="str">
        <x:v>Yellow</x:v>
      </x:c>
      <x:c r="K533" s="82" t="str">
        <x:v>Red HW logo license plate</x:v>
      </x:c>
      <x:c r="L533" s="82" t="str">
        <x:v>3SP</x:v>
      </x:c>
      <x:c r="M533" s="82" t="str">
        <x:v>Unpainted / Metal</x:v>
      </x:c>
      <x:c r="N533" s="82" t="str">
        <x:v>Clear</x:v>
      </x:c>
      <x:c r="O533" s="82" t="str">
        <x:v>Black</x:v>
      </x:c>
      <x:c r="P533" s="82" t="str">
        <x:v>Malaysia</x:v>
      </x:c>
      <x:c r="Q533" s="82" t="str"/>
      <x:c r="R533" s="82" t="str">
        <x:v>Mainline</x:v>
      </x:c>
      <x:c r="S533" s="82" t="str">
        <x:v>Rara</x:v>
      </x:c>
      <x:c r="T533" s="82" t="str">
        <x:v>Lançado</x:v>
      </x:c>
      <x:c r="U533" s="82" t="str"/>
      <x:c r="V533" s="80" t="str">
        <x:v>Coleção principal (~1:64)</x:v>
      </x:c>
      <x:c r="W533" s="82" t="str">
        <x:v>https://hotwheels.fandom.com/wiki/Ferrari_F355</x:v>
      </x:c>
      <x:c r="X533" s="82" t="str">
        <x:v>https://hotwheels.fandom.com/wiki/Ferrari_F355</x:v>
      </x:c>
    </x:row>
    <x:row r="534">
      <x:c r="A534" s="80" t="str">
        <x:v>Não</x:v>
      </x:c>
      <x:c r="B534" s="80" t="str">
        <x:v>2 — Completar aos poucos</x:v>
      </x:c>
      <x:c r="C534" s="81" t="n">
        <x:v>1995</x:v>
      </x:c>
      <x:c r="D534" s="80" t="str">
        <x:v>Ferrari F355</x:v>
      </x:c>
      <x:c r="E534" s="80" t="str">
        <x:v>Ferrari F355</x:v>
      </x:c>
      <x:c r="F534" s="82" t="str">
        <x:v>1995 Model Series / 10/12</x:v>
      </x:c>
      <x:c r="G534" s="80" t="str"/>
      <x:c r="H534" s="80" t="str">
        <x:v>350</x:v>
      </x:c>
      <x:c r="I534" s="83" t="str">
        <x:v>13338</x:v>
      </x:c>
      <x:c r="J534" s="80" t="str">
        <x:v>Yellow</x:v>
      </x:c>
      <x:c r="K534" s="82" t="str">
        <x:v>Red HW logo license plate</x:v>
      </x:c>
      <x:c r="L534" s="82" t="str">
        <x:v>SB</x:v>
      </x:c>
      <x:c r="M534" s="82" t="str">
        <x:v>Unpainted / Metal</x:v>
      </x:c>
      <x:c r="N534" s="82" t="str">
        <x:v>Clear</x:v>
      </x:c>
      <x:c r="O534" s="82" t="str">
        <x:v>Black</x:v>
      </x:c>
      <x:c r="P534" s="82" t="str">
        <x:v>Malaysia</x:v>
      </x:c>
      <x:c r="Q534" s="82" t="str"/>
      <x:c r="R534" s="82" t="str">
        <x:v>Mainline</x:v>
      </x:c>
      <x:c r="S534" s="82" t="str">
        <x:v>Rara</x:v>
      </x:c>
      <x:c r="T534" s="82" t="str">
        <x:v>Lançado</x:v>
      </x:c>
      <x:c r="U534" s="82" t="str"/>
      <x:c r="V534" s="80" t="str">
        <x:v>Coleção principal (~1:64)</x:v>
      </x:c>
      <x:c r="W534" s="82" t="str">
        <x:v>https://hotwheels.fandom.com/wiki/Ferrari_F355</x:v>
      </x:c>
      <x:c r="X534" s="82" t="str">
        <x:v>https://hotwheels.fandom.com/wiki/Ferrari_F355</x:v>
      </x:c>
    </x:row>
    <x:row r="535">
      <x:c r="A535" s="80" t="str">
        <x:v>Não</x:v>
      </x:c>
      <x:c r="B535" s="80" t="str">
        <x:v>2 — Completar aos poucos</x:v>
      </x:c>
      <x:c r="C535" s="81" t="n">
        <x:v>1995</x:v>
      </x:c>
      <x:c r="D535" s="80" t="str">
        <x:v>Ferrari F355</x:v>
      </x:c>
      <x:c r="E535" s="80" t="str">
        <x:v>Ferrari F355</x:v>
      </x:c>
      <x:c r="F535" s="82" t="str">
        <x:v>1995 Model Series / 10/12</x:v>
      </x:c>
      <x:c r="G535" s="80" t="str"/>
      <x:c r="H535" s="80" t="str">
        <x:v>350</x:v>
      </x:c>
      <x:c r="I535" s="83" t="str">
        <x:v>13338</x:v>
      </x:c>
      <x:c r="J535" s="80" t="str">
        <x:v>Yellow</x:v>
      </x:c>
      <x:c r="K535" s="82" t="str">
        <x:v>Red HW logo license plate</x:v>
      </x:c>
      <x:c r="L535" s="82" t="str">
        <x:v>5DOT</x:v>
      </x:c>
      <x:c r="M535" s="82" t="str">
        <x:v>Unpainted / Metal</x:v>
      </x:c>
      <x:c r="N535" s="82" t="str">
        <x:v>Clear</x:v>
      </x:c>
      <x:c r="O535" s="82" t="str">
        <x:v>Black</x:v>
      </x:c>
      <x:c r="P535" s="82" t="str">
        <x:v>Malaysia</x:v>
      </x:c>
      <x:c r="Q535" s="82" t="str"/>
      <x:c r="R535" s="82" t="str">
        <x:v>Mainline</x:v>
      </x:c>
      <x:c r="S535" s="82" t="str">
        <x:v>Rara</x:v>
      </x:c>
      <x:c r="T535" s="82" t="str">
        <x:v>Lançado</x:v>
      </x:c>
      <x:c r="U535" s="82" t="str"/>
      <x:c r="V535" s="80" t="str">
        <x:v>Coleção principal (~1:64)</x:v>
      </x:c>
      <x:c r="W535" s="82" t="str">
        <x:v>https://hotwheels.fandom.com/wiki/Ferrari_F355</x:v>
      </x:c>
      <x:c r="X535" s="82" t="str">
        <x:v>https://hotwheels.fandom.com/wiki/Ferrari_F355</x:v>
      </x:c>
    </x:row>
    <x:row r="536">
      <x:c r="A536" s="80" t="str">
        <x:v>Não</x:v>
      </x:c>
      <x:c r="B536" s="80" t="str">
        <x:v>2 — Completar aos poucos</x:v>
      </x:c>
      <x:c r="C536" s="81" t="n">
        <x:v>1995</x:v>
      </x:c>
      <x:c r="D536" s="80" t="str">
        <x:v>Ferrari F355</x:v>
      </x:c>
      <x:c r="E536" s="80" t="str">
        <x:v>Ferrari F355</x:v>
      </x:c>
      <x:c r="F536" s="82" t="str">
        <x:v>1995 Model Series / 10/12</x:v>
      </x:c>
      <x:c r="G536" s="80" t="str"/>
      <x:c r="H536" s="80" t="str">
        <x:v>350</x:v>
      </x:c>
      <x:c r="I536" s="83" t="str">
        <x:v>13338</x:v>
      </x:c>
      <x:c r="J536" s="80" t="str">
        <x:v>Yellow</x:v>
      </x:c>
      <x:c r="K536" s="82" t="str">
        <x:v>Red HW logo license plate</x:v>
      </x:c>
      <x:c r="L536" s="82" t="str">
        <x:v>White 5DOT</x:v>
      </x:c>
      <x:c r="M536" s="82" t="str">
        <x:v>Unpainted / Metal</x:v>
      </x:c>
      <x:c r="N536" s="82" t="str">
        <x:v>Clear</x:v>
      </x:c>
      <x:c r="O536" s="82" t="str">
        <x:v>Black</x:v>
      </x:c>
      <x:c r="P536" s="82" t="str">
        <x:v>Malaysia</x:v>
      </x:c>
      <x:c r="Q536" s="82" t="str"/>
      <x:c r="R536" s="82" t="str">
        <x:v>Mainline</x:v>
      </x:c>
      <x:c r="S536" s="82" t="str">
        <x:v>Rara</x:v>
      </x:c>
      <x:c r="T536" s="82" t="str">
        <x:v>Lançado</x:v>
      </x:c>
      <x:c r="U536" s="82" t="str"/>
      <x:c r="V536" s="80" t="str">
        <x:v>Coleção principal (~1:64)</x:v>
      </x:c>
      <x:c r="W536" s="82" t="str">
        <x:v>https://hotwheels.fandom.com/wiki/Ferrari_F355</x:v>
      </x:c>
      <x:c r="X536" s="82" t="str">
        <x:v>https://hotwheels.fandom.com/wiki/Ferrari_F355</x:v>
      </x:c>
    </x:row>
    <x:row r="537">
      <x:c r="A537" s="80" t="str">
        <x:v>Não</x:v>
      </x:c>
      <x:c r="B537" s="80" t="str">
        <x:v>2 — Completar aos poucos</x:v>
      </x:c>
      <x:c r="C537" s="81" t="n">
        <x:v>1995</x:v>
      </x:c>
      <x:c r="D537" s="80" t="str">
        <x:v>Ferrari F355</x:v>
      </x:c>
      <x:c r="E537" s="80" t="str">
        <x:v>Ferrari F355</x:v>
      </x:c>
      <x:c r="F537" s="82" t="str">
        <x:v>1995 Model Series / 10/12</x:v>
      </x:c>
      <x:c r="G537" s="80" t="str"/>
      <x:c r="H537" s="80" t="str">
        <x:v>350</x:v>
      </x:c>
      <x:c r="I537" s="83" t="str">
        <x:v>13338</x:v>
      </x:c>
      <x:c r="J537" s="80" t="str">
        <x:v>Yellow</x:v>
      </x:c>
      <x:c r="K537" s="82" t="str">
        <x:v>Black Stripe on sides, Red HW logo license plate</x:v>
      </x:c>
      <x:c r="L537" s="82" t="str">
        <x:v>5SP</x:v>
      </x:c>
      <x:c r="M537" s="82" t="str">
        <x:v>Unpainted / Metal</x:v>
      </x:c>
      <x:c r="N537" s="82" t="str">
        <x:v>Solid Black</x:v>
      </x:c>
      <x:c r="O537" s="82" t="str">
        <x:v>Black</x:v>
      </x:c>
      <x:c r="P537" s="82" t="str">
        <x:v>Malaysia</x:v>
      </x:c>
      <x:c r="Q537" s="82" t="str"/>
      <x:c r="R537" s="82" t="str">
        <x:v>Mainline</x:v>
      </x:c>
      <x:c r="S537" s="82" t="str">
        <x:v>Rara</x:v>
      </x:c>
      <x:c r="T537" s="82" t="str">
        <x:v>Lançado</x:v>
      </x:c>
      <x:c r="U537" s="82" t="str"/>
      <x:c r="V537" s="80" t="str">
        <x:v>Coleção principal (~1:64)</x:v>
      </x:c>
      <x:c r="W537" s="82" t="str">
        <x:v>https://hotwheels.fandom.com/wiki/Ferrari_F355</x:v>
      </x:c>
      <x:c r="X537" s="82" t="str">
        <x:v>https://hotwheels.fandom.com/wiki/Ferrari_F355</x:v>
      </x:c>
    </x:row>
    <x:row r="538">
      <x:c r="A538" s="80" t="str">
        <x:v>Não</x:v>
      </x:c>
      <x:c r="B538" s="80" t="str">
        <x:v>2 — Completar aos poucos</x:v>
      </x:c>
      <x:c r="C538" s="81" t="n">
        <x:v>1995</x:v>
      </x:c>
      <x:c r="D538" s="80" t="str">
        <x:v>Ferrari F40</x:v>
      </x:c>
      <x:c r="E538" s="80" t="str">
        <x:v>Ferrari F40</x:v>
      </x:c>
      <x:c r="F538" s="82" t="str">
        <x:v>Ferrari 5-Pack</x:v>
      </x:c>
      <x:c r="G538" s="80" t="str"/>
      <x:c r="H538" s="80" t="str">
        <x:v>White</x:v>
      </x:c>
      <x:c r="I538" s="83" t="str">
        <x:v>12405</x:v>
      </x:c>
      <x:c r="J538" s="80" t="str">
        <x:v>Ferrari Crest in Black &amp; Yellow</x:v>
      </x:c>
      <x:c r="K538" s="82" t="str">
        <x:v>ZAMAC</x:v>
      </x:c>
      <x:c r="L538" s="82" t="str"/>
      <x:c r="M538" s="82" t="str">
        <x:v>Smoke tint</x:v>
      </x:c>
      <x:c r="N538" s="82" t="str">
        <x:v>Tan</x:v>
      </x:c>
      <x:c r="O538" s="82" t="str">
        <x:v>5SP</x:v>
      </x:c>
      <x:c r="P538" s="82" t="str">
        <x:v>Malaysia</x:v>
      </x:c>
      <x:c r="Q538" s="82" t="str"/>
      <x:c r="R538" s="82" t="str">
        <x:v>Temática / multipack</x:v>
      </x:c>
      <x:c r="S538" s="82" t="str">
        <x:v>Rara</x:v>
      </x:c>
      <x:c r="T538" s="82" t="str">
        <x:v>Lançado</x:v>
      </x:c>
      <x:c r="U538" s="82" t="str"/>
      <x:c r="V538" s="80" t="str">
        <x:v>Coleção principal (~1:64)</x:v>
      </x:c>
      <x:c r="W538" s="82" t="str">
        <x:v>https://hotwheels.fandom.com/wiki/Ferrari_F40</x:v>
      </x:c>
      <x:c r="X538" s="82" t="str">
        <x:v>https://hotwheels.fandom.com/wiki/Ferrari_F40</x:v>
      </x:c>
    </x:row>
    <x:row r="539">
      <x:c r="A539" s="80" t="str">
        <x:v>Não</x:v>
      </x:c>
      <x:c r="B539" s="80" t="str">
        <x:v>2 — Completar aos poucos</x:v>
      </x:c>
      <x:c r="C539" s="81" t="n">
        <x:v>1995</x:v>
      </x:c>
      <x:c r="D539" s="80" t="str">
        <x:v>Ferrari F40</x:v>
      </x:c>
      <x:c r="E539" s="80" t="str">
        <x:v>Ferrari F40</x:v>
      </x:c>
      <x:c r="F539" s="82" t="str">
        <x:v>Ferrari 5-Pack</x:v>
      </x:c>
      <x:c r="G539" s="80" t="str"/>
      <x:c r="H539" s="80" t="str"/>
      <x:c r="I539" s="83" t="str">
        <x:v>12405</x:v>
      </x:c>
      <x:c r="J539" s="80" t="str">
        <x:v>Red</x:v>
      </x:c>
      <x:c r="K539" s="82" t="str">
        <x:v>Black &amp; Yellow "Ferrari" logo on hood</x:v>
      </x:c>
      <x:c r="L539" s="82" t="str">
        <x:v>UH</x:v>
      </x:c>
      <x:c r="M539" s="82" t="str">
        <x:v>ZAMAC</x:v>
      </x:c>
      <x:c r="N539" s="82" t="str">
        <x:v>Clear</x:v>
      </x:c>
      <x:c r="O539" s="82" t="str">
        <x:v>Tan</x:v>
      </x:c>
      <x:c r="P539" s="82" t="str">
        <x:v>Malaysia</x:v>
      </x:c>
      <x:c r="Q539" s="82" t="str"/>
      <x:c r="R539" s="82" t="str">
        <x:v>Temática / multipack</x:v>
      </x:c>
      <x:c r="S539" s="82" t="str">
        <x:v>Rara</x:v>
      </x:c>
      <x:c r="T539" s="82" t="str">
        <x:v>Lançado</x:v>
      </x:c>
      <x:c r="U539" s="82" t="str"/>
      <x:c r="V539" s="80" t="str">
        <x:v>Coleção principal (~1:64)</x:v>
      </x:c>
      <x:c r="W539" s="82" t="str">
        <x:v>https://hotwheels.fandom.com/wiki/Ferrari_F40</x:v>
      </x:c>
      <x:c r="X539" s="82" t="str">
        <x:v>https://hotwheels.fandom.com/wiki/Ferrari_F40</x:v>
      </x:c>
    </x:row>
    <x:row r="540">
      <x:c r="A540" s="80" t="str">
        <x:v>Não</x:v>
      </x:c>
      <x:c r="B540" s="80" t="str">
        <x:v>2 — Completar aos poucos</x:v>
      </x:c>
      <x:c r="C540" s="81" t="n">
        <x:v>1995</x:v>
      </x:c>
      <x:c r="D540" s="80" t="str">
        <x:v>Ferrari F40</x:v>
      </x:c>
      <x:c r="E540" s="80" t="str">
        <x:v>Ferrari F40</x:v>
      </x:c>
      <x:c r="F540" s="82" t="str">
        <x:v>Ferrari 5-Pack</x:v>
      </x:c>
      <x:c r="G540" s="80" t="str"/>
      <x:c r="H540" s="80" t="str">
        <x:v>5SP</x:v>
      </x:c>
      <x:c r="I540" s="83" t="str">
        <x:v>12405</x:v>
      </x:c>
      <x:c r="J540" s="80" t="str">
        <x:v>Red</x:v>
      </x:c>
      <x:c r="K540" s="82" t="str">
        <x:v>Black &amp; Yellow "Ferrari" logo on hood</x:v>
      </x:c>
      <x:c r="L540" s="82" t="str"/>
      <x:c r="M540" s="82" t="str">
        <x:v>ZAMAC</x:v>
      </x:c>
      <x:c r="N540" s="82" t="str">
        <x:v>Clear</x:v>
      </x:c>
      <x:c r="O540" s="82" t="str">
        <x:v>Tan</x:v>
      </x:c>
      <x:c r="P540" s="82" t="str">
        <x:v>Malaysia</x:v>
      </x:c>
      <x:c r="Q540" s="82" t="str"/>
      <x:c r="R540" s="82" t="str">
        <x:v>Temática / multipack</x:v>
      </x:c>
      <x:c r="S540" s="82" t="str">
        <x:v>Rara</x:v>
      </x:c>
      <x:c r="T540" s="82" t="str">
        <x:v>Lançado</x:v>
      </x:c>
      <x:c r="U540" s="82" t="str"/>
      <x:c r="V540" s="80" t="str">
        <x:v>Coleção principal (~1:64)</x:v>
      </x:c>
      <x:c r="W540" s="82" t="str">
        <x:v>https://hotwheels.fandom.com/wiki/Ferrari_F40</x:v>
      </x:c>
      <x:c r="X540" s="82" t="str">
        <x:v>https://hotwheels.fandom.com/wiki/Ferrari_F40</x:v>
      </x:c>
    </x:row>
    <x:row r="541">
      <x:c r="A541" s="80" t="str">
        <x:v>Não</x:v>
      </x:c>
      <x:c r="B541" s="80" t="str">
        <x:v>2 — Completar aos poucos</x:v>
      </x:c>
      <x:c r="C541" s="81" t="n">
        <x:v>1995</x:v>
      </x:c>
      <x:c r="D541" s="80" t="str">
        <x:v>Ferrari F40</x:v>
      </x:c>
      <x:c r="E541" s="80" t="str">
        <x:v>Ferrari F40</x:v>
      </x:c>
      <x:c r="F541" s="82" t="str">
        <x:v>Gold Medal Speed</x:v>
      </x:c>
      <x:c r="G541" s="80" t="str"/>
      <x:c r="H541" s="80" t="str">
        <x:v>69</x:v>
      </x:c>
      <x:c r="I541" s="83" t="str">
        <x:v>13582</x:v>
      </x:c>
      <x:c r="J541" s="80" t="str">
        <x:v>Red</x:v>
      </x:c>
      <x:c r="K541" s="82" t="str">
        <x:v>Yellow "40" &amp; "Ferrari" tampos</x:v>
      </x:c>
      <x:c r="L541" s="82" t="str">
        <x:v>Gold 5SP</x:v>
      </x:c>
      <x:c r="M541" s="82" t="str">
        <x:v>ZAMAC</x:v>
      </x:c>
      <x:c r="N541" s="82" t="str">
        <x:v>Clear</x:v>
      </x:c>
      <x:c r="O541" s="82" t="str">
        <x:v>Tan</x:v>
      </x:c>
      <x:c r="P541" s="82" t="str">
        <x:v>Malaysia</x:v>
      </x:c>
      <x:c r="Q541" s="82" t="str"/>
      <x:c r="R541" s="82" t="str">
        <x:v>Mainline</x:v>
      </x:c>
      <x:c r="S541" s="82" t="str">
        <x:v>Rara</x:v>
      </x:c>
      <x:c r="T541" s="82" t="str">
        <x:v>Lançado</x:v>
      </x:c>
      <x:c r="U541" s="82" t="str"/>
      <x:c r="V541" s="80" t="str">
        <x:v>Coleção principal (~1:64)</x:v>
      </x:c>
      <x:c r="W541" s="82" t="str">
        <x:v>https://hotwheels.fandom.com/wiki/Ferrari_F40</x:v>
      </x:c>
      <x:c r="X541" s="82" t="str">
        <x:v>https://hotwheels.fandom.com/wiki/Ferrari_F40</x:v>
      </x:c>
    </x:row>
    <x:row r="542">
      <x:c r="A542" s="80" t="str">
        <x:v>Não</x:v>
      </x:c>
      <x:c r="B542" s="80" t="str">
        <x:v>2 — Completar aos poucos</x:v>
      </x:c>
      <x:c r="C542" s="81" t="n">
        <x:v>1995</x:v>
      </x:c>
      <x:c r="D542" s="80" t="str">
        <x:v>Ferrari F40</x:v>
      </x:c>
      <x:c r="E542" s="80" t="str">
        <x:v>Ferrari F40</x:v>
      </x:c>
      <x:c r="F542" s="82" t="str">
        <x:v>Gold Medal Speed</x:v>
      </x:c>
      <x:c r="G542" s="80" t="str"/>
      <x:c r="H542" s="80" t="str">
        <x:v>69</x:v>
      </x:c>
      <x:c r="I542" s="83" t="str">
        <x:v>13582</x:v>
      </x:c>
      <x:c r="J542" s="80" t="str">
        <x:v>Red</x:v>
      </x:c>
      <x:c r="K542" s="82" t="str">
        <x:v>Yellow "40" &amp; "Ferrari" tampos</x:v>
      </x:c>
      <x:c r="L542" s="82" t="str">
        <x:v>Gold 3SP</x:v>
      </x:c>
      <x:c r="M542" s="82" t="str">
        <x:v>ZAMAC</x:v>
      </x:c>
      <x:c r="N542" s="82" t="str">
        <x:v>Clear</x:v>
      </x:c>
      <x:c r="O542" s="82" t="str">
        <x:v>Tan</x:v>
      </x:c>
      <x:c r="P542" s="82" t="str">
        <x:v>Malaysia</x:v>
      </x:c>
      <x:c r="Q542" s="82" t="str"/>
      <x:c r="R542" s="82" t="str">
        <x:v>Mainline</x:v>
      </x:c>
      <x:c r="S542" s="82" t="str">
        <x:v>Rara</x:v>
      </x:c>
      <x:c r="T542" s="82" t="str">
        <x:v>Lançado</x:v>
      </x:c>
      <x:c r="U542" s="82" t="str"/>
      <x:c r="V542" s="80" t="str">
        <x:v>Coleção principal (~1:64)</x:v>
      </x:c>
      <x:c r="W542" s="82" t="str">
        <x:v>https://hotwheels.fandom.com/wiki/Ferrari_F40</x:v>
      </x:c>
      <x:c r="X542" s="82" t="str">
        <x:v>https://hotwheels.fandom.com/wiki/Ferrari_F40</x:v>
      </x:c>
    </x:row>
    <x:row r="543">
      <x:c r="A543" s="80" t="str">
        <x:v>Não</x:v>
      </x:c>
      <x:c r="B543" s="80" t="str">
        <x:v>2 — Completar aos poucos</x:v>
      </x:c>
      <x:c r="C543" s="81" t="n">
        <x:v>1995</x:v>
      </x:c>
      <x:c r="D543" s="80" t="str">
        <x:v>Ferrari F40</x:v>
      </x:c>
      <x:c r="E543" s="80" t="str">
        <x:v>Ferrari F40</x:v>
      </x:c>
      <x:c r="F543" s="82" t="str">
        <x:v>Gold Medal Speed</x:v>
      </x:c>
      <x:c r="G543" s="80" t="str"/>
      <x:c r="H543" s="80" t="str">
        <x:v>69</x:v>
      </x:c>
      <x:c r="I543" s="83" t="str">
        <x:v>13582</x:v>
      </x:c>
      <x:c r="J543" s="80" t="str">
        <x:v>Red</x:v>
      </x:c>
      <x:c r="K543" s="82" t="str">
        <x:v>Yellow "40" &amp; "Ferrari" tampos</x:v>
      </x:c>
      <x:c r="L543" s="82" t="str">
        <x:v>Gold LW</x:v>
      </x:c>
      <x:c r="M543" s="82" t="str">
        <x:v>ZAMAC</x:v>
      </x:c>
      <x:c r="N543" s="82" t="str">
        <x:v>Clear</x:v>
      </x:c>
      <x:c r="O543" s="82" t="str">
        <x:v>Tan</x:v>
      </x:c>
      <x:c r="P543" s="82" t="str">
        <x:v>Malaysia</x:v>
      </x:c>
      <x:c r="Q543" s="82" t="str"/>
      <x:c r="R543" s="82" t="str">
        <x:v>Mainline</x:v>
      </x:c>
      <x:c r="S543" s="82" t="str">
        <x:v>Rara</x:v>
      </x:c>
      <x:c r="T543" s="82" t="str">
        <x:v>Lançado</x:v>
      </x:c>
      <x:c r="U543" s="82" t="str"/>
      <x:c r="V543" s="80" t="str">
        <x:v>Coleção principal (~1:64)</x:v>
      </x:c>
      <x:c r="W543" s="82" t="str">
        <x:v>https://hotwheels.fandom.com/wiki/Ferrari_F40</x:v>
      </x:c>
      <x:c r="X543" s="82" t="str">
        <x:v>https://hotwheels.fandom.com/wiki/Ferrari_F40</x:v>
      </x:c>
    </x:row>
    <x:row r="544">
      <x:c r="A544" s="80" t="str">
        <x:v>Não</x:v>
      </x:c>
      <x:c r="B544" s="80" t="str">
        <x:v>2 — Completar aos poucos</x:v>
      </x:c>
      <x:c r="C544" s="81" t="n">
        <x:v>1995</x:v>
      </x:c>
      <x:c r="D544" s="80" t="str">
        <x:v>Ferrari Testarossa (1987)</x:v>
      </x:c>
      <x:c r="E544" s="80" t="str">
        <x:v>Ferrari Testarossa</x:v>
      </x:c>
      <x:c r="F544" s="82" t="str">
        <x:v>Ferrari 5-Pack</x:v>
      </x:c>
      <x:c r="G544" s="80" t="str"/>
      <x:c r="H544" s="80" t="str"/>
      <x:c r="I544" s="83" t="str">
        <x:v>12405</x:v>
      </x:c>
      <x:c r="J544" s="80" t="str">
        <x:v>Red</x:v>
      </x:c>
      <x:c r="K544" s="82" t="str">
        <x:v>Ferrari logo on hood</x:v>
      </x:c>
      <x:c r="L544" s="82" t="str">
        <x:v>5SP</x:v>
      </x:c>
      <x:c r="M544" s="82" t="str"/>
      <x:c r="N544" s="82" t="str"/>
      <x:c r="O544" s="82" t="str"/>
      <x:c r="P544" s="82" t="str"/>
      <x:c r="Q544" s="82" t="str"/>
      <x:c r="R544" s="82" t="str">
        <x:v>Temática / multipack</x:v>
      </x:c>
      <x:c r="S544" s="82" t="str">
        <x:v>Rara</x:v>
      </x:c>
      <x:c r="T544" s="82" t="str">
        <x:v>Lançado</x:v>
      </x:c>
      <x:c r="U544" s="82" t="str"/>
      <x:c r="V544" s="80" t="str">
        <x:v>Coleção principal (~1:64)</x:v>
      </x:c>
      <x:c r="W544" s="82" t="str">
        <x:v>https://hotwheels.fandom.com/wiki/Ferrari_Testarossa_(1987)</x:v>
      </x:c>
      <x:c r="X544" s="82" t="str">
        <x:v>https://hotwheels.fandom.com/wiki/Ferrari_Testarossa_(1987)</x:v>
      </x:c>
    </x:row>
    <x:row r="545">
      <x:c r="A545" s="80" t="str">
        <x:v>Não</x:v>
      </x:c>
      <x:c r="B545" s="80" t="str">
        <x:v>2 — Completar aos poucos</x:v>
      </x:c>
      <x:c r="C545" s="81" t="n">
        <x:v>1995</x:v>
      </x:c>
      <x:c r="D545" s="80" t="str">
        <x:v>Ferrari Testarossa (1987)</x:v>
      </x:c>
      <x:c r="E545" s="80" t="str">
        <x:v>Ferrari Testarossa</x:v>
      </x:c>
      <x:c r="F545" s="82" t="str">
        <x:v>Ferrari 5-Pack</x:v>
      </x:c>
      <x:c r="G545" s="80" t="str"/>
      <x:c r="H545" s="80" t="str"/>
      <x:c r="I545" s="83" t="str">
        <x:v>12405</x:v>
      </x:c>
      <x:c r="J545" s="80" t="str">
        <x:v>Silver</x:v>
      </x:c>
      <x:c r="K545" s="82" t="str">
        <x:v>Yellow &amp; Black "Ferrari" logo</x:v>
      </x:c>
      <x:c r="L545" s="82" t="str">
        <x:v>5SP</x:v>
      </x:c>
      <x:c r="M545" s="82" t="str">
        <x:v>Silver / / / Metal</x:v>
      </x:c>
      <x:c r="N545" s="82" t="str">
        <x:v>Clear</x:v>
      </x:c>
      <x:c r="O545" s="82" t="str">
        <x:v>Gray &amp; Black</x:v>
      </x:c>
      <x:c r="P545" s="82" t="str">
        <x:v>Malaysia</x:v>
      </x:c>
      <x:c r="Q545" s="82" t="str"/>
      <x:c r="R545" s="82" t="str">
        <x:v>Temática / multipack</x:v>
      </x:c>
      <x:c r="S545" s="82" t="str">
        <x:v>Rara</x:v>
      </x:c>
      <x:c r="T545" s="82" t="str">
        <x:v>Lançado</x:v>
      </x:c>
      <x:c r="U545" s="82" t="str"/>
      <x:c r="V545" s="80" t="str">
        <x:v>Coleção principal (~1:64)</x:v>
      </x:c>
      <x:c r="W545" s="82" t="str">
        <x:v>https://hotwheels.fandom.com/wiki/Ferrari_Testarossa_(1987)</x:v>
      </x:c>
      <x:c r="X545" s="82" t="str">
        <x:v>https://hotwheels.fandom.com/wiki/Ferrari_Testarossa_(1987)</x:v>
      </x:c>
    </x:row>
    <x:row r="546">
      <x:c r="A546" s="80" t="str">
        <x:v>Não</x:v>
      </x:c>
      <x:c r="B546" s="80" t="str">
        <x:v>2 — Completar aos poucos</x:v>
      </x:c>
      <x:c r="C546" s="81" t="n">
        <x:v>1995</x:v>
      </x:c>
      <x:c r="D546" s="80" t="str">
        <x:v>Ferrari Testarossa (1987)</x:v>
      </x:c>
      <x:c r="E546" s="80" t="str">
        <x:v>Ferrari Testarossa</x:v>
      </x:c>
      <x:c r="F546" s="82" t="str">
        <x:v>Gold Medal Speed</x:v>
      </x:c>
      <x:c r="G546" s="80" t="str"/>
      <x:c r="H546" s="80" t="str">
        <x:v>35</x:v>
      </x:c>
      <x:c r="I546" s="83" t="str">
        <x:v>13576</x:v>
      </x:c>
      <x:c r="J546" s="80" t="str">
        <x:v>Metalflake Black</x:v>
      </x:c>
      <x:c r="K546" s="82" t="str">
        <x:v>Yellow &amp; Black "Ferrari" logo &amp; name on hood</x:v>
      </x:c>
      <x:c r="L546" s="82" t="str">
        <x:v>Gold UH</x:v>
      </x:c>
      <x:c r="M546" s="82" t="str">
        <x:v>Metalflake Black / / / Metal</x:v>
      </x:c>
      <x:c r="N546" s="82" t="str">
        <x:v>Clear</x:v>
      </x:c>
      <x:c r="O546" s="82" t="str">
        <x:v>Tan &amp; Black</x:v>
      </x:c>
      <x:c r="P546" s="82" t="str">
        <x:v>Malaysia</x:v>
      </x:c>
      <x:c r="Q546" s="82" t="str"/>
      <x:c r="R546" s="82" t="str">
        <x:v>Mainline</x:v>
      </x:c>
      <x:c r="S546" s="82" t="str">
        <x:v>Rara</x:v>
      </x:c>
      <x:c r="T546" s="82" t="str">
        <x:v>Lançado</x:v>
      </x:c>
      <x:c r="U546" s="82" t="str"/>
      <x:c r="V546" s="80" t="str">
        <x:v>Coleção principal (~1:64)</x:v>
      </x:c>
      <x:c r="W546" s="82" t="str">
        <x:v>https://hotwheels.fandom.com/wiki/Ferrari_Testarossa_(1987)</x:v>
      </x:c>
      <x:c r="X546" s="82" t="str">
        <x:v>https://hotwheels.fandom.com/wiki/Ferrari_Testarossa_(1987)</x:v>
      </x:c>
    </x:row>
    <x:row r="547">
      <x:c r="A547" s="80" t="str">
        <x:v>Não</x:v>
      </x:c>
      <x:c r="B547" s="80" t="str">
        <x:v>2 — Completar aos poucos</x:v>
      </x:c>
      <x:c r="C547" s="81" t="n">
        <x:v>1995</x:v>
      </x:c>
      <x:c r="D547" s="80" t="str">
        <x:v>Ferrari Testarossa (1987)</x:v>
      </x:c>
      <x:c r="E547" s="80" t="str">
        <x:v>Ferrari Testarossa</x:v>
      </x:c>
      <x:c r="F547" s="82" t="str">
        <x:v>Then &amp; Now 8-Pack</x:v>
      </x:c>
      <x:c r="G547" s="80" t="str"/>
      <x:c r="H547" s="80" t="str"/>
      <x:c r="I547" s="83" t="str">
        <x:v>15162</x:v>
      </x:c>
      <x:c r="J547" s="80" t="str">
        <x:v>Red</x:v>
      </x:c>
      <x:c r="K547" s="82" t="str">
        <x:v>Ferrari logo on hood</x:v>
      </x:c>
      <x:c r="L547" s="82" t="str">
        <x:v>5SP</x:v>
      </x:c>
      <x:c r="M547" s="82" t="str">
        <x:v>Red / / / Metal</x:v>
      </x:c>
      <x:c r="N547" s="82" t="str">
        <x:v>Clear</x:v>
      </x:c>
      <x:c r="O547" s="82" t="str">
        <x:v>Black and Red</x:v>
      </x:c>
      <x:c r="P547" s="82" t="str">
        <x:v>Malaysia</x:v>
      </x:c>
      <x:c r="Q547" s="82" t="str">
        <x:v>Target / Red Edition</x:v>
      </x:c>
      <x:c r="R547" s="82" t="str">
        <x:v>Outra linha</x:v>
      </x:c>
      <x:c r="S547" s="82" t="str">
        <x:v>Rara</x:v>
      </x:c>
      <x:c r="T547" s="82" t="str">
        <x:v>Lançado</x:v>
      </x:c>
      <x:c r="U547" s="82" t="str">
        <x:v>Target exclusive set</x:v>
      </x:c>
      <x:c r="V547" s="80" t="str">
        <x:v>Coleção principal (~1:64)</x:v>
      </x:c>
      <x:c r="W547" s="82" t="str">
        <x:v>https://hotwheels.fandom.com/wiki/Ferrari_Testarossa_(1987)</x:v>
      </x:c>
      <x:c r="X547" s="82" t="str">
        <x:v>https://hotwheels.fandom.com/wiki/Ferrari_Testarossa_(1987)</x:v>
      </x:c>
    </x:row>
    <x:row r="548">
      <x:c r="A548" s="80" t="str">
        <x:v>Não</x:v>
      </x:c>
      <x:c r="B548" s="80" t="str">
        <x:v>2 — Completar aos poucos</x:v>
      </x:c>
      <x:c r="C548" s="81" t="n">
        <x:v>1995</x:v>
      </x:c>
      <x:c r="D548" s="80" t="str">
        <x:v>Racebait 308</x:v>
      </x:c>
      <x:c r="E548" s="80" t="str">
        <x:v>Racebait 308</x:v>
      </x:c>
      <x:c r="F548" s="82" t="str">
        <x:v>Color FX: Super Stampers</x:v>
      </x:c>
      <x:c r="G548" s="80" t="str"/>
      <x:c r="H548" s="80" t="str"/>
      <x:c r="I548" s="83" t="str">
        <x:v>12028</x:v>
      </x:c>
      <x:c r="J548" s="80" t="str">
        <x:v>White &amp; Red</x:v>
      </x:c>
      <x:c r="K548" s="82" t="str">
        <x:v>None</x:v>
      </x:c>
      <x:c r="L548" s="82" t="str">
        <x:v>BW</x:v>
      </x:c>
      <x:c r="M548" s="82" t="str">
        <x:v>Black / / / Metal</x:v>
      </x:c>
      <x:c r="N548" s="82" t="str">
        <x:v>Clear</x:v>
      </x:c>
      <x:c r="O548" s="82" t="str">
        <x:v>Black</x:v>
      </x:c>
      <x:c r="P548" s="82" t="str">
        <x:v>Malaysia</x:v>
      </x:c>
      <x:c r="Q548" s="82" t="str"/>
      <x:c r="R548" s="82" t="str">
        <x:v>Outra linha</x:v>
      </x:c>
      <x:c r="S548" s="82" t="str">
        <x:v>Rara</x:v>
      </x:c>
      <x:c r="T548" s="82" t="str">
        <x:v>Lançado</x:v>
      </x:c>
      <x:c r="U548" s="82" t="str">
        <x:v>Plastic Body</x:v>
      </x:c>
      <x:c r="V548" s="80" t="str">
        <x:v>Coleção principal (~1:64)</x:v>
      </x:c>
      <x:c r="W548" s="82" t="str">
        <x:v>https://hotwheels.fandom.com/wiki/Racebait_308</x:v>
      </x:c>
      <x:c r="X548" s="82" t="str">
        <x:v>https://hotwheels.fandom.com/wiki/Racebait_308</x:v>
      </x:c>
    </x:row>
    <x:row r="549">
      <x:c r="A549" s="80" t="str">
        <x:v>Não</x:v>
      </x:c>
      <x:c r="B549" s="80" t="str">
        <x:v>2 — Completar aos poucos</x:v>
      </x:c>
      <x:c r="C549" s="81" t="n">
        <x:v>1995</x:v>
      </x:c>
      <x:c r="D549" s="80" t="str">
        <x:v>Racebait 308</x:v>
      </x:c>
      <x:c r="E549" s="80" t="str">
        <x:v>Racebait 308</x:v>
      </x:c>
      <x:c r="F549" s="82" t="str">
        <x:v>Ferrari 5-Pack</x:v>
      </x:c>
      <x:c r="G549" s="80" t="str"/>
      <x:c r="H549" s="80" t="str"/>
      <x:c r="I549" s="83" t="str">
        <x:v>12405</x:v>
      </x:c>
      <x:c r="J549" s="80" t="str">
        <x:v>Pearl yellow</x:v>
      </x:c>
      <x:c r="K549" s="82" t="str">
        <x:v>Ferrari logo on hood, yellow Hot Wheels logo on rear</x:v>
      </x:c>
      <x:c r="L549" s="82" t="str">
        <x:v>5SP</x:v>
      </x:c>
      <x:c r="M549" s="82" t="str">
        <x:v>Black / / / Metal</x:v>
      </x:c>
      <x:c r="N549" s="82" t="str">
        <x:v>Clear</x:v>
      </x:c>
      <x:c r="O549" s="82" t="str">
        <x:v>Black</x:v>
      </x:c>
      <x:c r="P549" s="82" t="str">
        <x:v>Malaysia</x:v>
      </x:c>
      <x:c r="Q549" s="82" t="str"/>
      <x:c r="R549" s="82" t="str">
        <x:v>Temática / multipack</x:v>
      </x:c>
      <x:c r="S549" s="82" t="str">
        <x:v>Rara</x:v>
      </x:c>
      <x:c r="T549" s="82" t="str">
        <x:v>Lançado</x:v>
      </x:c>
      <x:c r="U549" s="82" t="str"/>
      <x:c r="V549" s="80" t="str">
        <x:v>Coleção principal (~1:64)</x:v>
      </x:c>
      <x:c r="W549" s="82" t="str">
        <x:v>https://hotwheels.fandom.com/wiki/Racebait_308</x:v>
      </x:c>
      <x:c r="X549" s="82" t="str">
        <x:v>https://hotwheels.fandom.com/wiki/Racebait_308</x:v>
      </x:c>
    </x:row>
    <x:row r="550">
      <x:c r="A550" s="80" t="str">
        <x:v>Não</x:v>
      </x:c>
      <x:c r="B550" s="80" t="str">
        <x:v>2 — Completar aos poucos</x:v>
      </x:c>
      <x:c r="C550" s="81" t="n">
        <x:v>1995</x:v>
      </x:c>
      <x:c r="D550" s="80" t="str">
        <x:v>Racebait 308</x:v>
      </x:c>
      <x:c r="E550" s="80" t="str">
        <x:v>Racebait 308</x:v>
      </x:c>
      <x:c r="F550" s="82" t="str">
        <x:v>Ferrari 5-Pack</x:v>
      </x:c>
      <x:c r="G550" s="80" t="str"/>
      <x:c r="H550" s="80" t="str">
        <x:v>SB</x:v>
      </x:c>
      <x:c r="I550" s="83" t="str">
        <x:v>12405</x:v>
      </x:c>
      <x:c r="J550" s="80" t="str">
        <x:v>Pearl yellow</x:v>
      </x:c>
      <x:c r="K550" s="82" t="str">
        <x:v>Ferrari logo on hood, yellow Hot Wheels logo on rear</x:v>
      </x:c>
      <x:c r="L550" s="82" t="str"/>
      <x:c r="M550" s="82" t="str">
        <x:v>Black / / / Metal</x:v>
      </x:c>
      <x:c r="N550" s="82" t="str">
        <x:v>Clear</x:v>
      </x:c>
      <x:c r="O550" s="82" t="str">
        <x:v>Black</x:v>
      </x:c>
      <x:c r="P550" s="82" t="str">
        <x:v>Malaysia</x:v>
      </x:c>
      <x:c r="Q550" s="82" t="str"/>
      <x:c r="R550" s="82" t="str">
        <x:v>Temática / multipack</x:v>
      </x:c>
      <x:c r="S550" s="82" t="str">
        <x:v>Rara</x:v>
      </x:c>
      <x:c r="T550" s="82" t="str">
        <x:v>Lançado</x:v>
      </x:c>
      <x:c r="U550" s="82" t="str"/>
      <x:c r="V550" s="80" t="str">
        <x:v>Coleção principal (~1:64)</x:v>
      </x:c>
      <x:c r="W550" s="82" t="str">
        <x:v>https://hotwheels.fandom.com/wiki/Racebait_308</x:v>
      </x:c>
      <x:c r="X550" s="82" t="str">
        <x:v>https://hotwheels.fandom.com/wiki/Racebait_308</x:v>
      </x:c>
    </x:row>
    <x:row r="551">
      <x:c r="A551" s="80" t="str">
        <x:v>Não</x:v>
      </x:c>
      <x:c r="B551" s="80" t="str">
        <x:v>2 — Completar aos poucos</x:v>
      </x:c>
      <x:c r="C551" s="81" t="n">
        <x:v>1994</x:v>
      </x:c>
      <x:c r="D551" s="80" t="str">
        <x:v>Ferrari 250</x:v>
      </x:c>
      <x:c r="E551" s="80" t="str">
        <x:v>Ferrari 250</x:v>
      </x:c>
      <x:c r="F551" s="82" t="str">
        <x:v>Ferrari 5-Pack</x:v>
      </x:c>
      <x:c r="G551" s="80" t="str"/>
      <x:c r="H551" s="80" t="str"/>
      <x:c r="I551" s="83" t="str">
        <x:v>12405</x:v>
      </x:c>
      <x:c r="J551" s="80" t="str">
        <x:v>Red</x:v>
      </x:c>
      <x:c r="K551" s="82" t="str">
        <x:v>Yellow &amp; Black Ferrari Logo on hood</x:v>
      </x:c>
      <x:c r="L551" s="82" t="str">
        <x:v>BW</x:v>
      </x:c>
      <x:c r="M551" s="82" t="str">
        <x:v>Red / / / Plastic</x:v>
      </x:c>
      <x:c r="N551" s="82" t="str">
        <x:v>Clear</x:v>
      </x:c>
      <x:c r="O551" s="82" t="str">
        <x:v>Blue</x:v>
      </x:c>
      <x:c r="P551" s="82" t="str">
        <x:v>Malaysia</x:v>
      </x:c>
      <x:c r="Q551" s="82" t="str"/>
      <x:c r="R551" s="82" t="str">
        <x:v>Temática / multipack</x:v>
      </x:c>
      <x:c r="S551" s="82" t="str">
        <x:v>Rara</x:v>
      </x:c>
      <x:c r="T551" s="82" t="str">
        <x:v>Lançado</x:v>
      </x:c>
      <x:c r="U551" s="82" t="str"/>
      <x:c r="V551" s="80" t="str">
        <x:v>Coleção principal (~1:64)</x:v>
      </x:c>
      <x:c r="W551" s="82" t="str">
        <x:v>https://hotwheels.fandom.com/wiki/Ferrari_250</x:v>
      </x:c>
      <x:c r="X551" s="82" t="str">
        <x:v>https://hotwheels.fandom.com/wiki/Ferrari_250</x:v>
      </x:c>
    </x:row>
    <x:row r="552">
      <x:c r="A552" s="80" t="str">
        <x:v>Não</x:v>
      </x:c>
      <x:c r="B552" s="80" t="str">
        <x:v>2 — Completar aos poucos</x:v>
      </x:c>
      <x:c r="C552" s="81" t="n">
        <x:v>1994</x:v>
      </x:c>
      <x:c r="D552" s="80" t="str">
        <x:v>Ferrari 250</x:v>
      </x:c>
      <x:c r="E552" s="80" t="str">
        <x:v>Ferrari 250</x:v>
      </x:c>
      <x:c r="F552" s="82" t="str">
        <x:v>Ferrari 5-Pack</x:v>
      </x:c>
      <x:c r="G552" s="80" t="str"/>
      <x:c r="H552" s="80" t="str">
        <x:v>Black</x:v>
      </x:c>
      <x:c r="I552" s="83" t="str">
        <x:v>12405</x:v>
      </x:c>
      <x:c r="J552" s="80" t="str">
        <x:v>Red</x:v>
      </x:c>
      <x:c r="K552" s="82" t="str">
        <x:v>Yellow &amp; Black Ferrari Logo on hood</x:v>
      </x:c>
      <x:c r="L552" s="82" t="str">
        <x:v>BW</x:v>
      </x:c>
      <x:c r="M552" s="82" t="str">
        <x:v>Red / / / Plastic</x:v>
      </x:c>
      <x:c r="N552" s="82" t="str">
        <x:v>Clear</x:v>
      </x:c>
      <x:c r="O552" s="82" t="str"/>
      <x:c r="P552" s="82" t="str">
        <x:v>Malaysia</x:v>
      </x:c>
      <x:c r="Q552" s="82" t="str"/>
      <x:c r="R552" s="82" t="str">
        <x:v>Temática / multipack</x:v>
      </x:c>
      <x:c r="S552" s="82" t="str">
        <x:v>Rara</x:v>
      </x:c>
      <x:c r="T552" s="82" t="str">
        <x:v>Lançado</x:v>
      </x:c>
      <x:c r="U552" s="82" t="str"/>
      <x:c r="V552" s="80" t="str">
        <x:v>Coleção principal (~1:64)</x:v>
      </x:c>
      <x:c r="W552" s="82" t="str">
        <x:v>https://hotwheels.fandom.com/wiki/Ferrari_250</x:v>
      </x:c>
      <x:c r="X552" s="82" t="str">
        <x:v>https://hotwheels.fandom.com/wiki/Ferrari_250</x:v>
      </x:c>
    </x:row>
    <x:row r="553">
      <x:c r="A553" s="80" t="str">
        <x:v>Não</x:v>
      </x:c>
      <x:c r="B553" s="80" t="str">
        <x:v>2 — Completar aos poucos</x:v>
      </x:c>
      <x:c r="C553" s="81" t="n">
        <x:v>1994</x:v>
      </x:c>
      <x:c r="D553" s="80" t="str">
        <x:v>Ferrari 308 GTS (Corgi)</x:v>
      </x:c>
      <x:c r="E553" s="80" t="str">
        <x:v>Ferrari 308 GTS</x:v>
      </x:c>
      <x:c r="F553" s="82" t="str">
        <x:v>Ferrari 5-Pack</x:v>
      </x:c>
      <x:c r="G553" s="80" t="str"/>
      <x:c r="H553" s="80" t="str"/>
      <x:c r="I553" s="83" t="str">
        <x:v>93151</x:v>
      </x:c>
      <x:c r="J553" s="80" t="str">
        <x:v>Red</x:v>
      </x:c>
      <x:c r="K553" s="82" t="str">
        <x:v>Ferrari logo on hood</x:v>
      </x:c>
      <x:c r="L553" s="82" t="str">
        <x:v>Corgi</x:v>
      </x:c>
      <x:c r="M553" s="82" t="str">
        <x:v>Black / / / Plastic</x:v>
      </x:c>
      <x:c r="N553" s="82" t="str">
        <x:v>Clear</x:v>
      </x:c>
      <x:c r="O553" s="82" t="str">
        <x:v>Black</x:v>
      </x:c>
      <x:c r="P553" s="82" t="str">
        <x:v>China</x:v>
      </x:c>
      <x:c r="Q553" s="82" t="str"/>
      <x:c r="R553" s="82" t="str">
        <x:v>Temática / multipack</x:v>
      </x:c>
      <x:c r="S553" s="82" t="str">
        <x:v>Rara</x:v>
      </x:c>
      <x:c r="T553" s="82" t="str">
        <x:v>Lançado</x:v>
      </x:c>
      <x:c r="U553" s="82" t="str"/>
      <x:c r="V553" s="80" t="str">
        <x:v>Coleção principal (~1:64)</x:v>
      </x:c>
      <x:c r="W553" s="82" t="str">
        <x:v>https://hotwheels.fandom.com/wiki/Ferrari_308_GTS_(Corgi)</x:v>
      </x:c>
      <x:c r="X553" s="82" t="str">
        <x:v>https://hotwheels.fandom.com/wiki/Ferrari_308_GTS_(Corgi)</x:v>
      </x:c>
    </x:row>
    <x:row r="554">
      <x:c r="A554" s="80" t="str">
        <x:v>Não</x:v>
      </x:c>
      <x:c r="B554" s="80" t="str">
        <x:v>2 — Completar aos poucos</x:v>
      </x:c>
      <x:c r="C554" s="81" t="n">
        <x:v>1994</x:v>
      </x:c>
      <x:c r="D554" s="80" t="str">
        <x:v>Ferrari 348</x:v>
      </x:c>
      <x:c r="E554" s="80" t="str">
        <x:v>Ferrari 348</x:v>
      </x:c>
      <x:c r="F554" s="82" t="str">
        <x:v>Aquafresh Toothpaste Promotional</x:v>
      </x:c>
      <x:c r="G554" s="80" t="str"/>
      <x:c r="H554" s="80" t="str"/>
      <x:c r="I554" s="83" t="str">
        <x:v>3109 / 3112</x:v>
      </x:c>
      <x:c r="J554" s="80" t="str">
        <x:v>Bright Yellow-Green</x:v>
      </x:c>
      <x:c r="K554" s="82" t="str">
        <x:v>Purple, White, Green "Ferrari 348" on hood</x:v>
      </x:c>
      <x:c r="L554" s="82" t="str">
        <x:v>UH</x:v>
      </x:c>
      <x:c r="M554" s="82" t="str">
        <x:v>Black / / / Plastic</x:v>
      </x:c>
      <x:c r="N554" s="82" t="str">
        <x:v>Clear</x:v>
      </x:c>
      <x:c r="O554" s="82" t="str">
        <x:v>Black &amp; Bright Yellow-Green</x:v>
      </x:c>
      <x:c r="P554" s="82" t="str">
        <x:v>Malaysia</x:v>
      </x:c>
      <x:c r="Q554" s="82" t="str"/>
      <x:c r="R554" s="82" t="str">
        <x:v>Outra linha</x:v>
      </x:c>
      <x:c r="S554" s="82" t="str">
        <x:v>Rara</x:v>
      </x:c>
      <x:c r="T554" s="82" t="str">
        <x:v>Lançado</x:v>
      </x:c>
      <x:c r="U554" s="82" t="str">
        <x:v>came packaged with tube of toothpaste</x:v>
      </x:c>
      <x:c r="V554" s="80" t="str">
        <x:v>Coleção principal (~1:64)</x:v>
      </x:c>
      <x:c r="W554" s="82" t="str">
        <x:v>https://hotwheels.fandom.com/wiki/Ferrari_348</x:v>
      </x:c>
      <x:c r="X554" s="82" t="str">
        <x:v>https://hotwheels.fandom.com/wiki/Ferrari_348</x:v>
      </x:c>
    </x:row>
    <x:row r="555">
      <x:c r="A555" s="80" t="str">
        <x:v>Não</x:v>
      </x:c>
      <x:c r="B555" s="80" t="str">
        <x:v>2 — Completar aos poucos</x:v>
      </x:c>
      <x:c r="C555" s="81" t="n">
        <x:v>1994</x:v>
      </x:c>
      <x:c r="D555" s="80" t="str">
        <x:v>Ferrari 348</x:v>
      </x:c>
      <x:c r="E555" s="80" t="str">
        <x:v>Ferrari 348</x:v>
      </x:c>
      <x:c r="F555" s="82" t="str">
        <x:v>Ferrari 5-Pack</x:v>
      </x:c>
      <x:c r="G555" s="80" t="str"/>
      <x:c r="H555" s="80" t="str"/>
      <x:c r="I555" s="83" t="str">
        <x:v>12405</x:v>
      </x:c>
      <x:c r="J555" s="80" t="str">
        <x:v>Red</x:v>
      </x:c>
      <x:c r="K555" s="82" t="str">
        <x:v>Black &amp; Yellow Ferrari Logo</x:v>
      </x:c>
      <x:c r="L555" s="82" t="str">
        <x:v>UH</x:v>
      </x:c>
      <x:c r="M555" s="82" t="str">
        <x:v>Black / / / Plastic</x:v>
      </x:c>
      <x:c r="N555" s="82" t="str">
        <x:v>Clear</x:v>
      </x:c>
      <x:c r="O555" s="82" t="str">
        <x:v>Tan &amp; Red</x:v>
      </x:c>
      <x:c r="P555" s="82" t="str">
        <x:v>Malaysia</x:v>
      </x:c>
      <x:c r="Q555" s="82" t="str"/>
      <x:c r="R555" s="82" t="str">
        <x:v>Temática / multipack</x:v>
      </x:c>
      <x:c r="S555" s="82" t="str">
        <x:v>Rara</x:v>
      </x:c>
      <x:c r="T555" s="82" t="str">
        <x:v>Lançado</x:v>
      </x:c>
      <x:c r="U555" s="82" t="str"/>
      <x:c r="V555" s="80" t="str">
        <x:v>Coleção principal (~1:64)</x:v>
      </x:c>
      <x:c r="W555" s="82" t="str">
        <x:v>https://hotwheels.fandom.com/wiki/Ferrari_348</x:v>
      </x:c>
      <x:c r="X555" s="82" t="str">
        <x:v>https://hotwheels.fandom.com/wiki/Ferrari_348</x:v>
      </x:c>
    </x:row>
    <x:row r="556">
      <x:c r="A556" s="80" t="str">
        <x:v>Não</x:v>
      </x:c>
      <x:c r="B556" s="80" t="str">
        <x:v>2 — Completar aos poucos</x:v>
      </x:c>
      <x:c r="C556" s="81" t="n">
        <x:v>1994</x:v>
      </x:c>
      <x:c r="D556" s="80" t="str">
        <x:v>Ferrari 348</x:v>
      </x:c>
      <x:c r="E556" s="80" t="str">
        <x:v>Ferrari 348</x:v>
      </x:c>
      <x:c r="F556" s="82" t="str">
        <x:v>Ferrari 5-Pack</x:v>
      </x:c>
      <x:c r="G556" s="80" t="str"/>
      <x:c r="H556" s="80" t="str">
        <x:v>5SP</x:v>
      </x:c>
      <x:c r="I556" s="83" t="str">
        <x:v>12405</x:v>
      </x:c>
      <x:c r="J556" s="80" t="str">
        <x:v>Red</x:v>
      </x:c>
      <x:c r="K556" s="82" t="str">
        <x:v>Black &amp; Yellow Ferrari Logo</x:v>
      </x:c>
      <x:c r="L556" s="82" t="str"/>
      <x:c r="M556" s="82" t="str">
        <x:v>Black / / / Plastic</x:v>
      </x:c>
      <x:c r="N556" s="82" t="str">
        <x:v>Clear</x:v>
      </x:c>
      <x:c r="O556" s="82" t="str">
        <x:v>Tan &amp; Red</x:v>
      </x:c>
      <x:c r="P556" s="82" t="str">
        <x:v>Malaysia</x:v>
      </x:c>
      <x:c r="Q556" s="82" t="str"/>
      <x:c r="R556" s="82" t="str">
        <x:v>Temática / multipack</x:v>
      </x:c>
      <x:c r="S556" s="82" t="str">
        <x:v>Rara</x:v>
      </x:c>
      <x:c r="T556" s="82" t="str">
        <x:v>Lançado</x:v>
      </x:c>
      <x:c r="U556" s="82" t="str"/>
      <x:c r="V556" s="80" t="str">
        <x:v>Coleção principal (~1:64)</x:v>
      </x:c>
      <x:c r="W556" s="82" t="str">
        <x:v>https://hotwheels.fandom.com/wiki/Ferrari_348</x:v>
      </x:c>
      <x:c r="X556" s="82" t="str">
        <x:v>https://hotwheels.fandom.com/wiki/Ferrari_348</x:v>
      </x:c>
    </x:row>
    <x:row r="557">
      <x:c r="A557" s="80" t="str">
        <x:v>Não</x:v>
      </x:c>
      <x:c r="B557" s="80" t="str">
        <x:v>2 — Completar aos poucos</x:v>
      </x:c>
      <x:c r="C557" s="81" t="n">
        <x:v>1994</x:v>
      </x:c>
      <x:c r="D557" s="80" t="str">
        <x:v>Ferrari 348 tb</x:v>
      </x:c>
      <x:c r="E557" s="80" t="str">
        <x:v>Ferrari 348 tb</x:v>
      </x:c>
      <x:c r="F557" s="82" t="str">
        <x:v>Auto-City</x:v>
      </x:c>
      <x:c r="G557" s="80" t="str"/>
      <x:c r="H557" s="80" t="str"/>
      <x:c r="I557" s="83" t="str">
        <x:v>93182</x:v>
      </x:c>
      <x:c r="J557" s="80" t="str">
        <x:v>Red</x:v>
      </x:c>
      <x:c r="K557" s="82" t="str">
        <x:v>Ferrari Badge on hood, silver engine details in rear compartment</x:v>
      </x:c>
      <x:c r="L557" s="82" t="str">
        <x:v>Corgi1</x:v>
      </x:c>
      <x:c r="M557" s="82" t="str">
        <x:v>Black / / / Plastic</x:v>
      </x:c>
      <x:c r="N557" s="82" t="str">
        <x:v>Clear</x:v>
      </x:c>
      <x:c r="O557" s="82" t="str">
        <x:v>Beige</x:v>
      </x:c>
      <x:c r="P557" s="82" t="str">
        <x:v>China</x:v>
      </x:c>
      <x:c r="Q557" s="82" t="str"/>
      <x:c r="R557" s="82" t="str">
        <x:v>Outra linha</x:v>
      </x:c>
      <x:c r="S557" s="82" t="str">
        <x:v>Rara</x:v>
      </x:c>
      <x:c r="T557" s="82" t="str">
        <x:v>Lançado</x:v>
      </x:c>
      <x:c r="U557" s="82" t="str"/>
      <x:c r="V557" s="80" t="str">
        <x:v>Coleção principal (~1:64)</x:v>
      </x:c>
      <x:c r="W557" s="82" t="str">
        <x:v>https://hotwheels.fandom.com/wiki/Ferrari_348_tb</x:v>
      </x:c>
      <x:c r="X557" s="82" t="str">
        <x:v>https://hotwheels.fandom.com/wiki/Ferrari_348_tb</x:v>
      </x:c>
    </x:row>
    <x:row r="558">
      <x:c r="A558" s="80" t="str">
        <x:v>Não</x:v>
      </x:c>
      <x:c r="B558" s="80" t="str">
        <x:v>2 — Completar aos poucos</x:v>
      </x:c>
      <x:c r="C558" s="81" t="n">
        <x:v>1994</x:v>
      </x:c>
      <x:c r="D558" s="80" t="str">
        <x:v>Ferrari 348 tb</x:v>
      </x:c>
      <x:c r="E558" s="80" t="str">
        <x:v>Ferrari 348 tb</x:v>
      </x:c>
      <x:c r="F558" s="82" t="str">
        <x:v>Ferrari 5-Pack</x:v>
      </x:c>
      <x:c r="G558" s="80" t="str"/>
      <x:c r="H558" s="80" t="str"/>
      <x:c r="I558" s="83" t="str">
        <x:v>93151</x:v>
      </x:c>
      <x:c r="J558" s="80" t="str">
        <x:v>Red</x:v>
      </x:c>
      <x:c r="K558" s="82" t="str">
        <x:v>Various Ferrari logos</x:v>
      </x:c>
      <x:c r="L558" s="82" t="str">
        <x:v>Corgi1</x:v>
      </x:c>
      <x:c r="M558" s="82" t="str"/>
      <x:c r="N558" s="82" t="str">
        <x:v>Clear</x:v>
      </x:c>
      <x:c r="O558" s="82" t="str"/>
      <x:c r="P558" s="82" t="str">
        <x:v>China</x:v>
      </x:c>
      <x:c r="Q558" s="82" t="str"/>
      <x:c r="R558" s="82" t="str">
        <x:v>Temática / multipack</x:v>
      </x:c>
      <x:c r="S558" s="82" t="str">
        <x:v>Rara</x:v>
      </x:c>
      <x:c r="T558" s="82" t="str">
        <x:v>Lançado</x:v>
      </x:c>
      <x:c r="U558" s="82" t="str"/>
      <x:c r="V558" s="80" t="str">
        <x:v>Coleção principal (~1:64)</x:v>
      </x:c>
      <x:c r="W558" s="82" t="str">
        <x:v>https://hotwheels.fandom.com/wiki/Ferrari_348_tb</x:v>
      </x:c>
      <x:c r="X558" s="82" t="str">
        <x:v>https://hotwheels.fandom.com/wiki/Ferrari_348_tb</x:v>
      </x:c>
    </x:row>
    <x:row r="559">
      <x:c r="A559" s="80" t="str">
        <x:v>Não</x:v>
      </x:c>
      <x:c r="B559" s="80" t="str">
        <x:v>2 — Completar aos poucos</x:v>
      </x:c>
      <x:c r="C559" s="81" t="n">
        <x:v>1994</x:v>
      </x:c>
      <x:c r="D559" s="80" t="str">
        <x:v>Ferrari F40</x:v>
      </x:c>
      <x:c r="E559" s="80" t="str">
        <x:v>Ferrari F40</x:v>
      </x:c>
      <x:c r="F559" s="82" t="str">
        <x:v>Gold Medal Speed</x:v>
      </x:c>
      <x:c r="G559" s="80" t="str"/>
      <x:c r="H559" s="80" t="str">
        <x:v>69</x:v>
      </x:c>
      <x:c r="I559" s="83" t="str">
        <x:v>13582</x:v>
      </x:c>
      <x:c r="J559" s="80" t="str">
        <x:v>Red</x:v>
      </x:c>
      <x:c r="K559" s="82" t="str">
        <x:v>Yellow "40" &amp; "Ferrari" tampos</x:v>
      </x:c>
      <x:c r="L559" s="82" t="str">
        <x:v>Gold UH</x:v>
      </x:c>
      <x:c r="M559" s="82" t="str">
        <x:v>ZAMAC</x:v>
      </x:c>
      <x:c r="N559" s="82" t="str">
        <x:v>Clear</x:v>
      </x:c>
      <x:c r="O559" s="82" t="str">
        <x:v>Tan</x:v>
      </x:c>
      <x:c r="P559" s="82" t="str">
        <x:v>Malaysia</x:v>
      </x:c>
      <x:c r="Q559" s="82" t="str"/>
      <x:c r="R559" s="82" t="str">
        <x:v>Mainline</x:v>
      </x:c>
      <x:c r="S559" s="82" t="str">
        <x:v>Rara</x:v>
      </x:c>
      <x:c r="T559" s="82" t="str">
        <x:v>Lançado</x:v>
      </x:c>
      <x:c r="U559" s="82" t="str"/>
      <x:c r="V559" s="80" t="str">
        <x:v>Coleção principal (~1:64)</x:v>
      </x:c>
      <x:c r="W559" s="82" t="str">
        <x:v>https://hotwheels.fandom.com/wiki/Ferrari_F40</x:v>
      </x:c>
      <x:c r="X559" s="82" t="str">
        <x:v>https://hotwheels.fandom.com/wiki/Ferrari_F40</x:v>
      </x:c>
    </x:row>
    <x:row r="560">
      <x:c r="A560" s="80" t="str">
        <x:v>Não</x:v>
      </x:c>
      <x:c r="B560" s="80" t="str">
        <x:v>2 — Completar aos poucos</x:v>
      </x:c>
      <x:c r="C560" s="81" t="n">
        <x:v>1994</x:v>
      </x:c>
      <x:c r="D560" s="80" t="str">
        <x:v>Ferrari F40</x:v>
      </x:c>
      <x:c r="E560" s="80" t="str">
        <x:v>Ferrari F40</x:v>
      </x:c>
      <x:c r="F560" s="82" t="str">
        <x:v>Racing Team 5-Pack</x:v>
      </x:c>
      <x:c r="G560" s="80" t="str"/>
      <x:c r="H560" s="80" t="str"/>
      <x:c r="I560" s="83" t="str">
        <x:v>1631</x:v>
      </x:c>
      <x:c r="J560" s="80" t="str">
        <x:v>Red</x:v>
      </x:c>
      <x:c r="K560" s="82" t="str">
        <x:v>Large Yellow "40" "Ferrari"</x:v>
      </x:c>
      <x:c r="L560" s="82" t="str">
        <x:v>UH</x:v>
      </x:c>
      <x:c r="M560" s="82" t="str">
        <x:v>ZAMAC</x:v>
      </x:c>
      <x:c r="N560" s="82" t="str">
        <x:v>Clear</x:v>
      </x:c>
      <x:c r="O560" s="82" t="str">
        <x:v>Tan</x:v>
      </x:c>
      <x:c r="P560" s="82" t="str">
        <x:v>Malaysia</x:v>
      </x:c>
      <x:c r="Q560" s="82" t="str"/>
      <x:c r="R560" s="82" t="str">
        <x:v>Temática / multipack</x:v>
      </x:c>
      <x:c r="S560" s="82" t="str">
        <x:v>Rara</x:v>
      </x:c>
      <x:c r="T560" s="82" t="str">
        <x:v>Lançado</x:v>
      </x:c>
      <x:c r="U560" s="82" t="str"/>
      <x:c r="V560" s="80" t="str">
        <x:v>Coleção principal (~1:64)</x:v>
      </x:c>
      <x:c r="W560" s="82" t="str">
        <x:v>https://hotwheels.fandom.com/wiki/Ferrari_F40</x:v>
      </x:c>
      <x:c r="X560" s="82" t="str">
        <x:v>https://hotwheels.fandom.com/wiki/Ferrari_F40</x:v>
      </x:c>
    </x:row>
    <x:row r="561">
      <x:c r="A561" s="80" t="str">
        <x:v>Não</x:v>
      </x:c>
      <x:c r="B561" s="80" t="str">
        <x:v>2 — Completar aos poucos</x:v>
      </x:c>
      <x:c r="C561" s="81" t="n">
        <x:v>1994</x:v>
      </x:c>
      <x:c r="D561" s="80" t="str">
        <x:v>Ferrari Testarossa (1987)</x:v>
      </x:c>
      <x:c r="E561" s="80" t="str">
        <x:v>Ferrari Testarossa</x:v>
      </x:c>
      <x:c r="F561" s="82" t="str">
        <x:v>Ferrari 5-Pack</x:v>
      </x:c>
      <x:c r="G561" s="80" t="str"/>
      <x:c r="H561" s="80" t="str"/>
      <x:c r="I561" s="83" t="str">
        <x:v>12405</x:v>
      </x:c>
      <x:c r="J561" s="80" t="str">
        <x:v>Red</x:v>
      </x:c>
      <x:c r="K561" s="82" t="str">
        <x:v>Yellow &amp; Black "Ferrari" logo</x:v>
      </x:c>
      <x:c r="L561" s="82" t="str">
        <x:v>UH</x:v>
      </x:c>
      <x:c r="M561" s="82" t="str">
        <x:v>Red / / / Metal</x:v>
      </x:c>
      <x:c r="N561" s="82" t="str">
        <x:v>Clear</x:v>
      </x:c>
      <x:c r="O561" s="82" t="str">
        <x:v>Black &amp; Red</x:v>
      </x:c>
      <x:c r="P561" s="82" t="str">
        <x:v>Malaysia</x:v>
      </x:c>
      <x:c r="Q561" s="82" t="str"/>
      <x:c r="R561" s="82" t="str">
        <x:v>Temática / multipack</x:v>
      </x:c>
      <x:c r="S561" s="82" t="str">
        <x:v>Rara</x:v>
      </x:c>
      <x:c r="T561" s="82" t="str">
        <x:v>Lançado</x:v>
      </x:c>
      <x:c r="U561" s="82" t="str"/>
      <x:c r="V561" s="80" t="str">
        <x:v>Coleção principal (~1:64)</x:v>
      </x:c>
      <x:c r="W561" s="82" t="str">
        <x:v>https://hotwheels.fandom.com/wiki/Ferrari_Testarossa_(1987)</x:v>
      </x:c>
      <x:c r="X561" s="82" t="str">
        <x:v>https://hotwheels.fandom.com/wiki/Ferrari_Testarossa_(1987)</x:v>
      </x:c>
    </x:row>
    <x:row r="562">
      <x:c r="A562" s="80" t="str">
        <x:v>Não</x:v>
      </x:c>
      <x:c r="B562" s="80" t="str">
        <x:v>2 — Completar aos poucos</x:v>
      </x:c>
      <x:c r="C562" s="81" t="n">
        <x:v>1994</x:v>
      </x:c>
      <x:c r="D562" s="80" t="str">
        <x:v>Ferrari Testarossa (1987)</x:v>
      </x:c>
      <x:c r="E562" s="80" t="str">
        <x:v>Ferrari Testarossa</x:v>
      </x:c>
      <x:c r="F562" s="82" t="str">
        <x:v>Ferrari 5-Pack</x:v>
      </x:c>
      <x:c r="G562" s="80" t="str"/>
      <x:c r="H562" s="80" t="str"/>
      <x:c r="I562" s="83" t="str">
        <x:v>12405</x:v>
      </x:c>
      <x:c r="J562" s="80" t="str">
        <x:v>Red</x:v>
      </x:c>
      <x:c r="K562" s="82" t="str">
        <x:v>Yellow &amp; Black "Ferrari" logo</x:v>
      </x:c>
      <x:c r="L562" s="82" t="str">
        <x:v>5SP</x:v>
      </x:c>
      <x:c r="M562" s="82" t="str">
        <x:v>Red / / / Metal</x:v>
      </x:c>
      <x:c r="N562" s="82" t="str">
        <x:v>Clear</x:v>
      </x:c>
      <x:c r="O562" s="82" t="str">
        <x:v>Black &amp; Red</x:v>
      </x:c>
      <x:c r="P562" s="82" t="str">
        <x:v>Malaysia</x:v>
      </x:c>
      <x:c r="Q562" s="82" t="str"/>
      <x:c r="R562" s="82" t="str">
        <x:v>Temática / multipack</x:v>
      </x:c>
      <x:c r="S562" s="82" t="str">
        <x:v>Rara</x:v>
      </x:c>
      <x:c r="T562" s="82" t="str">
        <x:v>Lançado</x:v>
      </x:c>
      <x:c r="U562" s="82" t="str"/>
      <x:c r="V562" s="80" t="str">
        <x:v>Coleção principal (~1:64)</x:v>
      </x:c>
      <x:c r="W562" s="82" t="str">
        <x:v>https://hotwheels.fandom.com/wiki/Ferrari_Testarossa_(1987)</x:v>
      </x:c>
      <x:c r="X562" s="82" t="str">
        <x:v>https://hotwheels.fandom.com/wiki/Ferrari_Testarossa_(1987)</x:v>
      </x:c>
    </x:row>
    <x:row r="563">
      <x:c r="A563" s="80" t="str">
        <x:v>Não</x:v>
      </x:c>
      <x:c r="B563" s="80" t="str">
        <x:v>2 — Completar aos poucos</x:v>
      </x:c>
      <x:c r="C563" s="81" t="n">
        <x:v>1994</x:v>
      </x:c>
      <x:c r="D563" s="80" t="str">
        <x:v>Racebait 308</x:v>
      </x:c>
      <x:c r="E563" s="80" t="str">
        <x:v>Racebait 308</x:v>
      </x:c>
      <x:c r="F563" s="82" t="str">
        <x:v>Ferrari 5-Pack</x:v>
      </x:c>
      <x:c r="G563" s="80" t="str"/>
      <x:c r="H563" s="80" t="str"/>
      <x:c r="I563" s="83" t="str">
        <x:v>12405</x:v>
      </x:c>
      <x:c r="J563" s="80" t="str">
        <x:v>Red</x:v>
      </x:c>
      <x:c r="K563" s="82" t="str">
        <x:v>Ferrari logo on hood, white Hot Wheels logo on rear</x:v>
      </x:c>
      <x:c r="L563" s="82" t="str">
        <x:v>BW</x:v>
      </x:c>
      <x:c r="M563" s="82" t="str">
        <x:v>Black / / / Metal</x:v>
      </x:c>
      <x:c r="N563" s="82" t="str">
        <x:v>Clear</x:v>
      </x:c>
      <x:c r="O563" s="82" t="str">
        <x:v>Black</x:v>
      </x:c>
      <x:c r="P563" s="82" t="str">
        <x:v>Malaysia</x:v>
      </x:c>
      <x:c r="Q563" s="82" t="str"/>
      <x:c r="R563" s="82" t="str">
        <x:v>Temática / multipack</x:v>
      </x:c>
      <x:c r="S563" s="82" t="str">
        <x:v>Rara</x:v>
      </x:c>
      <x:c r="T563" s="82" t="str">
        <x:v>Lançado</x:v>
      </x:c>
      <x:c r="U563" s="82" t="str">
        <x:v>Plastic body</x:v>
      </x:c>
      <x:c r="V563" s="80" t="str">
        <x:v>Coleção principal (~1:64)</x:v>
      </x:c>
      <x:c r="W563" s="82" t="str">
        <x:v>https://hotwheels.fandom.com/wiki/Racebait_308</x:v>
      </x:c>
      <x:c r="X563" s="82" t="str">
        <x:v>https://hotwheels.fandom.com/wiki/Racebait_308</x:v>
      </x:c>
    </x:row>
    <x:row r="564">
      <x:c r="A564" s="80" t="str">
        <x:v>Não</x:v>
      </x:c>
      <x:c r="B564" s="80" t="str">
        <x:v>2 — Completar aos poucos</x:v>
      </x:c>
      <x:c r="C564" s="81" t="n">
        <x:v>1994</x:v>
      </x:c>
      <x:c r="D564" s="80" t="str">
        <x:v>Racebait 308</x:v>
      </x:c>
      <x:c r="E564" s="80" t="str">
        <x:v>Racebait 308</x:v>
      </x:c>
      <x:c r="F564" s="82" t="str">
        <x:v>Ferrari 5-Pack</x:v>
      </x:c>
      <x:c r="G564" s="80" t="str"/>
      <x:c r="H564" s="80" t="str">
        <x:v>5SP</x:v>
      </x:c>
      <x:c r="I564" s="83" t="str">
        <x:v>12405</x:v>
      </x:c>
      <x:c r="J564" s="80" t="str">
        <x:v>Red</x:v>
      </x:c>
      <x:c r="K564" s="82" t="str">
        <x:v>Ferrari logo on hood, white Hot Wheels logo on rear</x:v>
      </x:c>
      <x:c r="L564" s="82" t="str"/>
      <x:c r="M564" s="82" t="str">
        <x:v>Black / / / Metal</x:v>
      </x:c>
      <x:c r="N564" s="82" t="str">
        <x:v>Clear</x:v>
      </x:c>
      <x:c r="O564" s="82" t="str">
        <x:v>Black</x:v>
      </x:c>
      <x:c r="P564" s="82" t="str">
        <x:v>Malaysia</x:v>
      </x:c>
      <x:c r="Q564" s="82" t="str"/>
      <x:c r="R564" s="82" t="str">
        <x:v>Temática / multipack</x:v>
      </x:c>
      <x:c r="S564" s="82" t="str">
        <x:v>Rara</x:v>
      </x:c>
      <x:c r="T564" s="82" t="str">
        <x:v>Lançado</x:v>
      </x:c>
      <x:c r="U564" s="82" t="str"/>
      <x:c r="V564" s="80" t="str">
        <x:v>Coleção principal (~1:64)</x:v>
      </x:c>
      <x:c r="W564" s="82" t="str">
        <x:v>https://hotwheels.fandom.com/wiki/Racebait_308</x:v>
      </x:c>
      <x:c r="X564" s="82" t="str">
        <x:v>https://hotwheels.fandom.com/wiki/Racebait_308</x:v>
      </x:c>
    </x:row>
    <x:row r="565">
      <x:c r="A565" s="80" t="str">
        <x:v>Não</x:v>
      </x:c>
      <x:c r="B565" s="80" t="str">
        <x:v>2 — Completar aos poucos</x:v>
      </x:c>
      <x:c r="C565" s="81" t="n">
        <x:v>1993</x:v>
      </x:c>
      <x:c r="D565" s="80" t="str">
        <x:v>Ferrari 348</x:v>
      </x:c>
      <x:c r="E565" s="80" t="str">
        <x:v>Ferrari 348</x:v>
      </x:c>
      <x:c r="F565" s="82" t="str">
        <x:v>Mainline</x:v>
      </x:c>
      <x:c r="G565" s="80" t="str"/>
      <x:c r="H565" s="80" t="str">
        <x:v>226</x:v>
      </x:c>
      <x:c r="I565" s="83" t="str">
        <x:v>4348</x:v>
      </x:c>
      <x:c r="J565" s="80" t="str">
        <x:v>Bright Pink</x:v>
      </x:c>
      <x:c r="K565" s="82" t="str">
        <x:v>Black, White, Yellow "Ferrari 348" on hood</x:v>
      </x:c>
      <x:c r="L565" s="82" t="str">
        <x:v>UH</x:v>
      </x:c>
      <x:c r="M565" s="82" t="str">
        <x:v>Black / / / Plastic</x:v>
      </x:c>
      <x:c r="N565" s="82" t="str">
        <x:v>Clear</x:v>
      </x:c>
      <x:c r="O565" s="82" t="str">
        <x:v>Black &amp; Red</x:v>
      </x:c>
      <x:c r="P565" s="82" t="str">
        <x:v>Malaysia</x:v>
      </x:c>
      <x:c r="Q565" s="82" t="str"/>
      <x:c r="R565" s="82" t="str">
        <x:v>Mainline</x:v>
      </x:c>
      <x:c r="S565" s="82" t="str">
        <x:v>Rara</x:v>
      </x:c>
      <x:c r="T565" s="82" t="str">
        <x:v>Lançado</x:v>
      </x:c>
      <x:c r="U565" s="82" t="str"/>
      <x:c r="V565" s="80" t="str">
        <x:v>Coleção principal (~1:64)</x:v>
      </x:c>
      <x:c r="W565" s="82" t="str">
        <x:v>https://hotwheels.fandom.com/wiki/Ferrari_348</x:v>
      </x:c>
      <x:c r="X565" s="82" t="str">
        <x:v>https://hotwheels.fandom.com/wiki/Ferrari_348</x:v>
      </x:c>
    </x:row>
    <x:row r="566">
      <x:c r="A566" s="80" t="str">
        <x:v>Não</x:v>
      </x:c>
      <x:c r="B566" s="80" t="str">
        <x:v>2 — Completar aos poucos</x:v>
      </x:c>
      <x:c r="C566" s="81" t="n">
        <x:v>1993</x:v>
      </x:c>
      <x:c r="D566" s="80" t="str">
        <x:v>Ferrari 348</x:v>
      </x:c>
      <x:c r="E566" s="80" t="str">
        <x:v>Ferrari 348</x:v>
      </x:c>
      <x:c r="F566" s="82" t="str">
        <x:v>Mainline</x:v>
      </x:c>
      <x:c r="G566" s="80" t="str"/>
      <x:c r="H566" s="80" t="str">
        <x:v>226</x:v>
      </x:c>
      <x:c r="I566" s="83" t="str">
        <x:v>4348</x:v>
      </x:c>
      <x:c r="J566" s="80" t="str">
        <x:v>Bright Pink</x:v>
      </x:c>
      <x:c r="K566" s="82" t="str">
        <x:v>Black, White, Yellow "Ferrari 348" on hood</x:v>
      </x:c>
      <x:c r="L566" s="82" t="str">
        <x:v>5SP</x:v>
      </x:c>
      <x:c r="M566" s="82" t="str">
        <x:v>Black / / / Plastic</x:v>
      </x:c>
      <x:c r="N566" s="82" t="str">
        <x:v>Clear</x:v>
      </x:c>
      <x:c r="O566" s="82" t="str">
        <x:v>Black &amp; Red</x:v>
      </x:c>
      <x:c r="P566" s="82" t="str">
        <x:v>Malaysia</x:v>
      </x:c>
      <x:c r="Q566" s="82" t="str"/>
      <x:c r="R566" s="82" t="str">
        <x:v>Mainline</x:v>
      </x:c>
      <x:c r="S566" s="82" t="str">
        <x:v>Rara</x:v>
      </x:c>
      <x:c r="T566" s="82" t="str">
        <x:v>Lançado</x:v>
      </x:c>
      <x:c r="U566" s="82" t="str"/>
      <x:c r="V566" s="80" t="str">
        <x:v>Coleção principal (~1:64)</x:v>
      </x:c>
      <x:c r="W566" s="82" t="str">
        <x:v>https://hotwheels.fandom.com/wiki/Ferrari_348</x:v>
      </x:c>
      <x:c r="X566" s="82" t="str">
        <x:v>https://hotwheels.fandom.com/wiki/Ferrari_348</x:v>
      </x:c>
    </x:row>
    <x:row r="567">
      <x:c r="A567" s="80" t="str">
        <x:v>Não</x:v>
      </x:c>
      <x:c r="B567" s="80" t="str">
        <x:v>2 — Completar aos poucos</x:v>
      </x:c>
      <x:c r="C567" s="81" t="n">
        <x:v>1993</x:v>
      </x:c>
      <x:c r="D567" s="80" t="str">
        <x:v>Ferrari 348</x:v>
      </x:c>
      <x:c r="E567" s="80" t="str">
        <x:v>Ferrari 348</x:v>
      </x:c>
      <x:c r="F567" s="82" t="str">
        <x:v>Mainline</x:v>
      </x:c>
      <x:c r="G567" s="80" t="str"/>
      <x:c r="H567" s="80" t="str">
        <x:v>226</x:v>
      </x:c>
      <x:c r="I567" s="83" t="str">
        <x:v>4348</x:v>
      </x:c>
      <x:c r="J567" s="80" t="str">
        <x:v>Bright Pink</x:v>
      </x:c>
      <x:c r="K567" s="82" t="str">
        <x:v>Black, White, Yellow "Ferrari 348" on hood</x:v>
      </x:c>
      <x:c r="L567" s="82" t="str">
        <x:v>UH</x:v>
      </x:c>
      <x:c r="M567" s="82" t="str">
        <x:v>Black / / / Plastic</x:v>
      </x:c>
      <x:c r="N567" s="82" t="str">
        <x:v>Tinted (Black)</x:v>
      </x:c>
      <x:c r="O567" s="82" t="str">
        <x:v>Black &amp; Red</x:v>
      </x:c>
      <x:c r="P567" s="82" t="str">
        <x:v>Malaysia</x:v>
      </x:c>
      <x:c r="Q567" s="82" t="str"/>
      <x:c r="R567" s="82" t="str">
        <x:v>Mainline</x:v>
      </x:c>
      <x:c r="S567" s="82" t="str">
        <x:v>Rara</x:v>
      </x:c>
      <x:c r="T567" s="82" t="str">
        <x:v>Lançado</x:v>
      </x:c>
      <x:c r="U567" s="82" t="str"/>
      <x:c r="V567" s="80" t="str">
        <x:v>Coleção principal (~1:64)</x:v>
      </x:c>
      <x:c r="W567" s="82" t="str">
        <x:v>https://hotwheels.fandom.com/wiki/Ferrari_348</x:v>
      </x:c>
      <x:c r="X567" s="82" t="str">
        <x:v>https://hotwheels.fandom.com/wiki/Ferrari_348</x:v>
      </x:c>
    </x:row>
    <x:row r="568">
      <x:c r="A568" s="80" t="str">
        <x:v>Não</x:v>
      </x:c>
      <x:c r="B568" s="80" t="str">
        <x:v>2 — Completar aos poucos</x:v>
      </x:c>
      <x:c r="C568" s="81" t="n">
        <x:v>1993</x:v>
      </x:c>
      <x:c r="D568" s="80" t="str">
        <x:v>Ferrari 348</x:v>
      </x:c>
      <x:c r="E568" s="80" t="str">
        <x:v>Ferrari 348</x:v>
      </x:c>
      <x:c r="F568" s="82" t="str">
        <x:v>Mainline</x:v>
      </x:c>
      <x:c r="G568" s="80" t="str"/>
      <x:c r="H568" s="80" t="str">
        <x:v>226</x:v>
      </x:c>
      <x:c r="I568" s="83" t="str">
        <x:v>4348</x:v>
      </x:c>
      <x:c r="J568" s="80" t="str">
        <x:v>Bright Pink</x:v>
      </x:c>
      <x:c r="K568" s="82" t="str">
        <x:v>Black, White, Yellow "Ferrari 348" on hood</x:v>
      </x:c>
      <x:c r="L568" s="82" t="str">
        <x:v>UH</x:v>
      </x:c>
      <x:c r="M568" s="82" t="str">
        <x:v>Black / / / Plastic</x:v>
      </x:c>
      <x:c r="N568" s="82" t="str">
        <x:v>Tinted (Black)</x:v>
      </x:c>
      <x:c r="O568" s="82" t="str">
        <x:v>All Red</x:v>
      </x:c>
      <x:c r="P568" s="82" t="str">
        <x:v>Malaysia</x:v>
      </x:c>
      <x:c r="Q568" s="82" t="str"/>
      <x:c r="R568" s="82" t="str">
        <x:v>Mainline</x:v>
      </x:c>
      <x:c r="S568" s="82" t="str">
        <x:v>Rara</x:v>
      </x:c>
      <x:c r="T568" s="82" t="str">
        <x:v>Lançado</x:v>
      </x:c>
      <x:c r="U568" s="82" t="str"/>
      <x:c r="V568" s="80" t="str">
        <x:v>Coleção principal (~1:64)</x:v>
      </x:c>
      <x:c r="W568" s="82" t="str">
        <x:v>https://hotwheels.fandom.com/wiki/Ferrari_348</x:v>
      </x:c>
      <x:c r="X568" s="82" t="str">
        <x:v>https://hotwheels.fandom.com/wiki/Ferrari_348</x:v>
      </x:c>
    </x:row>
    <x:row r="569">
      <x:c r="A569" s="80" t="str">
        <x:v>Não</x:v>
      </x:c>
      <x:c r="B569" s="80" t="str">
        <x:v>2 — Completar aos poucos</x:v>
      </x:c>
      <x:c r="C569" s="81" t="n">
        <x:v>1993</x:v>
      </x:c>
      <x:c r="D569" s="80" t="str">
        <x:v>Ferrari 348</x:v>
      </x:c>
      <x:c r="E569" s="80" t="str">
        <x:v>Ferrari 348</x:v>
      </x:c>
      <x:c r="F569" s="82" t="str">
        <x:v>Revealers</x:v>
      </x:c>
      <x:c r="G569" s="80" t="str"/>
      <x:c r="H569" s="80" t="str"/>
      <x:c r="I569" s="83" t="str">
        <x:v>5666</x:v>
      </x:c>
      <x:c r="J569" s="80" t="str">
        <x:v>Bright Orange</x:v>
      </x:c>
      <x:c r="K569" s="82" t="str">
        <x:v>Green &amp; Black money, Red dollar sign on hood</x:v>
      </x:c>
      <x:c r="L569" s="82" t="str">
        <x:v>Orange UH</x:v>
      </x:c>
      <x:c r="M569" s="82" t="str">
        <x:v>Black / / / Plastic</x:v>
      </x:c>
      <x:c r="N569" s="82" t="str">
        <x:v>Grey tint</x:v>
      </x:c>
      <x:c r="O569" s="82" t="str">
        <x:v>Red &amp; Bright Orange</x:v>
      </x:c>
      <x:c r="P569" s="82" t="str">
        <x:v>Malaysia</x:v>
      </x:c>
      <x:c r="Q569" s="82" t="str"/>
      <x:c r="R569" s="82" t="str">
        <x:v>Outra linha</x:v>
      </x:c>
      <x:c r="S569" s="82" t="str">
        <x:v>Rara</x:v>
      </x:c>
      <x:c r="T569" s="82" t="str">
        <x:v>Lançado</x:v>
      </x:c>
      <x:c r="U569" s="82" t="str"/>
      <x:c r="V569" s="80" t="str">
        <x:v>Coleção principal (~1:64)</x:v>
      </x:c>
      <x:c r="W569" s="82" t="str">
        <x:v>https://hotwheels.fandom.com/wiki/Ferrari_348</x:v>
      </x:c>
      <x:c r="X569" s="82" t="str">
        <x:v>https://hotwheels.fandom.com/wiki/Ferrari_348</x:v>
      </x:c>
    </x:row>
    <x:row r="570">
      <x:c r="A570" s="80" t="str">
        <x:v>Não</x:v>
      </x:c>
      <x:c r="B570" s="80" t="str">
        <x:v>2 — Completar aos poucos</x:v>
      </x:c>
      <x:c r="C570" s="81" t="n">
        <x:v>1993</x:v>
      </x:c>
      <x:c r="D570" s="80" t="str">
        <x:v>Ferrari 348</x:v>
      </x:c>
      <x:c r="E570" s="80" t="str">
        <x:v>Ferrari 348</x:v>
      </x:c>
      <x:c r="F570" s="82" t="str">
        <x:v>Revealers</x:v>
      </x:c>
      <x:c r="G570" s="80" t="str"/>
      <x:c r="H570" s="80" t="str"/>
      <x:c r="I570" s="83" t="str">
        <x:v>5666</x:v>
      </x:c>
      <x:c r="J570" s="80" t="str">
        <x:v>Bronze</x:v>
      </x:c>
      <x:c r="K570" s="82" t="str">
        <x:v>Green &amp; Black money, Red dollar sign on hood</x:v>
      </x:c>
      <x:c r="L570" s="82" t="str">
        <x:v>Lime Green UH</x:v>
      </x:c>
      <x:c r="M570" s="82" t="str">
        <x:v>Black / / / Plastic</x:v>
      </x:c>
      <x:c r="N570" s="82" t="str">
        <x:v>Grey tint</x:v>
      </x:c>
      <x:c r="O570" s="82" t="str">
        <x:v>Red &amp; Bronze</x:v>
      </x:c>
      <x:c r="P570" s="82" t="str">
        <x:v>Malaysia</x:v>
      </x:c>
      <x:c r="Q570" s="82" t="str"/>
      <x:c r="R570" s="82" t="str">
        <x:v>Outra linha</x:v>
      </x:c>
      <x:c r="S570" s="82" t="str">
        <x:v>Rara</x:v>
      </x:c>
      <x:c r="T570" s="82" t="str">
        <x:v>Lançado</x:v>
      </x:c>
      <x:c r="U570" s="82" t="str"/>
      <x:c r="V570" s="80" t="str">
        <x:v>Coleção principal (~1:64)</x:v>
      </x:c>
      <x:c r="W570" s="82" t="str">
        <x:v>https://hotwheels.fandom.com/wiki/Ferrari_348</x:v>
      </x:c>
      <x:c r="X570" s="82" t="str">
        <x:v>https://hotwheels.fandom.com/wiki/Ferrari_348</x:v>
      </x:c>
    </x:row>
    <x:row r="571">
      <x:c r="A571" s="80" t="str">
        <x:v>Não</x:v>
      </x:c>
      <x:c r="B571" s="80" t="str">
        <x:v>2 — Completar aos poucos</x:v>
      </x:c>
      <x:c r="C571" s="81" t="n">
        <x:v>1993</x:v>
      </x:c>
      <x:c r="D571" s="80" t="str">
        <x:v>Ferrari 348</x:v>
      </x:c>
      <x:c r="E571" s="80" t="str">
        <x:v>Ferrari 348</x:v>
      </x:c>
      <x:c r="F571" s="82" t="str">
        <x:v>Revealers</x:v>
      </x:c>
      <x:c r="G571" s="80" t="str"/>
      <x:c r="H571" s="80" t="str"/>
      <x:c r="I571" s="83" t="str">
        <x:v>5666</x:v>
      </x:c>
      <x:c r="J571" s="80" t="str">
        <x:v>White</x:v>
      </x:c>
      <x:c r="K571" s="82" t="str">
        <x:v>Green &amp; Black money, Red dollar sign on hood</x:v>
      </x:c>
      <x:c r="L571" s="82" t="str">
        <x:v>Pink UH</x:v>
      </x:c>
      <x:c r="M571" s="82" t="str">
        <x:v>Black / / / Plastic</x:v>
      </x:c>
      <x:c r="N571" s="82" t="str">
        <x:v>Grey tint</x:v>
      </x:c>
      <x:c r="O571" s="82" t="str">
        <x:v>Red &amp; White</x:v>
      </x:c>
      <x:c r="P571" s="82" t="str">
        <x:v>Malaysia</x:v>
      </x:c>
      <x:c r="Q571" s="82" t="str"/>
      <x:c r="R571" s="82" t="str">
        <x:v>Outra linha</x:v>
      </x:c>
      <x:c r="S571" s="82" t="str">
        <x:v>Rara</x:v>
      </x:c>
      <x:c r="T571" s="82" t="str">
        <x:v>Lançado</x:v>
      </x:c>
      <x:c r="U571" s="82" t="str"/>
      <x:c r="V571" s="80" t="str">
        <x:v>Coleção principal (~1:64)</x:v>
      </x:c>
      <x:c r="W571" s="82" t="str">
        <x:v>https://hotwheels.fandom.com/wiki/Ferrari_348</x:v>
      </x:c>
      <x:c r="X571" s="82" t="str">
        <x:v>https://hotwheels.fandom.com/wiki/Ferrari_348</x:v>
      </x:c>
    </x:row>
    <x:row r="572">
      <x:c r="A572" s="80" t="str">
        <x:v>Não</x:v>
      </x:c>
      <x:c r="B572" s="80" t="str">
        <x:v>2 — Completar aos poucos</x:v>
      </x:c>
      <x:c r="C572" s="81" t="n">
        <x:v>1993</x:v>
      </x:c>
      <x:c r="D572" s="80" t="str">
        <x:v>Ferrari F40</x:v>
      </x:c>
      <x:c r="E572" s="80" t="str">
        <x:v>Ferrari F40</x:v>
      </x:c>
      <x:c r="F572" s="82" t="str">
        <x:v>25th Anniversary Exotic 5-Pack</x:v>
      </x:c>
      <x:c r="G572" s="80" t="str"/>
      <x:c r="H572" s="80" t="str"/>
      <x:c r="I572" s="83" t="str">
        <x:v>10788</x:v>
      </x:c>
      <x:c r="J572" s="80" t="str">
        <x:v>Yellow</x:v>
      </x:c>
      <x:c r="K572" s="82" t="str">
        <x:v>Blue "40" &amp; "Ferrari" tampos</x:v>
      </x:c>
      <x:c r="L572" s="82" t="str">
        <x:v>UH</x:v>
      </x:c>
      <x:c r="M572" s="82" t="str">
        <x:v>ZAMAC</x:v>
      </x:c>
      <x:c r="N572" s="82" t="str">
        <x:v>Clear</x:v>
      </x:c>
      <x:c r="O572" s="82" t="str">
        <x:v>Blue</x:v>
      </x:c>
      <x:c r="P572" s="82" t="str">
        <x:v>Malaysia</x:v>
      </x:c>
      <x:c r="Q572" s="82" t="str"/>
      <x:c r="R572" s="82" t="str">
        <x:v>Temática / multipack</x:v>
      </x:c>
      <x:c r="S572" s="82" t="str">
        <x:v>Rara</x:v>
      </x:c>
      <x:c r="T572" s="82" t="str">
        <x:v>Lançado</x:v>
      </x:c>
      <x:c r="U572" s="82" t="str"/>
      <x:c r="V572" s="80" t="str">
        <x:v>Coleção principal (~1:64)</x:v>
      </x:c>
      <x:c r="W572" s="82" t="str">
        <x:v>https://hotwheels.fandom.com/wiki/Ferrari_F40</x:v>
      </x:c>
      <x:c r="X572" s="82" t="str">
        <x:v>https://hotwheels.fandom.com/wiki/Ferrari_F40</x:v>
      </x:c>
    </x:row>
    <x:row r="573">
      <x:c r="A573" s="80" t="str">
        <x:v>Não</x:v>
      </x:c>
      <x:c r="B573" s="80" t="str">
        <x:v>2 — Completar aos poucos</x:v>
      </x:c>
      <x:c r="C573" s="81" t="n">
        <x:v>1993</x:v>
      </x:c>
      <x:c r="D573" s="80" t="str">
        <x:v>Ferrari F40</x:v>
      </x:c>
      <x:c r="E573" s="80" t="str">
        <x:v>Ferrari F40</x:v>
      </x:c>
      <x:c r="F573" s="82" t="str">
        <x:v>Revealers</x:v>
      </x:c>
      <x:c r="G573" s="80" t="str"/>
      <x:c r="H573" s="80" t="str"/>
      <x:c r="I573" s="83" t="str">
        <x:v>1468</x:v>
      </x:c>
      <x:c r="J573" s="80" t="str">
        <x:v>Metalflake Dark Red</x:v>
      </x:c>
      <x:c r="K573" s="82" t="str">
        <x:v>White &amp; Blue checks, Yellow "F40"</x:v>
      </x:c>
      <x:c r="L573" s="82" t="str">
        <x:v>Lime UH</x:v>
      </x:c>
      <x:c r="M573" s="82" t="str">
        <x:v>ZAMAC</x:v>
      </x:c>
      <x:c r="N573" s="82" t="str">
        <x:v>Clear</x:v>
      </x:c>
      <x:c r="O573" s="82" t="str">
        <x:v>Tan</x:v>
      </x:c>
      <x:c r="P573" s="82" t="str">
        <x:v>Malaysia</x:v>
      </x:c>
      <x:c r="Q573" s="82" t="str"/>
      <x:c r="R573" s="82" t="str">
        <x:v>Outra linha</x:v>
      </x:c>
      <x:c r="S573" s="82" t="str">
        <x:v>Rara</x:v>
      </x:c>
      <x:c r="T573" s="82" t="str">
        <x:v>Lançado</x:v>
      </x:c>
      <x:c r="U573" s="82" t="str"/>
      <x:c r="V573" s="80" t="str">
        <x:v>Coleção principal (~1:64)</x:v>
      </x:c>
      <x:c r="W573" s="82" t="str">
        <x:v>https://hotwheels.fandom.com/wiki/Ferrari_F40</x:v>
      </x:c>
      <x:c r="X573" s="82" t="str">
        <x:v>https://hotwheels.fandom.com/wiki/Ferrari_F40</x:v>
      </x:c>
    </x:row>
    <x:row r="574">
      <x:c r="A574" s="80" t="str">
        <x:v>Não</x:v>
      </x:c>
      <x:c r="B574" s="80" t="str">
        <x:v>2 — Completar aos poucos</x:v>
      </x:c>
      <x:c r="C574" s="81" t="n">
        <x:v>1993</x:v>
      </x:c>
      <x:c r="D574" s="80" t="str">
        <x:v>Ferrari F40</x:v>
      </x:c>
      <x:c r="E574" s="80" t="str">
        <x:v>Ferrari F40</x:v>
      </x:c>
      <x:c r="F574" s="82" t="str">
        <x:v>Revealers</x:v>
      </x:c>
      <x:c r="G574" s="80" t="str"/>
      <x:c r="H574" s="80" t="str"/>
      <x:c r="I574" s="83" t="str">
        <x:v>1468</x:v>
      </x:c>
      <x:c r="J574" s="80" t="str">
        <x:v>Red</x:v>
      </x:c>
      <x:c r="K574" s="82" t="str">
        <x:v>White &amp; Blue checks, Yellow "F40"</x:v>
      </x:c>
      <x:c r="L574" s="82" t="str">
        <x:v>Lime UH</x:v>
      </x:c>
      <x:c r="M574" s="82" t="str">
        <x:v>ZAMAC</x:v>
      </x:c>
      <x:c r="N574" s="82" t="str">
        <x:v>Clear</x:v>
      </x:c>
      <x:c r="O574" s="82" t="str">
        <x:v>Tan</x:v>
      </x:c>
      <x:c r="P574" s="82" t="str">
        <x:v>Malaysia</x:v>
      </x:c>
      <x:c r="Q574" s="82" t="str"/>
      <x:c r="R574" s="82" t="str">
        <x:v>Outra linha</x:v>
      </x:c>
      <x:c r="S574" s="82" t="str">
        <x:v>Rara</x:v>
      </x:c>
      <x:c r="T574" s="82" t="str">
        <x:v>Lançado</x:v>
      </x:c>
      <x:c r="U574" s="82" t="str"/>
      <x:c r="V574" s="80" t="str">
        <x:v>Coleção principal (~1:64)</x:v>
      </x:c>
      <x:c r="W574" s="82" t="str">
        <x:v>https://hotwheels.fandom.com/wiki/Ferrari_F40</x:v>
      </x:c>
      <x:c r="X574" s="82" t="str">
        <x:v>https://hotwheels.fandom.com/wiki/Ferrari_F40</x:v>
      </x:c>
    </x:row>
    <x:row r="575">
      <x:c r="A575" s="80" t="str">
        <x:v>Não</x:v>
      </x:c>
      <x:c r="B575" s="80" t="str">
        <x:v>2 — Completar aos poucos</x:v>
      </x:c>
      <x:c r="C575" s="81" t="n">
        <x:v>1993</x:v>
      </x:c>
      <x:c r="D575" s="80" t="str">
        <x:v>Ferrari F40</x:v>
      </x:c>
      <x:c r="E575" s="80" t="str">
        <x:v>Ferrari F40</x:v>
      </x:c>
      <x:c r="F575" s="82" t="str">
        <x:v>Revealers</x:v>
      </x:c>
      <x:c r="G575" s="80" t="str"/>
      <x:c r="H575" s="80" t="str"/>
      <x:c r="I575" s="83" t="str">
        <x:v>1468</x:v>
      </x:c>
      <x:c r="J575" s="80" t="str">
        <x:v>Yellow</x:v>
      </x:c>
      <x:c r="K575" s="82" t="str">
        <x:v>White &amp; Blue checks, Yellow "F40"</x:v>
      </x:c>
      <x:c r="L575" s="82" t="str">
        <x:v>Pink UH</x:v>
      </x:c>
      <x:c r="M575" s="82" t="str">
        <x:v>ZAMAC</x:v>
      </x:c>
      <x:c r="N575" s="82" t="str">
        <x:v>Clear</x:v>
      </x:c>
      <x:c r="O575" s="82" t="str">
        <x:v>Tan</x:v>
      </x:c>
      <x:c r="P575" s="82" t="str">
        <x:v>Malaysia</x:v>
      </x:c>
      <x:c r="Q575" s="82" t="str"/>
      <x:c r="R575" s="82" t="str">
        <x:v>Outra linha</x:v>
      </x:c>
      <x:c r="S575" s="82" t="str">
        <x:v>Rara</x:v>
      </x:c>
      <x:c r="T575" s="82" t="str">
        <x:v>Lançado</x:v>
      </x:c>
      <x:c r="U575" s="82" t="str"/>
      <x:c r="V575" s="80" t="str">
        <x:v>Coleção principal (~1:64)</x:v>
      </x:c>
      <x:c r="W575" s="82" t="str">
        <x:v>https://hotwheels.fandom.com/wiki/Ferrari_F40</x:v>
      </x:c>
      <x:c r="X575" s="82" t="str">
        <x:v>https://hotwheels.fandom.com/wiki/Ferrari_F40</x:v>
      </x:c>
    </x:row>
    <x:row r="576">
      <x:c r="A576" s="80" t="str">
        <x:v>Não</x:v>
      </x:c>
      <x:c r="B576" s="80" t="str">
        <x:v>2 — Completar aos poucos</x:v>
      </x:c>
      <x:c r="C576" s="81" t="n">
        <x:v>1993</x:v>
      </x:c>
      <x:c r="D576" s="80" t="str">
        <x:v>Ferrari Testarossa (1987)</x:v>
      </x:c>
      <x:c r="E576" s="80" t="str">
        <x:v>Ferrari Testarossa</x:v>
      </x:c>
      <x:c r="F576" s="82" t="str">
        <x:v>25th Anniversary Exotic Car 5-Pack</x:v>
      </x:c>
      <x:c r="G576" s="80" t="str"/>
      <x:c r="H576" s="80" t="str"/>
      <x:c r="I576" s="83" t="str">
        <x:v>10788</x:v>
      </x:c>
      <x:c r="J576" s="80" t="str">
        <x:v>Pearl White</x:v>
      </x:c>
      <x:c r="K576" s="82" t="str">
        <x:v>Yellow &amp; Black "Ferrari" logo &amp; name on hood</x:v>
      </x:c>
      <x:c r="L576" s="82" t="str">
        <x:v>UH</x:v>
      </x:c>
      <x:c r="M576" s="82" t="str">
        <x:v>Unpainted / / / Metal</x:v>
      </x:c>
      <x:c r="N576" s="82" t="str">
        <x:v>Black tint</x:v>
      </x:c>
      <x:c r="O576" s="82" t="str">
        <x:v>Gray &amp; White</x:v>
      </x:c>
      <x:c r="P576" s="82" t="str">
        <x:v>Malaysia</x:v>
      </x:c>
      <x:c r="Q576" s="82" t="str"/>
      <x:c r="R576" s="82" t="str">
        <x:v>Temática / multipack</x:v>
      </x:c>
      <x:c r="S576" s="82" t="str">
        <x:v>Rara</x:v>
      </x:c>
      <x:c r="T576" s="82" t="str">
        <x:v>Lançado</x:v>
      </x:c>
      <x:c r="U576" s="82" t="str">
        <x:v>2 variants on base</x:v>
      </x:c>
      <x:c r="V576" s="80" t="str">
        <x:v>Coleção principal (~1:64)</x:v>
      </x:c>
      <x:c r="W576" s="82" t="str">
        <x:v>https://hotwheels.fandom.com/wiki/Ferrari_Testarossa_(1987)</x:v>
      </x:c>
      <x:c r="X576" s="82" t="str">
        <x:v>https://hotwheels.fandom.com/wiki/Ferrari_Testarossa_(1987)</x:v>
      </x:c>
    </x:row>
    <x:row r="577">
      <x:c r="A577" s="80" t="str">
        <x:v>Não</x:v>
      </x:c>
      <x:c r="B577" s="80" t="str">
        <x:v>2 — Completar aos poucos</x:v>
      </x:c>
      <x:c r="C577" s="81" t="n">
        <x:v>1993</x:v>
      </x:c>
      <x:c r="D577" s="80" t="str">
        <x:v>Ferrari Testarossa (1987)</x:v>
      </x:c>
      <x:c r="E577" s="80" t="str">
        <x:v>Ferrari Testarossa</x:v>
      </x:c>
      <x:c r="F577" s="82" t="str">
        <x:v>Color FX</x:v>
      </x:c>
      <x:c r="G577" s="80" t="str"/>
      <x:c r="H577" s="80" t="str"/>
      <x:c r="I577" s="83" t="str">
        <x:v>11047</x:v>
      </x:c>
      <x:c r="J577" s="80" t="str">
        <x:v>Red &amp; Yellow</x:v>
      </x:c>
      <x:c r="K577" s="82" t="str">
        <x:v>White and Blue "3" on hood and top, yellow and red flames, white line on top</x:v>
      </x:c>
      <x:c r="L577" s="82" t="str">
        <x:v>UH</x:v>
      </x:c>
      <x:c r="M577" s="82" t="str">
        <x:v>Red / / / Metal</x:v>
      </x:c>
      <x:c r="N577" s="82" t="str">
        <x:v>Clear</x:v>
      </x:c>
      <x:c r="O577" s="82" t="str">
        <x:v>Red and Yellow</x:v>
      </x:c>
      <x:c r="P577" s="82" t="str">
        <x:v>Malaysia</x:v>
      </x:c>
      <x:c r="Q577" s="82" t="str"/>
      <x:c r="R577" s="82" t="str">
        <x:v>Outra linha</x:v>
      </x:c>
      <x:c r="S577" s="82" t="str">
        <x:v>Rara</x:v>
      </x:c>
      <x:c r="T577" s="82" t="str">
        <x:v>Lançado</x:v>
      </x:c>
      <x:c r="U577" s="82" t="str">
        <x:v>Plastic Body</x:v>
      </x:c>
      <x:c r="V577" s="80" t="str">
        <x:v>Coleção principal (~1:64)</x:v>
      </x:c>
      <x:c r="W577" s="82" t="str">
        <x:v>https://hotwheels.fandom.com/wiki/Ferrari_Testarossa_(1987)</x:v>
      </x:c>
      <x:c r="X577" s="82" t="str">
        <x:v>https://hotwheels.fandom.com/wiki/Ferrari_Testarossa_(1987)</x:v>
      </x:c>
    </x:row>
    <x:row r="578">
      <x:c r="A578" s="80" t="str">
        <x:v>Não</x:v>
      </x:c>
      <x:c r="B578" s="80" t="str">
        <x:v>2 — Completar aos poucos</x:v>
      </x:c>
      <x:c r="C578" s="81" t="n">
        <x:v>1993</x:v>
      </x:c>
      <x:c r="D578" s="80" t="str">
        <x:v>Ferrari Testarossa (1987)</x:v>
      </x:c>
      <x:c r="E578" s="80" t="str">
        <x:v>Ferrari Testarossa</x:v>
      </x:c>
      <x:c r="F578" s="82" t="str">
        <x:v>Color FX Paintworks</x:v>
      </x:c>
      <x:c r="G578" s="80" t="str"/>
      <x:c r="H578" s="80" t="str"/>
      <x:c r="I578" s="83" t="str">
        <x:v>11388</x:v>
      </x:c>
      <x:c r="J578" s="80" t="str">
        <x:v>Red &amp; Yellow</x:v>
      </x:c>
      <x:c r="K578" s="82" t="str">
        <x:v>None</x:v>
      </x:c>
      <x:c r="L578" s="82" t="str">
        <x:v>UH</x:v>
      </x:c>
      <x:c r="M578" s="82" t="str">
        <x:v>Red / / / Metal</x:v>
      </x:c>
      <x:c r="N578" s="82" t="str">
        <x:v>Clear</x:v>
      </x:c>
      <x:c r="O578" s="82" t="str">
        <x:v>Black &amp; Red</x:v>
      </x:c>
      <x:c r="P578" s="82" t="str">
        <x:v>Malaysia</x:v>
      </x:c>
      <x:c r="Q578" s="82" t="str"/>
      <x:c r="R578" s="82" t="str">
        <x:v>Outra linha</x:v>
      </x:c>
      <x:c r="S578" s="82" t="str">
        <x:v>Rara</x:v>
      </x:c>
      <x:c r="T578" s="82" t="str">
        <x:v>Lançado</x:v>
      </x:c>
      <x:c r="U578" s="82" t="str">
        <x:v>Plastic Body</x:v>
      </x:c>
      <x:c r="V578" s="80" t="str">
        <x:v>Coleção principal (~1:64)</x:v>
      </x:c>
      <x:c r="W578" s="82" t="str">
        <x:v>https://hotwheels.fandom.com/wiki/Ferrari_Testarossa_(1987)</x:v>
      </x:c>
      <x:c r="X578" s="82" t="str">
        <x:v>https://hotwheels.fandom.com/wiki/Ferrari_Testarossa_(1987)</x:v>
      </x:c>
    </x:row>
    <x:row r="579">
      <x:c r="A579" s="80" t="str">
        <x:v>Não</x:v>
      </x:c>
      <x:c r="B579" s="80" t="str">
        <x:v>2 — Completar aos poucos</x:v>
      </x:c>
      <x:c r="C579" s="81" t="n">
        <x:v>1993</x:v>
      </x:c>
      <x:c r="D579" s="80" t="str">
        <x:v>Ferrari Testarossa (1987)</x:v>
      </x:c>
      <x:c r="E579" s="80" t="str">
        <x:v>Ferrari Testarossa</x:v>
      </x:c>
      <x:c r="F579" s="82" t="str">
        <x:v>Color FX Paintworks</x:v>
      </x:c>
      <x:c r="G579" s="80" t="str"/>
      <x:c r="H579" s="80" t="str"/>
      <x:c r="I579" s="83" t="str">
        <x:v>11388</x:v>
      </x:c>
      <x:c r="J579" s="80" t="str">
        <x:v>Red &amp; Yellow</x:v>
      </x:c>
      <x:c r="K579" s="82" t="str">
        <x:v>None</x:v>
      </x:c>
      <x:c r="L579" s="82" t="str">
        <x:v>BW</x:v>
      </x:c>
      <x:c r="M579" s="82" t="str">
        <x:v>Red / / / Metal</x:v>
      </x:c>
      <x:c r="N579" s="82" t="str">
        <x:v>Clear</x:v>
      </x:c>
      <x:c r="O579" s="82" t="str">
        <x:v>Black &amp; Red</x:v>
      </x:c>
      <x:c r="P579" s="82" t="str">
        <x:v>Malaysia</x:v>
      </x:c>
      <x:c r="Q579" s="82" t="str"/>
      <x:c r="R579" s="82" t="str">
        <x:v>Outra linha</x:v>
      </x:c>
      <x:c r="S579" s="82" t="str">
        <x:v>Rara</x:v>
      </x:c>
      <x:c r="T579" s="82" t="str">
        <x:v>Lançado</x:v>
      </x:c>
      <x:c r="U579" s="82" t="str">
        <x:v>2nd Variation?</x:v>
      </x:c>
      <x:c r="V579" s="80" t="str">
        <x:v>Coleção principal (~1:64)</x:v>
      </x:c>
      <x:c r="W579" s="82" t="str">
        <x:v>https://hotwheels.fandom.com/wiki/Ferrari_Testarossa_(1987)</x:v>
      </x:c>
      <x:c r="X579" s="82" t="str">
        <x:v>https://hotwheels.fandom.com/wiki/Ferrari_Testarossa_(1987)</x:v>
      </x:c>
    </x:row>
    <x:row r="580">
      <x:c r="A580" s="80" t="str">
        <x:v>Não</x:v>
      </x:c>
      <x:c r="B580" s="80" t="str">
        <x:v>2 — Completar aos poucos</x:v>
      </x:c>
      <x:c r="C580" s="81" t="n">
        <x:v>1993</x:v>
      </x:c>
      <x:c r="D580" s="80" t="str">
        <x:v>Ferrari Testarossa (1987)</x:v>
      </x:c>
      <x:c r="E580" s="80" t="str">
        <x:v>Ferrari Testarossa</x:v>
      </x:c>
      <x:c r="F580" s="82" t="str">
        <x:v>Criss Cross Crash</x:v>
      </x:c>
      <x:c r="G580" s="80" t="str"/>
      <x:c r="H580" s="80" t="str"/>
      <x:c r="I580" s="83" t="str">
        <x:v>7996</x:v>
      </x:c>
      <x:c r="J580" s="80" t="str">
        <x:v>Flourescent Green</x:v>
      </x:c>
      <x:c r="K580" s="82" t="str">
        <x:v>Yellow &amp; Black "Ferrari" logo &amp; name on hood</x:v>
      </x:c>
      <x:c r="L580" s="82" t="str">
        <x:v>UH</x:v>
      </x:c>
      <x:c r="M580" s="82" t="str">
        <x:v>Unpainted / / / Metal</x:v>
      </x:c>
      <x:c r="N580" s="82" t="str">
        <x:v>Clear</x:v>
      </x:c>
      <x:c r="O580" s="82" t="str">
        <x:v>Black &amp; Lime</x:v>
      </x:c>
      <x:c r="P580" s="82" t="str">
        <x:v>Malaysia</x:v>
      </x:c>
      <x:c r="Q580" s="82" t="str"/>
      <x:c r="R580" s="82" t="str">
        <x:v>Outra linha</x:v>
      </x:c>
      <x:c r="S580" s="82" t="str">
        <x:v>Rara</x:v>
      </x:c>
      <x:c r="T580" s="82" t="str">
        <x:v>Lançado</x:v>
      </x:c>
      <x:c r="U580" s="82" t="str"/>
      <x:c r="V580" s="80" t="str">
        <x:v>Coleção principal (~1:64)</x:v>
      </x:c>
      <x:c r="W580" s="82" t="str">
        <x:v>https://hotwheels.fandom.com/wiki/Ferrari_Testarossa_(1987)</x:v>
      </x:c>
      <x:c r="X580" s="82" t="str">
        <x:v>https://hotwheels.fandom.com/wiki/Ferrari_Testarossa_(1987)</x:v>
      </x:c>
    </x:row>
    <x:row r="581">
      <x:c r="A581" s="80" t="str">
        <x:v>Não</x:v>
      </x:c>
      <x:c r="B581" s="80" t="str">
        <x:v>2 — Completar aos poucos</x:v>
      </x:c>
      <x:c r="C581" s="81" t="n">
        <x:v>1993</x:v>
      </x:c>
      <x:c r="D581" s="80" t="str">
        <x:v>Ferrari Testarossa (1987)</x:v>
      </x:c>
      <x:c r="E581" s="80" t="str">
        <x:v>Ferrari Testarossa</x:v>
      </x:c>
      <x:c r="F581" s="82" t="str">
        <x:v>Revealers</x:v>
      </x:c>
      <x:c r="G581" s="80" t="str"/>
      <x:c r="H581" s="80" t="str"/>
      <x:c r="I581" s="83" t="str">
        <x:v>1897</x:v>
      </x:c>
      <x:c r="J581" s="80" t="str">
        <x:v>Flourescent Green</x:v>
      </x:c>
      <x:c r="K581" s="82" t="str">
        <x:v>Black, white &amp; Blue guitar on top, black &amp; blue stripes on hood and sides</x:v>
      </x:c>
      <x:c r="L581" s="82" t="str">
        <x:v>UH</x:v>
      </x:c>
      <x:c r="M581" s="82" t="str">
        <x:v>Unpainted / / / Metal</x:v>
      </x:c>
      <x:c r="N581" s="82" t="str">
        <x:v>Clear</x:v>
      </x:c>
      <x:c r="O581" s="82" t="str">
        <x:v>Black &amp; Green</x:v>
      </x:c>
      <x:c r="P581" s="82" t="str">
        <x:v>Malaysia</x:v>
      </x:c>
      <x:c r="Q581" s="82" t="str"/>
      <x:c r="R581" s="82" t="str">
        <x:v>Outra linha</x:v>
      </x:c>
      <x:c r="S581" s="82" t="str">
        <x:v>Rara</x:v>
      </x:c>
      <x:c r="T581" s="82" t="str">
        <x:v>Lançado</x:v>
      </x:c>
      <x:c r="U581" s="82" t="str">
        <x:v>Base with variation, small logo, capital letters</x:v>
      </x:c>
      <x:c r="V581" s="80" t="str">
        <x:v>Coleção principal (~1:64)</x:v>
      </x:c>
      <x:c r="W581" s="82" t="str">
        <x:v>https://hotwheels.fandom.com/wiki/Ferrari_Testarossa_(1987)</x:v>
      </x:c>
      <x:c r="X581" s="82" t="str">
        <x:v>https://hotwheels.fandom.com/wiki/Ferrari_Testarossa_(1987)</x:v>
      </x:c>
    </x:row>
    <x:row r="582">
      <x:c r="A582" s="80" t="str">
        <x:v>Não</x:v>
      </x:c>
      <x:c r="B582" s="80" t="str">
        <x:v>2 — Completar aos poucos</x:v>
      </x:c>
      <x:c r="C582" s="81" t="n">
        <x:v>1993</x:v>
      </x:c>
      <x:c r="D582" s="80" t="str">
        <x:v>Ferrari Testarossa (1987)</x:v>
      </x:c>
      <x:c r="E582" s="80" t="str">
        <x:v>Ferrari Testarossa</x:v>
      </x:c>
      <x:c r="F582" s="82" t="str">
        <x:v>Revealers</x:v>
      </x:c>
      <x:c r="G582" s="80" t="str"/>
      <x:c r="H582" s="80" t="str"/>
      <x:c r="I582" s="83" t="str">
        <x:v>1897</x:v>
      </x:c>
      <x:c r="J582" s="80" t="str">
        <x:v>Flourescent Orange</x:v>
      </x:c>
      <x:c r="K582" s="82" t="str">
        <x:v>Black, white &amp; Blue guitar on top, black lines on hood, black and blue lines on sides</x:v>
      </x:c>
      <x:c r="L582" s="82" t="str">
        <x:v>Pink UH</x:v>
      </x:c>
      <x:c r="M582" s="82" t="str">
        <x:v>Unpainted / / / Metal</x:v>
      </x:c>
      <x:c r="N582" s="82" t="str">
        <x:v>Clear</x:v>
      </x:c>
      <x:c r="O582" s="82" t="str">
        <x:v>Black &amp; Orange</x:v>
      </x:c>
      <x:c r="P582" s="82" t="str">
        <x:v>Malaysia</x:v>
      </x:c>
      <x:c r="Q582" s="82" t="str"/>
      <x:c r="R582" s="82" t="str">
        <x:v>Outra linha</x:v>
      </x:c>
      <x:c r="S582" s="82" t="str">
        <x:v>Rara</x:v>
      </x:c>
      <x:c r="T582" s="82" t="str">
        <x:v>Lançado</x:v>
      </x:c>
      <x:c r="U582" s="82" t="str">
        <x:v>Base variants 3 known small logo, big logo , lowercase letters</x:v>
      </x:c>
      <x:c r="V582" s="80" t="str">
        <x:v>Coleção principal (~1:64)</x:v>
      </x:c>
      <x:c r="W582" s="82" t="str">
        <x:v>https://hotwheels.fandom.com/wiki/Ferrari_Testarossa_(1987)</x:v>
      </x:c>
      <x:c r="X582" s="82" t="str">
        <x:v>https://hotwheels.fandom.com/wiki/Ferrari_Testarossa_(1987)</x:v>
      </x:c>
    </x:row>
    <x:row r="583">
      <x:c r="A583" s="80" t="str">
        <x:v>Não</x:v>
      </x:c>
      <x:c r="B583" s="80" t="str">
        <x:v>2 — Completar aos poucos</x:v>
      </x:c>
      <x:c r="C583" s="81" t="n">
        <x:v>1993</x:v>
      </x:c>
      <x:c r="D583" s="80" t="str">
        <x:v>Ferrari Testarossa (1987)</x:v>
      </x:c>
      <x:c r="E583" s="80" t="str">
        <x:v>Ferrari Testarossa</x:v>
      </x:c>
      <x:c r="F583" s="82" t="str">
        <x:v>Revealers</x:v>
      </x:c>
      <x:c r="G583" s="80" t="str"/>
      <x:c r="H583" s="80" t="str"/>
      <x:c r="I583" s="83" t="str">
        <x:v>1897</x:v>
      </x:c>
      <x:c r="J583" s="80" t="str">
        <x:v>Flourescent Pink</x:v>
      </x:c>
      <x:c r="K583" s="82" t="str">
        <x:v>Black, Silver &amp; Blue guitar on top</x:v>
      </x:c>
      <x:c r="L583" s="82" t="str">
        <x:v>Orange UH</x:v>
      </x:c>
      <x:c r="M583" s="82" t="str">
        <x:v>Unpainted / / / Metal</x:v>
      </x:c>
      <x:c r="N583" s="82" t="str">
        <x:v>Clear</x:v>
      </x:c>
      <x:c r="O583" s="82" t="str">
        <x:v>Black &amp; Pink</x:v>
      </x:c>
      <x:c r="P583" s="82" t="str">
        <x:v>Malaysia</x:v>
      </x:c>
      <x:c r="Q583" s="82" t="str"/>
      <x:c r="R583" s="82" t="str">
        <x:v>Outra linha</x:v>
      </x:c>
      <x:c r="S583" s="82" t="str">
        <x:v>Rara</x:v>
      </x:c>
      <x:c r="T583" s="82" t="str">
        <x:v>Lançado</x:v>
      </x:c>
      <x:c r="U583" s="82" t="str">
        <x:v>3 variants on base Small Logo</x:v>
      </x:c>
      <x:c r="V583" s="80" t="str">
        <x:v>Coleção principal (~1:64)</x:v>
      </x:c>
      <x:c r="W583" s="82" t="str">
        <x:v>https://hotwheels.fandom.com/wiki/Ferrari_Testarossa_(1987)</x:v>
      </x:c>
      <x:c r="X583" s="82" t="str">
        <x:v>https://hotwheels.fandom.com/wiki/Ferrari_Testarossa_(1987)</x:v>
      </x:c>
    </x:row>
    <x:row r="584">
      <x:c r="A584" s="80" t="str">
        <x:v>Não</x:v>
      </x:c>
      <x:c r="B584" s="80" t="str">
        <x:v>2 — Completar aos poucos</x:v>
      </x:c>
      <x:c r="C584" s="81" t="n">
        <x:v>1993</x:v>
      </x:c>
      <x:c r="D584" s="80" t="str">
        <x:v>Ferrari Testarossa (1987)</x:v>
      </x:c>
      <x:c r="E584" s="80" t="str">
        <x:v>Ferrari Testarossa</x:v>
      </x:c>
      <x:c r="F584" s="82" t="str">
        <x:v>Revealers Blue Token Prize 10 car set</x:v>
      </x:c>
      <x:c r="G584" s="80" t="str"/>
      <x:c r="H584" s="80" t="str"/>
      <x:c r="I584" s="83" t="str">
        <x:v>10493</x:v>
      </x:c>
      <x:c r="J584" s="80" t="str">
        <x:v>Metalflake Purple</x:v>
      </x:c>
      <x:c r="K584" s="82" t="str">
        <x:v>Orange, Black &amp; White Horse head on hood, w/ "Revealers" on windshield</x:v>
      </x:c>
      <x:c r="L584" s="82" t="str">
        <x:v>UH</x:v>
      </x:c>
      <x:c r="M584" s="82" t="str">
        <x:v>Unpainted / / / Metal</x:v>
      </x:c>
      <x:c r="N584" s="82" t="str">
        <x:v>Clear</x:v>
      </x:c>
      <x:c r="O584" s="82" t="str">
        <x:v>Yellow &amp; Purple</x:v>
      </x:c>
      <x:c r="P584" s="82" t="str">
        <x:v>Malaysia</x:v>
      </x:c>
      <x:c r="Q584" s="82" t="str"/>
      <x:c r="R584" s="82" t="str">
        <x:v>Outra linha</x:v>
      </x:c>
      <x:c r="S584" s="82" t="str">
        <x:v>Rara</x:v>
      </x:c>
      <x:c r="T584" s="82" t="str">
        <x:v>Lançado</x:v>
      </x:c>
      <x:c r="U584" s="82" t="str"/>
      <x:c r="V584" s="80" t="str">
        <x:v>Coleção principal (~1:64)</x:v>
      </x:c>
      <x:c r="W584" s="82" t="str">
        <x:v>https://hotwheels.fandom.com/wiki/Ferrari_Testarossa_(1987)</x:v>
      </x:c>
      <x:c r="X584" s="82" t="str">
        <x:v>https://hotwheels.fandom.com/wiki/Ferrari_Testarossa_(1987)</x:v>
      </x:c>
    </x:row>
    <x:row r="585">
      <x:c r="A585" s="80" t="str">
        <x:v>Não</x:v>
      </x:c>
      <x:c r="B585" s="80" t="str">
        <x:v>2 — Completar aos poucos</x:v>
      </x:c>
      <x:c r="C585" s="81" t="n">
        <x:v>1993</x:v>
      </x:c>
      <x:c r="D585" s="80" t="str">
        <x:v>Racebait 308</x:v>
      </x:c>
      <x:c r="E585" s="80" t="str">
        <x:v>Racebait 308</x:v>
      </x:c>
      <x:c r="F585" s="82" t="str">
        <x:v>Sto &amp; Go Gas Station</x:v>
      </x:c>
      <x:c r="G585" s="80" t="str"/>
      <x:c r="H585" s="80" t="str"/>
      <x:c r="I585" s="83" t="str">
        <x:v>65605</x:v>
      </x:c>
      <x:c r="J585" s="80" t="str">
        <x:v>Metallic green</x:v>
      </x:c>
      <x:c r="K585" s="82" t="str">
        <x:v>No tampo</x:v>
      </x:c>
      <x:c r="L585" s="82" t="str">
        <x:v>BW</x:v>
      </x:c>
      <x:c r="M585" s="82" t="str">
        <x:v>Black / / / Metal</x:v>
      </x:c>
      <x:c r="N585" s="82" t="str">
        <x:v>Smoke tint</x:v>
      </x:c>
      <x:c r="O585" s="82" t="str">
        <x:v>Black</x:v>
      </x:c>
      <x:c r="P585" s="82" t="str">
        <x:v>China</x:v>
      </x:c>
      <x:c r="Q585" s="82" t="str"/>
      <x:c r="R585" s="82" t="str">
        <x:v>Outra linha</x:v>
      </x:c>
      <x:c r="S585" s="82" t="str">
        <x:v>Rara</x:v>
      </x:c>
      <x:c r="T585" s="82" t="str">
        <x:v>Lançado</x:v>
      </x:c>
      <x:c r="U585" s="82" t="str"/>
      <x:c r="V585" s="80" t="str">
        <x:v>Coleção principal (~1:64)</x:v>
      </x:c>
      <x:c r="W585" s="82" t="str">
        <x:v>https://hotwheels.fandom.com/wiki/Racebait_308</x:v>
      </x:c>
      <x:c r="X585" s="82" t="str">
        <x:v>https://hotwheels.fandom.com/wiki/Racebait_308</x:v>
      </x:c>
    </x:row>
    <x:row r="586">
      <x:c r="A586" s="80" t="str">
        <x:v>Não</x:v>
      </x:c>
      <x:c r="B586" s="80" t="str">
        <x:v>2 — Completar aos poucos</x:v>
      </x:c>
      <x:c r="C586" s="81" t="n">
        <x:v>1993</x:v>
      </x:c>
      <x:c r="D586" s="80" t="str">
        <x:v>Racebait 308</x:v>
      </x:c>
      <x:c r="E586" s="80" t="str">
        <x:v>Racebait 308</x:v>
      </x:c>
      <x:c r="F586" s="82" t="str">
        <x:v>Tattoo Machines</x:v>
      </x:c>
      <x:c r="G586" s="80" t="str"/>
      <x:c r="H586" s="80" t="str"/>
      <x:c r="I586" s="83" t="str">
        <x:v>3494</x:v>
      </x:c>
      <x:c r="J586" s="80" t="str">
        <x:v>Blue</x:v>
      </x:c>
      <x:c r="K586" s="82" t="str">
        <x:v>White, Red, Yellow, "Hot Wheels" logos</x:v>
      </x:c>
      <x:c r="L586" s="82" t="str">
        <x:v>BW</x:v>
      </x:c>
      <x:c r="M586" s="82" t="str">
        <x:v>Black / / / Metal</x:v>
      </x:c>
      <x:c r="N586" s="82" t="str">
        <x:v>Smoke tint</x:v>
      </x:c>
      <x:c r="O586" s="82" t="str">
        <x:v>Black</x:v>
      </x:c>
      <x:c r="P586" s="82" t="str">
        <x:v>Malaysia or China</x:v>
      </x:c>
      <x:c r="Q586" s="82" t="str"/>
      <x:c r="R586" s="82" t="str">
        <x:v>Outra linha</x:v>
      </x:c>
      <x:c r="S586" s="82" t="str">
        <x:v>Rara</x:v>
      </x:c>
      <x:c r="T586" s="82" t="str">
        <x:v>Lançado</x:v>
      </x:c>
      <x:c r="U586" s="82" t="str">
        <x:v>Named Hot Wheels</x:v>
      </x:c>
      <x:c r="V586" s="80" t="str">
        <x:v>Coleção principal (~1:64)</x:v>
      </x:c>
      <x:c r="W586" s="82" t="str">
        <x:v>https://hotwheels.fandom.com/wiki/Racebait_308</x:v>
      </x:c>
      <x:c r="X586" s="82" t="str">
        <x:v>https://hotwheels.fandom.com/wiki/Racebait_308</x:v>
      </x:c>
    </x:row>
    <x:row r="587">
      <x:c r="A587" s="80" t="str">
        <x:v>Não</x:v>
      </x:c>
      <x:c r="B587" s="80" t="str">
        <x:v>2 — Completar aos poucos</x:v>
      </x:c>
      <x:c r="C587" s="81" t="n">
        <x:v>1992</x:v>
      </x:c>
      <x:c r="D587" s="80" t="str">
        <x:v>Ferrari 348</x:v>
      </x:c>
      <x:c r="E587" s="80" t="str">
        <x:v>Ferrari 348</x:v>
      </x:c>
      <x:c r="F587" s="82" t="str">
        <x:v>Mainline</x:v>
      </x:c>
      <x:c r="G587" s="80" t="str"/>
      <x:c r="H587" s="80" t="str">
        <x:v>175</x:v>
      </x:c>
      <x:c r="I587" s="83" t="str">
        <x:v>0459</x:v>
      </x:c>
      <x:c r="J587" s="80" t="str">
        <x:v>White</x:v>
      </x:c>
      <x:c r="K587" s="82" t="str">
        <x:v>Purple, Pink, Red "Ferrari 348" on hood</x:v>
      </x:c>
      <x:c r="L587" s="82" t="str">
        <x:v>UH</x:v>
      </x:c>
      <x:c r="M587" s="82" t="str">
        <x:v>Black / / / Plastic</x:v>
      </x:c>
      <x:c r="N587" s="82" t="str">
        <x:v>Clear</x:v>
      </x:c>
      <x:c r="O587" s="82" t="str">
        <x:v>Red &amp; White</x:v>
      </x:c>
      <x:c r="P587" s="82" t="str">
        <x:v>Malaysia</x:v>
      </x:c>
      <x:c r="Q587" s="82" t="str"/>
      <x:c r="R587" s="82" t="str">
        <x:v>Mainline</x:v>
      </x:c>
      <x:c r="S587" s="82" t="str">
        <x:v>Rara</x:v>
      </x:c>
      <x:c r="T587" s="82" t="str">
        <x:v>Lançado</x:v>
      </x:c>
      <x:c r="U587" s="82" t="str"/>
      <x:c r="V587" s="80" t="str">
        <x:v>Coleção principal (~1:64)</x:v>
      </x:c>
      <x:c r="W587" s="82" t="str">
        <x:v>https://hotwheels.fandom.com/wiki/Ferrari_348</x:v>
      </x:c>
      <x:c r="X587" s="82" t="str">
        <x:v>https://hotwheels.fandom.com/wiki/Ferrari_348</x:v>
      </x:c>
    </x:row>
    <x:row r="588">
      <x:c r="A588" s="80" t="str">
        <x:v>Não</x:v>
      </x:c>
      <x:c r="B588" s="80" t="str">
        <x:v>2 — Completar aos poucos</x:v>
      </x:c>
      <x:c r="C588" s="81" t="n">
        <x:v>1992</x:v>
      </x:c>
      <x:c r="D588" s="80" t="str">
        <x:v>Ferrari 348</x:v>
      </x:c>
      <x:c r="E588" s="80" t="str">
        <x:v>Ferrari 348</x:v>
      </x:c>
      <x:c r="F588" s="82" t="str">
        <x:v>Mainline</x:v>
      </x:c>
      <x:c r="G588" s="80" t="str"/>
      <x:c r="H588" s="80" t="str">
        <x:v>175</x:v>
      </x:c>
      <x:c r="I588" s="83" t="str">
        <x:v>0459</x:v>
      </x:c>
      <x:c r="J588" s="80" t="str">
        <x:v>White</x:v>
      </x:c>
      <x:c r="K588" s="82" t="str">
        <x:v>Purple, Pink, Red "Ferrari 348" on hood</x:v>
      </x:c>
      <x:c r="L588" s="82" t="str">
        <x:v>HOC</x:v>
      </x:c>
      <x:c r="M588" s="82" t="str">
        <x:v>Black / / / Plastic</x:v>
      </x:c>
      <x:c r="N588" s="82" t="str">
        <x:v>Clear</x:v>
      </x:c>
      <x:c r="O588" s="82" t="str">
        <x:v>Red &amp; White</x:v>
      </x:c>
      <x:c r="P588" s="82" t="str">
        <x:v>Malaysia</x:v>
      </x:c>
      <x:c r="Q588" s="82" t="str"/>
      <x:c r="R588" s="82" t="str">
        <x:v>Mainline</x:v>
      </x:c>
      <x:c r="S588" s="82" t="str">
        <x:v>Rara</x:v>
      </x:c>
      <x:c r="T588" s="82" t="str">
        <x:v>Lançado</x:v>
      </x:c>
      <x:c r="U588" s="82" t="str"/>
      <x:c r="V588" s="80" t="str">
        <x:v>Coleção principal (~1:64)</x:v>
      </x:c>
      <x:c r="W588" s="82" t="str">
        <x:v>https://hotwheels.fandom.com/wiki/Ferrari_348</x:v>
      </x:c>
      <x:c r="X588" s="82" t="str">
        <x:v>https://hotwheels.fandom.com/wiki/Ferrari_348</x:v>
      </x:c>
    </x:row>
    <x:row r="589">
      <x:c r="A589" s="80" t="str">
        <x:v>Não</x:v>
      </x:c>
      <x:c r="B589" s="80" t="str">
        <x:v>2 — Completar aos poucos</x:v>
      </x:c>
      <x:c r="C589" s="81" t="n">
        <x:v>1992</x:v>
      </x:c>
      <x:c r="D589" s="80" t="str">
        <x:v>Ferrari F40</x:v>
      </x:c>
      <x:c r="E589" s="80" t="str">
        <x:v>Ferrari F40</x:v>
      </x:c>
      <x:c r="F589" s="82" t="str">
        <x:v>Racing Team 5-Pack</x:v>
      </x:c>
      <x:c r="G589" s="80" t="str"/>
      <x:c r="H589" s="80" t="str"/>
      <x:c r="I589" s="83" t="str">
        <x:v>1631</x:v>
      </x:c>
      <x:c r="J589" s="80" t="str">
        <x:v>Red</x:v>
      </x:c>
      <x:c r="K589" s="82" t="str">
        <x:v>Yellow "40" "Ferrari"</x:v>
      </x:c>
      <x:c r="L589" s="82" t="str">
        <x:v>UH</x:v>
      </x:c>
      <x:c r="M589" s="82" t="str">
        <x:v>ZAMAC</x:v>
      </x:c>
      <x:c r="N589" s="82" t="str">
        <x:v>Clear</x:v>
      </x:c>
      <x:c r="O589" s="82" t="str">
        <x:v>Tan</x:v>
      </x:c>
      <x:c r="P589" s="82" t="str">
        <x:v>Malaysia</x:v>
      </x:c>
      <x:c r="Q589" s="82" t="str"/>
      <x:c r="R589" s="82" t="str">
        <x:v>Temática / multipack</x:v>
      </x:c>
      <x:c r="S589" s="82" t="str">
        <x:v>Rara</x:v>
      </x:c>
      <x:c r="T589" s="82" t="str">
        <x:v>Lançado</x:v>
      </x:c>
      <x:c r="U589" s="82" t="str"/>
      <x:c r="V589" s="80" t="str">
        <x:v>Coleção principal (~1:64)</x:v>
      </x:c>
      <x:c r="W589" s="82" t="str">
        <x:v>https://hotwheels.fandom.com/wiki/Ferrari_F40</x:v>
      </x:c>
      <x:c r="X589" s="82" t="str">
        <x:v>https://hotwheels.fandom.com/wiki/Ferrari_F40</x:v>
      </x:c>
    </x:row>
    <x:row r="590">
      <x:c r="A590" s="80" t="str">
        <x:v>Não</x:v>
      </x:c>
      <x:c r="B590" s="80" t="str">
        <x:v>2 — Completar aos poucos</x:v>
      </x:c>
      <x:c r="C590" s="81" t="n">
        <x:v>1992</x:v>
      </x:c>
      <x:c r="D590" s="80" t="str">
        <x:v>Ferrari Testarossa (1987)</x:v>
      </x:c>
      <x:c r="E590" s="80" t="str">
        <x:v>Ferrari Testarossa</x:v>
      </x:c>
      <x:c r="F590" s="82" t="str">
        <x:v>Super Sportscars 5-Pack</x:v>
      </x:c>
      <x:c r="G590" s="80" t="str"/>
      <x:c r="H590" s="80" t="str"/>
      <x:c r="I590" s="83" t="str">
        <x:v>1634</x:v>
      </x:c>
      <x:c r="J590" s="80" t="str">
        <x:v>Red</x:v>
      </x:c>
      <x:c r="K590" s="82" t="str">
        <x:v>Yellow "Ferrari" logo &amp; name on hood</x:v>
      </x:c>
      <x:c r="L590" s="82" t="str">
        <x:v>UH</x:v>
      </x:c>
      <x:c r="M590" s="82" t="str">
        <x:v>Red / / / Metal</x:v>
      </x:c>
      <x:c r="N590" s="82" t="str">
        <x:v>Clear</x:v>
      </x:c>
      <x:c r="O590" s="82" t="str">
        <x:v>Tan</x:v>
      </x:c>
      <x:c r="P590" s="82" t="str">
        <x:v>Malaysia</x:v>
      </x:c>
      <x:c r="Q590" s="82" t="str"/>
      <x:c r="R590" s="82" t="str">
        <x:v>Temática / multipack</x:v>
      </x:c>
      <x:c r="S590" s="82" t="str">
        <x:v>Rara</x:v>
      </x:c>
      <x:c r="T590" s="82" t="str">
        <x:v>Lançado</x:v>
      </x:c>
      <x:c r="U590" s="82" t="str"/>
      <x:c r="V590" s="80" t="str">
        <x:v>Coleção principal (~1:64)</x:v>
      </x:c>
      <x:c r="W590" s="82" t="str">
        <x:v>https://hotwheels.fandom.com/wiki/Ferrari_Testarossa_(1987)</x:v>
      </x:c>
      <x:c r="X590" s="82" t="str">
        <x:v>https://hotwheels.fandom.com/wiki/Ferrari_Testarossa_(1987)</x:v>
      </x:c>
    </x:row>
    <x:row r="591">
      <x:c r="A591" s="80" t="str">
        <x:v>Não</x:v>
      </x:c>
      <x:c r="B591" s="80" t="str">
        <x:v>2 — Completar aos poucos</x:v>
      </x:c>
      <x:c r="C591" s="81" t="n">
        <x:v>1991</x:v>
      </x:c>
      <x:c r="D591" s="80" t="str">
        <x:v>Ferrari 250</x:v>
      </x:c>
      <x:c r="E591" s="80" t="str">
        <x:v>Ferrari 250</x:v>
      </x:c>
      <x:c r="F591" s="82" t="str">
        <x:v>Mainline</x:v>
      </x:c>
      <x:c r="G591" s="80" t="str"/>
      <x:c r="H591" s="80" t="str">
        <x:v>117</x:v>
      </x:c>
      <x:c r="I591" s="83" t="str">
        <x:v>5665</x:v>
      </x:c>
      <x:c r="J591" s="80" t="str">
        <x:v>Yellow</x:v>
      </x:c>
      <x:c r="K591" s="82" t="str">
        <x:v>Red "Ferrari", Black "7"</x:v>
      </x:c>
      <x:c r="L591" s="82" t="str">
        <x:v>BW</x:v>
      </x:c>
      <x:c r="M591" s="82" t="str">
        <x:v>Chrome / / / Plastic</x:v>
      </x:c>
      <x:c r="N591" s="82" t="str">
        <x:v>Clear</x:v>
      </x:c>
      <x:c r="O591" s="82" t="str">
        <x:v>Black</x:v>
      </x:c>
      <x:c r="P591" s="82" t="str">
        <x:v>Malaysia</x:v>
      </x:c>
      <x:c r="Q591" s="82" t="str"/>
      <x:c r="R591" s="82" t="str">
        <x:v>Mainline</x:v>
      </x:c>
      <x:c r="S591" s="82" t="str">
        <x:v>Rara</x:v>
      </x:c>
      <x:c r="T591" s="82" t="str">
        <x:v>Lançado</x:v>
      </x:c>
      <x:c r="U591" s="82" t="str">
        <x:v>Named Classic Ferrari / Chrome pipes</x:v>
      </x:c>
      <x:c r="V591" s="80" t="str">
        <x:v>Coleção principal (~1:64)</x:v>
      </x:c>
      <x:c r="W591" s="82" t="str">
        <x:v>https://hotwheels.fandom.com/wiki/Ferrari_250</x:v>
      </x:c>
      <x:c r="X591" s="82" t="str">
        <x:v>https://hotwheels.fandom.com/wiki/Ferrari_250</x:v>
      </x:c>
    </x:row>
    <x:row r="592">
      <x:c r="A592" s="80" t="str">
        <x:v>Não</x:v>
      </x:c>
      <x:c r="B592" s="80" t="str">
        <x:v>2 — Completar aos poucos</x:v>
      </x:c>
      <x:c r="C592" s="81" t="n">
        <x:v>1991</x:v>
      </x:c>
      <x:c r="D592" s="80" t="str">
        <x:v>Ferrari 348</x:v>
      </x:c>
      <x:c r="E592" s="80" t="str">
        <x:v>Ferrari 348</x:v>
      </x:c>
      <x:c r="F592" s="82" t="str">
        <x:v>Mainline</x:v>
      </x:c>
      <x:c r="G592" s="80" t="str"/>
      <x:c r="H592" s="80" t="str">
        <x:v>118</x:v>
      </x:c>
      <x:c r="I592" s="83" t="str">
        <x:v>5666</x:v>
      </x:c>
      <x:c r="J592" s="80" t="str">
        <x:v>Yellow</x:v>
      </x:c>
      <x:c r="K592" s="82" t="str">
        <x:v>Blue, White, Red "Ferrari 348" on hood</x:v>
      </x:c>
      <x:c r="L592" s="82" t="str">
        <x:v>UH</x:v>
      </x:c>
      <x:c r="M592" s="82" t="str">
        <x:v>Black / / / Plastic</x:v>
      </x:c>
      <x:c r="N592" s="82" t="str">
        <x:v>Clear</x:v>
      </x:c>
      <x:c r="O592" s="82" t="str">
        <x:v>Black &amp; Yellow</x:v>
      </x:c>
      <x:c r="P592" s="82" t="str">
        <x:v>Malaysia</x:v>
      </x:c>
      <x:c r="Q592" s="82" t="str"/>
      <x:c r="R592" s="82" t="str">
        <x:v>Mainline</x:v>
      </x:c>
      <x:c r="S592" s="82" t="str">
        <x:v>Rara</x:v>
      </x:c>
      <x:c r="T592" s="82" t="str">
        <x:v>Lançado</x:v>
      </x:c>
      <x:c r="U592" s="82" t="str"/>
      <x:c r="V592" s="80" t="str">
        <x:v>Coleção principal (~1:64)</x:v>
      </x:c>
      <x:c r="W592" s="82" t="str">
        <x:v>https://hotwheels.fandom.com/wiki/Ferrari_348</x:v>
      </x:c>
      <x:c r="X592" s="82" t="str">
        <x:v>https://hotwheels.fandom.com/wiki/Ferrari_348</x:v>
      </x:c>
    </x:row>
    <x:row r="593">
      <x:c r="A593" s="80" t="str">
        <x:v>Não</x:v>
      </x:c>
      <x:c r="B593" s="80" t="str">
        <x:v>2 — Completar aos poucos</x:v>
      </x:c>
      <x:c r="C593" s="81" t="n">
        <x:v>1991</x:v>
      </x:c>
      <x:c r="D593" s="80" t="str">
        <x:v>Ferrari 348</x:v>
      </x:c>
      <x:c r="E593" s="80" t="str">
        <x:v>Ferrari 348</x:v>
      </x:c>
      <x:c r="F593" s="82" t="str">
        <x:v>Mainline</x:v>
      </x:c>
      <x:c r="G593" s="80" t="str"/>
      <x:c r="H593" s="80" t="str">
        <x:v>118</x:v>
      </x:c>
      <x:c r="I593" s="83" t="str">
        <x:v>5666</x:v>
      </x:c>
      <x:c r="J593" s="80" t="str">
        <x:v>Yellow</x:v>
      </x:c>
      <x:c r="K593" s="82" t="str">
        <x:v>Blue, White, Red "Ferrari 348" on hood</x:v>
      </x:c>
      <x:c r="L593" s="82" t="str">
        <x:v>HO</x:v>
      </x:c>
      <x:c r="M593" s="82" t="str">
        <x:v>Black / / / Plastic</x:v>
      </x:c>
      <x:c r="N593" s="82" t="str">
        <x:v>Clear</x:v>
      </x:c>
      <x:c r="O593" s="82" t="str">
        <x:v>Black &amp; Yellow</x:v>
      </x:c>
      <x:c r="P593" s="82" t="str">
        <x:v>Malaysia</x:v>
      </x:c>
      <x:c r="Q593" s="82" t="str"/>
      <x:c r="R593" s="82" t="str">
        <x:v>Mainline</x:v>
      </x:c>
      <x:c r="S593" s="82" t="str">
        <x:v>Rara</x:v>
      </x:c>
      <x:c r="T593" s="82" t="str">
        <x:v>Lançado</x:v>
      </x:c>
      <x:c r="U593" s="82" t="str"/>
      <x:c r="V593" s="80" t="str">
        <x:v>Coleção principal (~1:64)</x:v>
      </x:c>
      <x:c r="W593" s="82" t="str">
        <x:v>https://hotwheels.fandom.com/wiki/Ferrari_348</x:v>
      </x:c>
      <x:c r="X593" s="82" t="str">
        <x:v>https://hotwheels.fandom.com/wiki/Ferrari_348</x:v>
      </x:c>
    </x:row>
    <x:row r="594">
      <x:c r="A594" s="80" t="str">
        <x:v>Não</x:v>
      </x:c>
      <x:c r="B594" s="80" t="str">
        <x:v>2 — Completar aos poucos</x:v>
      </x:c>
      <x:c r="C594" s="81" t="n">
        <x:v>1991</x:v>
      </x:c>
      <x:c r="D594" s="80" t="str">
        <x:v>Ferrari 348</x:v>
      </x:c>
      <x:c r="E594" s="80" t="str">
        <x:v>Ferrari 348</x:v>
      </x:c>
      <x:c r="F594" s="82" t="str">
        <x:v>Mainline</x:v>
      </x:c>
      <x:c r="G594" s="80" t="str"/>
      <x:c r="H594" s="80" t="str">
        <x:v>118</x:v>
      </x:c>
      <x:c r="I594" s="83" t="str">
        <x:v>5666</x:v>
      </x:c>
      <x:c r="J594" s="80" t="str">
        <x:v>Yellow</x:v>
      </x:c>
      <x:c r="K594" s="82" t="str">
        <x:v>Blue, White, Red "Ferrari 348" on hood</x:v>
      </x:c>
      <x:c r="L594" s="82" t="str">
        <x:v>Gold UH</x:v>
      </x:c>
      <x:c r="M594" s="82" t="str">
        <x:v>Black / / / Plastic</x:v>
      </x:c>
      <x:c r="N594" s="82" t="str">
        <x:v>Clear</x:v>
      </x:c>
      <x:c r="O594" s="82" t="str">
        <x:v>Black &amp; Yellow</x:v>
      </x:c>
      <x:c r="P594" s="82" t="str">
        <x:v>Malaysia</x:v>
      </x:c>
      <x:c r="Q594" s="82" t="str"/>
      <x:c r="R594" s="82" t="str">
        <x:v>Mainline</x:v>
      </x:c>
      <x:c r="S594" s="82" t="str">
        <x:v>Rara</x:v>
      </x:c>
      <x:c r="T594" s="82" t="str">
        <x:v>Lançado</x:v>
      </x:c>
      <x:c r="U594" s="82" t="str"/>
      <x:c r="V594" s="80" t="str">
        <x:v>Coleção principal (~1:64)</x:v>
      </x:c>
      <x:c r="W594" s="82" t="str">
        <x:v>https://hotwheels.fandom.com/wiki/Ferrari_348</x:v>
      </x:c>
      <x:c r="X594" s="82" t="str">
        <x:v>https://hotwheels.fandom.com/wiki/Ferrari_348</x:v>
      </x:c>
    </x:row>
    <x:row r="595">
      <x:c r="A595" s="80" t="str">
        <x:v>Não</x:v>
      </x:c>
      <x:c r="B595" s="80" t="str">
        <x:v>2 — Completar aos poucos</x:v>
      </x:c>
      <x:c r="C595" s="81" t="n">
        <x:v>1991</x:v>
      </x:c>
      <x:c r="D595" s="80" t="str">
        <x:v>Ferrari Testarossa (1987)</x:v>
      </x:c>
      <x:c r="E595" s="80" t="str">
        <x:v>Ferrari Testarossa</x:v>
      </x:c>
      <x:c r="F595" s="82" t="str">
        <x:v>California Customs</x:v>
      </x:c>
      <x:c r="G595" s="80" t="str"/>
      <x:c r="H595" s="80" t="str"/>
      <x:c r="I595" s="83" t="str">
        <x:v>1302</x:v>
      </x:c>
      <x:c r="J595" s="80" t="str">
        <x:v>Bright Pink</x:v>
      </x:c>
      <x:c r="K595" s="82" t="str">
        <x:v>Blue &amp; Yellow "Ferrari" &amp; "3"</x:v>
      </x:c>
      <x:c r="L595" s="82" t="str">
        <x:v>Yellow RR</x:v>
      </x:c>
      <x:c r="M595" s="82" t="str">
        <x:v>Unpainted / / / Metal</x:v>
      </x:c>
      <x:c r="N595" s="82" t="str">
        <x:v>Clear</x:v>
      </x:c>
      <x:c r="O595" s="82" t="str">
        <x:v>Yellow &amp; Red</x:v>
      </x:c>
      <x:c r="P595" s="82" t="str">
        <x:v>Malaysia</x:v>
      </x:c>
      <x:c r="Q595" s="82" t="str"/>
      <x:c r="R595" s="82" t="str">
        <x:v>Outra linha</x:v>
      </x:c>
      <x:c r="S595" s="82" t="str">
        <x:v>Rara</x:v>
      </x:c>
      <x:c r="T595" s="82" t="str">
        <x:v>Lançado</x:v>
      </x:c>
      <x:c r="U595" s="82" t="str"/>
      <x:c r="V595" s="80" t="str">
        <x:v>Coleção principal (~1:64)</x:v>
      </x:c>
      <x:c r="W595" s="82" t="str">
        <x:v>https://hotwheels.fandom.com/wiki/Ferrari_Testarossa_(1987)</x:v>
      </x:c>
      <x:c r="X595" s="82" t="str">
        <x:v>https://hotwheels.fandom.com/wiki/Ferrari_Testarossa_(1987)</x:v>
      </x:c>
    </x:row>
    <x:row r="596">
      <x:c r="A596" s="80" t="str">
        <x:v>Não</x:v>
      </x:c>
      <x:c r="B596" s="80" t="str">
        <x:v>2 — Completar aos poucos</x:v>
      </x:c>
      <x:c r="C596" s="81" t="n">
        <x:v>1991</x:v>
      </x:c>
      <x:c r="D596" s="80" t="str">
        <x:v>Ferrari Testarossa (1987)</x:v>
      </x:c>
      <x:c r="E596" s="80" t="str">
        <x:v>Ferrari Testarossa</x:v>
      </x:c>
      <x:c r="F596" s="82" t="str">
        <x:v>California Customs</x:v>
      </x:c>
      <x:c r="G596" s="80" t="str"/>
      <x:c r="H596" s="80" t="str"/>
      <x:c r="I596" s="83" t="str">
        <x:v>1302</x:v>
      </x:c>
      <x:c r="J596" s="80" t="str">
        <x:v>Bright Pink</x:v>
      </x:c>
      <x:c r="K596" s="82" t="str">
        <x:v>Blue &amp; Yellow "Ferrari" &amp; "3"</x:v>
      </x:c>
      <x:c r="L596" s="82" t="str">
        <x:v>TW</x:v>
      </x:c>
      <x:c r="M596" s="82" t="str">
        <x:v>Unpainted / / / Metal</x:v>
      </x:c>
      <x:c r="N596" s="82" t="str">
        <x:v>Clear</x:v>
      </x:c>
      <x:c r="O596" s="82" t="str">
        <x:v>Yellow &amp; Red</x:v>
      </x:c>
      <x:c r="P596" s="82" t="str">
        <x:v>Malaysia</x:v>
      </x:c>
      <x:c r="Q596" s="82" t="str"/>
      <x:c r="R596" s="82" t="str">
        <x:v>Outra linha</x:v>
      </x:c>
      <x:c r="S596" s="82" t="str">
        <x:v>Rara</x:v>
      </x:c>
      <x:c r="T596" s="82" t="str">
        <x:v>Lançado</x:v>
      </x:c>
      <x:c r="U596" s="82" t="str"/>
      <x:c r="V596" s="80" t="str">
        <x:v>Coleção principal (~1:64)</x:v>
      </x:c>
      <x:c r="W596" s="82" t="str">
        <x:v>https://hotwheels.fandom.com/wiki/Ferrari_Testarossa_(1987)</x:v>
      </x:c>
      <x:c r="X596" s="82" t="str">
        <x:v>https://hotwheels.fandom.com/wiki/Ferrari_Testarossa_(1987)</x:v>
      </x:c>
    </x:row>
    <x:row r="597">
      <x:c r="A597" s="80" t="str">
        <x:v>Não</x:v>
      </x:c>
      <x:c r="B597" s="80" t="str">
        <x:v>2 — Completar aos poucos</x:v>
      </x:c>
      <x:c r="C597" s="81" t="n">
        <x:v>1991</x:v>
      </x:c>
      <x:c r="D597" s="80" t="str">
        <x:v>Ferrari Testarossa (1987)</x:v>
      </x:c>
      <x:c r="E597" s="80" t="str">
        <x:v>Ferrari Testarossa</x:v>
      </x:c>
      <x:c r="F597" s="82" t="str">
        <x:v>California Customs</x:v>
      </x:c>
      <x:c r="G597" s="80" t="str"/>
      <x:c r="H597" s="80" t="str"/>
      <x:c r="I597" s="83" t="str">
        <x:v>1302</x:v>
      </x:c>
      <x:c r="J597" s="80" t="str">
        <x:v>Bright Pink</x:v>
      </x:c>
      <x:c r="K597" s="82" t="str">
        <x:v>Pink &amp; Yellow "Ferrari" &amp; "3"</x:v>
      </x:c>
      <x:c r="L597" s="82" t="str">
        <x:v>Yellow RR</x:v>
      </x:c>
      <x:c r="M597" s="82" t="str">
        <x:v>Unpainted / / / Metal</x:v>
      </x:c>
      <x:c r="N597" s="82" t="str">
        <x:v>Clear</x:v>
      </x:c>
      <x:c r="O597" s="82" t="str">
        <x:v>Red &amp; Yellow</x:v>
      </x:c>
      <x:c r="P597" s="82" t="str">
        <x:v>Malaysia</x:v>
      </x:c>
      <x:c r="Q597" s="82" t="str"/>
      <x:c r="R597" s="82" t="str">
        <x:v>Outra linha</x:v>
      </x:c>
      <x:c r="S597" s="82" t="str">
        <x:v>Rara</x:v>
      </x:c>
      <x:c r="T597" s="82" t="str">
        <x:v>Lançado</x:v>
      </x:c>
      <x:c r="U597" s="82" t="str">
        <x:v>Very hard to find</x:v>
      </x:c>
      <x:c r="V597" s="80" t="str">
        <x:v>Coleção principal (~1:64)</x:v>
      </x:c>
      <x:c r="W597" s="82" t="str">
        <x:v>https://hotwheels.fandom.com/wiki/Ferrari_Testarossa_(1987)</x:v>
      </x:c>
      <x:c r="X597" s="82" t="str">
        <x:v>https://hotwheels.fandom.com/wiki/Ferrari_Testarossa_(1987)</x:v>
      </x:c>
    </x:row>
    <x:row r="598">
      <x:c r="A598" s="80" t="str">
        <x:v>Não</x:v>
      </x:c>
      <x:c r="B598" s="80" t="str">
        <x:v>2 — Completar aos poucos</x:v>
      </x:c>
      <x:c r="C598" s="81" t="n">
        <x:v>1991</x:v>
      </x:c>
      <x:c r="D598" s="80" t="str">
        <x:v>Ferrari Testarossa (1987)</x:v>
      </x:c>
      <x:c r="E598" s="80" t="str">
        <x:v>Ferrari Testarossa</x:v>
      </x:c>
      <x:c r="F598" s="82" t="str">
        <x:v>California Customs</x:v>
      </x:c>
      <x:c r="G598" s="80" t="str"/>
      <x:c r="H598" s="80" t="str"/>
      <x:c r="I598" s="83" t="str">
        <x:v>1302</x:v>
      </x:c>
      <x:c r="J598" s="80" t="str">
        <x:v>Bright Pink</x:v>
      </x:c>
      <x:c r="K598" s="82" t="str">
        <x:v>Blue &amp; Yellow "Ferrari" &amp; "3"</x:v>
      </x:c>
      <x:c r="L598" s="82" t="str">
        <x:v>Yellow RR</x:v>
      </x:c>
      <x:c r="M598" s="82" t="str">
        <x:v>Unpainted / / / Metal</x:v>
      </x:c>
      <x:c r="N598" s="82" t="str">
        <x:v>Clear</x:v>
      </x:c>
      <x:c r="O598" s="82" t="str">
        <x:v>Blue &amp; Yellow</x:v>
      </x:c>
      <x:c r="P598" s="82" t="str">
        <x:v>Malaysia</x:v>
      </x:c>
      <x:c r="Q598" s="82" t="str"/>
      <x:c r="R598" s="82" t="str">
        <x:v>Outra linha</x:v>
      </x:c>
      <x:c r="S598" s="82" t="str">
        <x:v>Rara</x:v>
      </x:c>
      <x:c r="T598" s="82" t="str">
        <x:v>Lançado</x:v>
      </x:c>
      <x:c r="U598" s="82" t="str">
        <x:v>"California Customs" on Window</x:v>
      </x:c>
      <x:c r="V598" s="80" t="str">
        <x:v>Coleção principal (~1:64)</x:v>
      </x:c>
      <x:c r="W598" s="82" t="str">
        <x:v>https://hotwheels.fandom.com/wiki/Ferrari_Testarossa_(1987)</x:v>
      </x:c>
      <x:c r="X598" s="82" t="str">
        <x:v>https://hotwheels.fandom.com/wiki/Ferrari_Testarossa_(1987)</x:v>
      </x:c>
    </x:row>
    <x:row r="599">
      <x:c r="A599" s="80" t="str">
        <x:v>Não</x:v>
      </x:c>
      <x:c r="B599" s="80" t="str">
        <x:v>2 — Completar aos poucos</x:v>
      </x:c>
      <x:c r="C599" s="81" t="n">
        <x:v>1991</x:v>
      </x:c>
      <x:c r="D599" s="80" t="str">
        <x:v>Ferrari Testarossa (1987)</x:v>
      </x:c>
      <x:c r="E599" s="80" t="str">
        <x:v>Ferrari Testarossa</x:v>
      </x:c>
      <x:c r="F599" s="82" t="str">
        <x:v>California Customs</x:v>
      </x:c>
      <x:c r="G599" s="80" t="str"/>
      <x:c r="H599" s="80" t="str"/>
      <x:c r="I599" s="83" t="str">
        <x:v>1302</x:v>
      </x:c>
      <x:c r="J599" s="80" t="str">
        <x:v>Bright Pink</x:v>
      </x:c>
      <x:c r="K599" s="82" t="str">
        <x:v>Blue &amp; Yellow "Ferrari" &amp; "3"</x:v>
      </x:c>
      <x:c r="L599" s="82" t="str">
        <x:v>TW</x:v>
      </x:c>
      <x:c r="M599" s="82" t="str">
        <x:v>Unpainted / / / Metal</x:v>
      </x:c>
      <x:c r="N599" s="82" t="str">
        <x:v>Clear</x:v>
      </x:c>
      <x:c r="O599" s="82" t="str">
        <x:v>Red &amp; Yellow</x:v>
      </x:c>
      <x:c r="P599" s="82" t="str">
        <x:v>Malaysia</x:v>
      </x:c>
      <x:c r="Q599" s="82" t="str"/>
      <x:c r="R599" s="82" t="str">
        <x:v>Outra linha</x:v>
      </x:c>
      <x:c r="S599" s="82" t="str">
        <x:v>Rara</x:v>
      </x:c>
      <x:c r="T599" s="82" t="str">
        <x:v>Lançado</x:v>
      </x:c>
      <x:c r="U599" s="82" t="str"/>
      <x:c r="V599" s="80" t="str">
        <x:v>Coleção principal (~1:64)</x:v>
      </x:c>
      <x:c r="W599" s="82" t="str">
        <x:v>https://hotwheels.fandom.com/wiki/Ferrari_Testarossa_(1987)</x:v>
      </x:c>
      <x:c r="X599" s="82" t="str">
        <x:v>https://hotwheels.fandom.com/wiki/Ferrari_Testarossa_(1987)</x:v>
      </x:c>
    </x:row>
    <x:row r="600">
      <x:c r="A600" s="80" t="str">
        <x:v>Não</x:v>
      </x:c>
      <x:c r="B600" s="80" t="str">
        <x:v>2 — Completar aos poucos</x:v>
      </x:c>
      <x:c r="C600" s="81" t="n">
        <x:v>1991</x:v>
      </x:c>
      <x:c r="D600" s="80" t="str">
        <x:v>Ferrari Testarossa (1987)</x:v>
      </x:c>
      <x:c r="E600" s="80" t="str">
        <x:v>Ferrari Testarossa</x:v>
      </x:c>
      <x:c r="F600" s="82" t="str">
        <x:v>International</x:v>
      </x:c>
      <x:c r="G600" s="80" t="str"/>
      <x:c r="H600" s="80" t="str"/>
      <x:c r="I600" s="83" t="str">
        <x:v>5111</x:v>
      </x:c>
      <x:c r="J600" s="80" t="str">
        <x:v>Metalflake Black</x:v>
      </x:c>
      <x:c r="K600" s="82" t="str">
        <x:v>Yellow &amp; Black "Ferrari" logo &amp; name on hood</x:v>
      </x:c>
      <x:c r="L600" s="82" t="str">
        <x:v>Silver UH</x:v>
      </x:c>
      <x:c r="M600" s="82" t="str">
        <x:v>Metalflake Black / / / Metal</x:v>
      </x:c>
      <x:c r="N600" s="82" t="str">
        <x:v>Clear</x:v>
      </x:c>
      <x:c r="O600" s="82" t="str">
        <x:v>Tan &amp; Black</x:v>
      </x:c>
      <x:c r="P600" s="82" t="str">
        <x:v>Malaysia</x:v>
      </x:c>
      <x:c r="Q600" s="82" t="str"/>
      <x:c r="R600" s="82" t="str">
        <x:v>Outra linha</x:v>
      </x:c>
      <x:c r="S600" s="82" t="str">
        <x:v>Rara</x:v>
      </x:c>
      <x:c r="T600" s="82" t="str">
        <x:v>Lançado</x:v>
      </x:c>
      <x:c r="U600" s="82" t="str">
        <x:v>Canada only</x:v>
      </x:c>
      <x:c r="V600" s="80" t="str">
        <x:v>Coleção principal (~1:64)</x:v>
      </x:c>
      <x:c r="W600" s="82" t="str">
        <x:v>https://hotwheels.fandom.com/wiki/Ferrari_Testarossa_(1987)</x:v>
      </x:c>
      <x:c r="X600" s="82" t="str">
        <x:v>https://hotwheels.fandom.com/wiki/Ferrari_Testarossa_(1987)</x:v>
      </x:c>
    </x:row>
    <x:row r="601">
      <x:c r="A601" s="80" t="str">
        <x:v>Não</x:v>
      </x:c>
      <x:c r="B601" s="80" t="str">
        <x:v>2 — Completar aos poucos</x:v>
      </x:c>
      <x:c r="C601" s="81" t="n">
        <x:v>1991</x:v>
      </x:c>
      <x:c r="D601" s="80" t="str">
        <x:v>Ferrari Testarossa (1987)</x:v>
      </x:c>
      <x:c r="E601" s="80" t="str">
        <x:v>Ferrari Testarossa</x:v>
      </x:c>
      <x:c r="F601" s="82" t="str">
        <x:v>International</x:v>
      </x:c>
      <x:c r="G601" s="80" t="str"/>
      <x:c r="H601" s="80" t="str"/>
      <x:c r="I601" s="83" t="str">
        <x:v>3835</x:v>
      </x:c>
      <x:c r="J601" s="80" t="str">
        <x:v>White</x:v>
      </x:c>
      <x:c r="K601" s="82" t="str">
        <x:v>None</x:v>
      </x:c>
      <x:c r="L601" s="82" t="str">
        <x:v>UH</x:v>
      </x:c>
      <x:c r="M601" s="82" t="str">
        <x:v>Painted White Metal</x:v>
      </x:c>
      <x:c r="N601" s="82" t="str">
        <x:v>Clear</x:v>
      </x:c>
      <x:c r="O601" s="82" t="str">
        <x:v>Tan</x:v>
      </x:c>
      <x:c r="P601" s="82" t="str">
        <x:v>Malaysia</x:v>
      </x:c>
      <x:c r="Q601" s="82" t="str"/>
      <x:c r="R601" s="82" t="str">
        <x:v>Outra linha</x:v>
      </x:c>
      <x:c r="S601" s="82" t="str">
        <x:v>Rara</x:v>
      </x:c>
      <x:c r="T601" s="82" t="str">
        <x:v>Lançado</x:v>
      </x:c>
      <x:c r="U601" s="82" t="str"/>
      <x:c r="V601" s="80" t="str">
        <x:v>Coleção principal (~1:64)</x:v>
      </x:c>
      <x:c r="W601" s="82" t="str">
        <x:v>https://hotwheels.fandom.com/wiki/Ferrari_Testarossa_(1987)</x:v>
      </x:c>
      <x:c r="X601" s="82" t="str">
        <x:v>https://hotwheels.fandom.com/wiki/Ferrari_Testarossa_(1987)</x:v>
      </x:c>
    </x:row>
    <x:row r="602">
      <x:c r="A602" s="80" t="str">
        <x:v>Não</x:v>
      </x:c>
      <x:c r="B602" s="80" t="str">
        <x:v>2 — Completar aos poucos</x:v>
      </x:c>
      <x:c r="C602" s="81" t="n">
        <x:v>1991</x:v>
      </x:c>
      <x:c r="D602" s="80" t="str">
        <x:v>Ferrari Testarossa (1987)</x:v>
      </x:c>
      <x:c r="E602" s="80" t="str">
        <x:v>Ferrari Testarossa</x:v>
      </x:c>
      <x:c r="F602" s="82" t="str">
        <x:v>Jumpbusters Set</x:v>
      </x:c>
      <x:c r="G602" s="80" t="str"/>
      <x:c r="H602" s="80" t="str"/>
      <x:c r="I602" s="83" t="str">
        <x:v>7493</x:v>
      </x:c>
      <x:c r="J602" s="80" t="str">
        <x:v>Yellow</x:v>
      </x:c>
      <x:c r="K602" s="82" t="str">
        <x:v>Purple, Orange &amp; Light Green confetti</x:v>
      </x:c>
      <x:c r="L602" s="82" t="str">
        <x:v>UH</x:v>
      </x:c>
      <x:c r="M602" s="82" t="str">
        <x:v>Yellow / / / Metal</x:v>
      </x:c>
      <x:c r="N602" s="82" t="str">
        <x:v>Clear</x:v>
      </x:c>
      <x:c r="O602" s="82" t="str">
        <x:v>Black &amp; Yellow</x:v>
      </x:c>
      <x:c r="P602" s="82" t="str">
        <x:v>Malaysia</x:v>
      </x:c>
      <x:c r="Q602" s="82" t="str"/>
      <x:c r="R602" s="82" t="str">
        <x:v>Outra linha</x:v>
      </x:c>
      <x:c r="S602" s="82" t="str">
        <x:v>Rara</x:v>
      </x:c>
      <x:c r="T602" s="82" t="str">
        <x:v>Lançado</x:v>
      </x:c>
      <x:c r="U602" s="82" t="str"/>
      <x:c r="V602" s="80" t="str">
        <x:v>Coleção principal (~1:64)</x:v>
      </x:c>
      <x:c r="W602" s="82" t="str">
        <x:v>https://hotwheels.fandom.com/wiki/Ferrari_Testarossa_(1987)</x:v>
      </x:c>
      <x:c r="X602" s="82" t="str">
        <x:v>https://hotwheels.fandom.com/wiki/Ferrari_Testarossa_(1987)</x:v>
      </x:c>
    </x:row>
    <x:row r="603">
      <x:c r="A603" s="80" t="str">
        <x:v>Não</x:v>
      </x:c>
      <x:c r="B603" s="80" t="str">
        <x:v>2 — Completar aos poucos</x:v>
      </x:c>
      <x:c r="C603" s="81" t="n">
        <x:v>1991</x:v>
      </x:c>
      <x:c r="D603" s="80" t="str">
        <x:v>Ferrari Testarossa (1987)</x:v>
      </x:c>
      <x:c r="E603" s="80" t="str">
        <x:v>Ferrari Testarossa</x:v>
      </x:c>
      <x:c r="F603" s="82" t="str">
        <x:v>Mainline</x:v>
      </x:c>
      <x:c r="G603" s="80" t="str"/>
      <x:c r="H603" s="80" t="str">
        <x:v>35</x:v>
      </x:c>
      <x:c r="I603" s="83" t="str">
        <x:v>5111</x:v>
      </x:c>
      <x:c r="J603" s="80" t="str">
        <x:v>Red</x:v>
      </x:c>
      <x:c r="K603" s="82" t="str">
        <x:v>Yellow "Ferrari" logo &amp; name on hood</x:v>
      </x:c>
      <x:c r="L603" s="82" t="str">
        <x:v>UH</x:v>
      </x:c>
      <x:c r="M603" s="82" t="str">
        <x:v>Red / / / Metal</x:v>
      </x:c>
      <x:c r="N603" s="82" t="str">
        <x:v>Clear</x:v>
      </x:c>
      <x:c r="O603" s="82" t="str">
        <x:v>Black w/ Red inserts</x:v>
      </x:c>
      <x:c r="P603" s="82" t="str">
        <x:v>Malaysia</x:v>
      </x:c>
      <x:c r="Q603" s="82" t="str"/>
      <x:c r="R603" s="82" t="str">
        <x:v>Mainline</x:v>
      </x:c>
      <x:c r="S603" s="82" t="str">
        <x:v>Rara</x:v>
      </x:c>
      <x:c r="T603" s="82" t="str">
        <x:v>Lançado</x:v>
      </x:c>
      <x:c r="U603" s="82" t="str">
        <x:v>Same as 1990 release</x:v>
      </x:c>
      <x:c r="V603" s="80" t="str">
        <x:v>Coleção principal (~1:64)</x:v>
      </x:c>
      <x:c r="W603" s="82" t="str">
        <x:v>https://hotwheels.fandom.com/wiki/Ferrari_Testarossa_(1987)</x:v>
      </x:c>
      <x:c r="X603" s="82" t="str">
        <x:v>https://hotwheels.fandom.com/wiki/Ferrari_Testarossa_(1987)</x:v>
      </x:c>
    </x:row>
    <x:row r="604">
      <x:c r="A604" s="80" t="str">
        <x:v>Não</x:v>
      </x:c>
      <x:c r="B604" s="80" t="str">
        <x:v>2 — Completar aos poucos</x:v>
      </x:c>
      <x:c r="C604" s="81" t="n">
        <x:v>1990</x:v>
      </x:c>
      <x:c r="D604" s="80" t="str">
        <x:v>Ferrari 328 GTB</x:v>
      </x:c>
      <x:c r="E604" s="80" t="str">
        <x:v>Ferrari 328 GTB</x:v>
      </x:c>
      <x:c r="F604" s="82" t="str">
        <x:v>Power Command Racers</x:v>
      </x:c>
      <x:c r="G604" s="80" t="str"/>
      <x:c r="H604" s="80" t="str"/>
      <x:c r="I604" s="83" t="str">
        <x:v>4178</x:v>
      </x:c>
      <x:c r="J604" s="80" t="str">
        <x:v>Red</x:v>
      </x:c>
      <x:c r="K604" s="82" t="str">
        <x:v>Big Yellow Ferrari on hood and sides</x:v>
      </x:c>
      <x:c r="L604" s="82" t="str">
        <x:v>PCW</x:v>
      </x:c>
      <x:c r="M604" s="82" t="str">
        <x:v>Unpainted / / / Metal</x:v>
      </x:c>
      <x:c r="N604" s="82" t="str">
        <x:v>Solid Black</x:v>
      </x:c>
      <x:c r="O604" s="82" t="str">
        <x:v>None</x:v>
      </x:c>
      <x:c r="P604" s="82" t="str">
        <x:v>Malaysia</x:v>
      </x:c>
      <x:c r="Q604" s="82" t="str"/>
      <x:c r="R604" s="82" t="str">
        <x:v>Outra linha</x:v>
      </x:c>
      <x:c r="S604" s="82" t="str">
        <x:v>Rara</x:v>
      </x:c>
      <x:c r="T604" s="82" t="str">
        <x:v>Lançado</x:v>
      </x:c>
      <x:c r="U604" s="82" t="str"/>
      <x:c r="V604" s="80" t="str">
        <x:v>Coleção principal (~1:64)</x:v>
      </x:c>
      <x:c r="W604" s="82" t="str">
        <x:v>https://hotwheels.fandom.com/wiki/Ferrari_328_GTB</x:v>
      </x:c>
      <x:c r="X604" s="82" t="str">
        <x:v>https://hotwheels.fandom.com/wiki/Ferrari_328_GTB</x:v>
      </x:c>
    </x:row>
    <x:row r="605">
      <x:c r="A605" s="80" t="str">
        <x:v>Não</x:v>
      </x:c>
      <x:c r="B605" s="80" t="str">
        <x:v>2 — Completar aos poucos</x:v>
      </x:c>
      <x:c r="C605" s="81" t="n">
        <x:v>1990</x:v>
      </x:c>
      <x:c r="D605" s="80" t="str">
        <x:v>Ferrari 328 GTB</x:v>
      </x:c>
      <x:c r="E605" s="80" t="str">
        <x:v>Ferrari 328 GTB</x:v>
      </x:c>
      <x:c r="F605" s="82" t="str">
        <x:v>Power Command Racers</x:v>
      </x:c>
      <x:c r="G605" s="80" t="str"/>
      <x:c r="H605" s="80" t="str"/>
      <x:c r="I605" s="83" t="str">
        <x:v>4173</x:v>
      </x:c>
      <x:c r="J605" s="80" t="str">
        <x:v>Yellow</x:v>
      </x:c>
      <x:c r="K605" s="82" t="str">
        <x:v>Big Black Ferrari on sides and Big black horse on hood</x:v>
      </x:c>
      <x:c r="L605" s="82" t="str">
        <x:v>PCW</x:v>
      </x:c>
      <x:c r="M605" s="82" t="str">
        <x:v>Unpainted / / / Metal</x:v>
      </x:c>
      <x:c r="N605" s="82" t="str">
        <x:v>Solid Black</x:v>
      </x:c>
      <x:c r="O605" s="82" t="str">
        <x:v>None</x:v>
      </x:c>
      <x:c r="P605" s="82" t="str">
        <x:v>Malaysia</x:v>
      </x:c>
      <x:c r="Q605" s="82" t="str"/>
      <x:c r="R605" s="82" t="str">
        <x:v>Outra linha</x:v>
      </x:c>
      <x:c r="S605" s="82" t="str">
        <x:v>Rara</x:v>
      </x:c>
      <x:c r="T605" s="82" t="str">
        <x:v>Lançado</x:v>
      </x:c>
      <x:c r="U605" s="82" t="str"/>
      <x:c r="V605" s="80" t="str">
        <x:v>Coleção principal (~1:64)</x:v>
      </x:c>
      <x:c r="W605" s="82" t="str">
        <x:v>https://hotwheels.fandom.com/wiki/Ferrari_328_GTB</x:v>
      </x:c>
      <x:c r="X605" s="82" t="str">
        <x:v>https://hotwheels.fandom.com/wiki/Ferrari_328_GTB</x:v>
      </x:c>
    </x:row>
    <x:row r="606">
      <x:c r="A606" s="80" t="str">
        <x:v>Não</x:v>
      </x:c>
      <x:c r="B606" s="80" t="str">
        <x:v>2 — Completar aos poucos</x:v>
      </x:c>
      <x:c r="C606" s="81" t="n">
        <x:v>1990</x:v>
      </x:c>
      <x:c r="D606" s="80" t="str">
        <x:v>Ferrari 328 GTB</x:v>
      </x:c>
      <x:c r="E606" s="80" t="str">
        <x:v>Ferrari 328 GTB</x:v>
      </x:c>
      <x:c r="F606" s="82" t="str">
        <x:v>Power Command Racers / (Leo)</x:v>
      </x:c>
      <x:c r="G606" s="80" t="str"/>
      <x:c r="H606" s="80" t="str"/>
      <x:c r="I606" s="83" t="str">
        <x:v>3168</x:v>
      </x:c>
      <x:c r="J606" s="80" t="str">
        <x:v>Blue</x:v>
      </x:c>
      <x:c r="K606" s="82" t="str">
        <x:v>Yellow &amp; black Ferrari logo on hood</x:v>
      </x:c>
      <x:c r="L606" s="82" t="str">
        <x:v>PCW</x:v>
      </x:c>
      <x:c r="M606" s="82" t="str">
        <x:v>Chrome / / / Metal</x:v>
      </x:c>
      <x:c r="N606" s="82" t="str">
        <x:v>Black opaque</x:v>
      </x:c>
      <x:c r="O606" s="82" t="str">
        <x:v>N.A.</x:v>
      </x:c>
      <x:c r="P606" s="82" t="str">
        <x:v>India</x:v>
      </x:c>
      <x:c r="Q606" s="82" t="str"/>
      <x:c r="R606" s="82" t="str">
        <x:v>Outra linha</x:v>
      </x:c>
      <x:c r="S606" s="82" t="str">
        <x:v>Rara</x:v>
      </x:c>
      <x:c r="T606" s="82" t="str">
        <x:v>Lançado</x:v>
      </x:c>
      <x:c r="U606" s="82" t="str"/>
      <x:c r="V606" s="80" t="str">
        <x:v>Coleção principal (~1:64)</x:v>
      </x:c>
      <x:c r="W606" s="82" t="str">
        <x:v>https://hotwheels.fandom.com/wiki/Ferrari_328_GTB</x:v>
      </x:c>
      <x:c r="X606" s="82" t="str">
        <x:v>https://hotwheels.fandom.com/wiki/Ferrari_328_GTB</x:v>
      </x:c>
    </x:row>
    <x:row r="607">
      <x:c r="A607" s="80" t="str">
        <x:v>Não</x:v>
      </x:c>
      <x:c r="B607" s="80" t="str">
        <x:v>2 — Completar aos poucos</x:v>
      </x:c>
      <x:c r="C607" s="81" t="n">
        <x:v>1990</x:v>
      </x:c>
      <x:c r="D607" s="80" t="str">
        <x:v>Ferrari 328 GTB</x:v>
      </x:c>
      <x:c r="E607" s="80" t="str">
        <x:v>Ferrari 328 GTB</x:v>
      </x:c>
      <x:c r="F607" s="82" t="str">
        <x:v>Power Command Racers / (Leo)</x:v>
      </x:c>
      <x:c r="G607" s="80" t="str"/>
      <x:c r="H607" s="80" t="str"/>
      <x:c r="I607" s="83" t="str">
        <x:v>3168</x:v>
      </x:c>
      <x:c r="J607" s="80" t="str">
        <x:v>Orange</x:v>
      </x:c>
      <x:c r="K607" s="82" t="str">
        <x:v>White &amp; black Ferrari logo on hood</x:v>
      </x:c>
      <x:c r="L607" s="82" t="str">
        <x:v>PCW</x:v>
      </x:c>
      <x:c r="M607" s="82" t="str">
        <x:v>Chrome / / / Metal</x:v>
      </x:c>
      <x:c r="N607" s="82" t="str">
        <x:v>Black opaque</x:v>
      </x:c>
      <x:c r="O607" s="82" t="str">
        <x:v>N.A.</x:v>
      </x:c>
      <x:c r="P607" s="82" t="str">
        <x:v>India</x:v>
      </x:c>
      <x:c r="Q607" s="82" t="str"/>
      <x:c r="R607" s="82" t="str">
        <x:v>Outra linha</x:v>
      </x:c>
      <x:c r="S607" s="82" t="str">
        <x:v>Rara</x:v>
      </x:c>
      <x:c r="T607" s="82" t="str">
        <x:v>Lançado</x:v>
      </x:c>
      <x:c r="U607" s="82" t="str"/>
      <x:c r="V607" s="80" t="str">
        <x:v>Coleção principal (~1:64)</x:v>
      </x:c>
      <x:c r="W607" s="82" t="str">
        <x:v>https://hotwheels.fandom.com/wiki/Ferrari_328_GTB</x:v>
      </x:c>
      <x:c r="X607" s="82" t="str">
        <x:v>https://hotwheels.fandom.com/wiki/Ferrari_328_GTB</x:v>
      </x:c>
    </x:row>
    <x:row r="608">
      <x:c r="A608" s="80" t="str">
        <x:v>Não</x:v>
      </x:c>
      <x:c r="B608" s="80" t="str">
        <x:v>2 — Completar aos poucos</x:v>
      </x:c>
      <x:c r="C608" s="81" t="n">
        <x:v>1990</x:v>
      </x:c>
      <x:c r="D608" s="80" t="str">
        <x:v>Ferrari F40</x:v>
      </x:c>
      <x:c r="E608" s="80" t="str">
        <x:v>Ferrari F40</x:v>
      </x:c>
      <x:c r="F608" s="82" t="str">
        <x:v>Mainline</x:v>
      </x:c>
      <x:c r="G608" s="80" t="str"/>
      <x:c r="H608" s="80" t="str">
        <x:v>69</x:v>
      </x:c>
      <x:c r="I608" s="83" t="str">
        <x:v>1468</x:v>
      </x:c>
      <x:c r="J608" s="80" t="str">
        <x:v>Red</x:v>
      </x:c>
      <x:c r="K608" s="82" t="str">
        <x:v>Yellow "40" "Ferrari"</x:v>
      </x:c>
      <x:c r="L608" s="82" t="str">
        <x:v>UH</x:v>
      </x:c>
      <x:c r="M608" s="82" t="str">
        <x:v>ZAMAC</x:v>
      </x:c>
      <x:c r="N608" s="82" t="str">
        <x:v>Clear</x:v>
      </x:c>
      <x:c r="O608" s="82" t="str">
        <x:v>Tan</x:v>
      </x:c>
      <x:c r="P608" s="82" t="str">
        <x:v>Malaysia</x:v>
      </x:c>
      <x:c r="Q608" s="82" t="str"/>
      <x:c r="R608" s="82" t="str">
        <x:v>Mainline</x:v>
      </x:c>
      <x:c r="S608" s="82" t="str">
        <x:v>Rara</x:v>
      </x:c>
      <x:c r="T608" s="82" t="str">
        <x:v>Lançado</x:v>
      </x:c>
      <x:c r="U608" s="82" t="str"/>
      <x:c r="V608" s="80" t="str">
        <x:v>Coleção principal (~1:64)</x:v>
      </x:c>
      <x:c r="W608" s="82" t="str">
        <x:v>https://hotwheels.fandom.com/wiki/Ferrari_F40</x:v>
      </x:c>
      <x:c r="X608" s="82" t="str">
        <x:v>https://hotwheels.fandom.com/wiki/Ferrari_F40</x:v>
      </x:c>
    </x:row>
    <x:row r="609">
      <x:c r="A609" s="80" t="str">
        <x:v>Não</x:v>
      </x:c>
      <x:c r="B609" s="80" t="str">
        <x:v>2 — Completar aos poucos</x:v>
      </x:c>
      <x:c r="C609" s="81" t="n">
        <x:v>1990</x:v>
      </x:c>
      <x:c r="D609" s="80" t="str">
        <x:v>Ferrari Testarossa (1987)</x:v>
      </x:c>
      <x:c r="E609" s="80" t="str">
        <x:v>Ferrari Testarossa</x:v>
      </x:c>
      <x:c r="F609" s="82" t="str">
        <x:v>California Customs</x:v>
      </x:c>
      <x:c r="G609" s="80" t="str"/>
      <x:c r="H609" s="80" t="str"/>
      <x:c r="I609" s="83" t="str">
        <x:v>1302</x:v>
      </x:c>
      <x:c r="J609" s="80" t="str">
        <x:v>Chrome Pink</x:v>
      </x:c>
      <x:c r="K609" s="82" t="str">
        <x:v>Pink &amp; Yellow "Ferrari" &amp; "3"</x:v>
      </x:c>
      <x:c r="L609" s="82" t="str">
        <x:v>Yellow RR</x:v>
      </x:c>
      <x:c r="M609" s="82" t="str">
        <x:v>Unpainted / / / Metal</x:v>
      </x:c>
      <x:c r="N609" s="82" t="str">
        <x:v>Clear</x:v>
      </x:c>
      <x:c r="O609" s="82" t="str">
        <x:v>Red &amp; Blue</x:v>
      </x:c>
      <x:c r="P609" s="82" t="str">
        <x:v>Malaysia</x:v>
      </x:c>
      <x:c r="Q609" s="82" t="str"/>
      <x:c r="R609" s="82" t="str">
        <x:v>Outra linha</x:v>
      </x:c>
      <x:c r="S609" s="82" t="str">
        <x:v>Rara</x:v>
      </x:c>
      <x:c r="T609" s="82" t="str">
        <x:v>Lançado</x:v>
      </x:c>
      <x:c r="U609" s="82" t="str"/>
      <x:c r="V609" s="80" t="str">
        <x:v>Coleção principal (~1:64)</x:v>
      </x:c>
      <x:c r="W609" s="82" t="str">
        <x:v>https://hotwheels.fandom.com/wiki/Ferrari_Testarossa_(1987)</x:v>
      </x:c>
      <x:c r="X609" s="82" t="str">
        <x:v>https://hotwheels.fandom.com/wiki/Ferrari_Testarossa_(1987)</x:v>
      </x:c>
    </x:row>
    <x:row r="610">
      <x:c r="A610" s="80" t="str">
        <x:v>Não</x:v>
      </x:c>
      <x:c r="B610" s="80" t="str">
        <x:v>2 — Completar aos poucos</x:v>
      </x:c>
      <x:c r="C610" s="81" t="n">
        <x:v>1990</x:v>
      </x:c>
      <x:c r="D610" s="80" t="str">
        <x:v>Ferrari Testarossa (1987)</x:v>
      </x:c>
      <x:c r="E610" s="80" t="str">
        <x:v>Ferrari Testarossa</x:v>
      </x:c>
      <x:c r="F610" s="82" t="str">
        <x:v>Mainline</x:v>
      </x:c>
      <x:c r="G610" s="80" t="str"/>
      <x:c r="H610" s="80" t="str">
        <x:v>35</x:v>
      </x:c>
      <x:c r="I610" s="83" t="str">
        <x:v>5111</x:v>
      </x:c>
      <x:c r="J610" s="80" t="str">
        <x:v>Red</x:v>
      </x:c>
      <x:c r="K610" s="82" t="str">
        <x:v>Yellow "Ferrari" logo &amp; name on hood</x:v>
      </x:c>
      <x:c r="L610" s="82" t="str">
        <x:v>UH</x:v>
      </x:c>
      <x:c r="M610" s="82" t="str">
        <x:v>Red / / / Metal</x:v>
      </x:c>
      <x:c r="N610" s="82" t="str">
        <x:v>Clear</x:v>
      </x:c>
      <x:c r="O610" s="82" t="str">
        <x:v>Black w/ Red inserts</x:v>
      </x:c>
      <x:c r="P610" s="82" t="str">
        <x:v>Malaysia</x:v>
      </x:c>
      <x:c r="Q610" s="82" t="str"/>
      <x:c r="R610" s="82" t="str">
        <x:v>Mainline</x:v>
      </x:c>
      <x:c r="S610" s="82" t="str">
        <x:v>Rara</x:v>
      </x:c>
      <x:c r="T610" s="82" t="str">
        <x:v>Lançado</x:v>
      </x:c>
      <x:c r="U610" s="82" t="str"/>
      <x:c r="V610" s="80" t="str">
        <x:v>Coleção principal (~1:64)</x:v>
      </x:c>
      <x:c r="W610" s="82" t="str">
        <x:v>https://hotwheels.fandom.com/wiki/Ferrari_Testarossa_(1987)</x:v>
      </x:c>
      <x:c r="X610" s="82" t="str">
        <x:v>https://hotwheels.fandom.com/wiki/Ferrari_Testarossa_(1987)</x:v>
      </x:c>
    </x:row>
    <x:row r="611">
      <x:c r="A611" s="80" t="str">
        <x:v>Não</x:v>
      </x:c>
      <x:c r="B611" s="80" t="str">
        <x:v>2 — Completar aos poucos</x:v>
      </x:c>
      <x:c r="C611" s="81" t="n">
        <x:v>1990</x:v>
      </x:c>
      <x:c r="D611" s="80" t="str">
        <x:v>Ferrari Testarossa (1987)</x:v>
      </x:c>
      <x:c r="E611" s="80" t="str">
        <x:v>Ferrari Testarossa</x:v>
      </x:c>
      <x:c r="F611" s="82" t="str">
        <x:v>Mainline</x:v>
      </x:c>
      <x:c r="G611" s="80" t="str"/>
      <x:c r="H611" s="80" t="str">
        <x:v>35</x:v>
      </x:c>
      <x:c r="I611" s="83" t="str">
        <x:v>5111</x:v>
      </x:c>
      <x:c r="J611" s="80" t="str">
        <x:v>Red</x:v>
      </x:c>
      <x:c r="K611" s="82" t="str">
        <x:v>Yellow "Ferrari" logo &amp; name on hood</x:v>
      </x:c>
      <x:c r="L611" s="82" t="str">
        <x:v>UH</x:v>
      </x:c>
      <x:c r="M611" s="82" t="str">
        <x:v>Red / / / Metal</x:v>
      </x:c>
      <x:c r="N611" s="82" t="str">
        <x:v>Clear</x:v>
      </x:c>
      <x:c r="O611" s="82" t="str">
        <x:v>Tan</x:v>
      </x:c>
      <x:c r="P611" s="82" t="str">
        <x:v>Malaysia</x:v>
      </x:c>
      <x:c r="Q611" s="82" t="str"/>
      <x:c r="R611" s="82" t="str">
        <x:v>Mainline</x:v>
      </x:c>
      <x:c r="S611" s="82" t="str">
        <x:v>Rara</x:v>
      </x:c>
      <x:c r="T611" s="82" t="str">
        <x:v>Lançado</x:v>
      </x:c>
      <x:c r="U611" s="82" t="str"/>
      <x:c r="V611" s="80" t="str">
        <x:v>Coleção principal (~1:64)</x:v>
      </x:c>
      <x:c r="W611" s="82" t="str">
        <x:v>https://hotwheels.fandom.com/wiki/Ferrari_Testarossa_(1987)</x:v>
      </x:c>
      <x:c r="X611" s="82" t="str">
        <x:v>https://hotwheels.fandom.com/wiki/Ferrari_Testarossa_(1987)</x:v>
      </x:c>
    </x:row>
    <x:row r="612">
      <x:c r="A612" s="80" t="str">
        <x:v>Não</x:v>
      </x:c>
      <x:c r="B612" s="80" t="str">
        <x:v>2 — Completar aos poucos</x:v>
      </x:c>
      <x:c r="C612" s="81" t="n">
        <x:v>1990</x:v>
      </x:c>
      <x:c r="D612" s="80" t="str">
        <x:v>Ferrari Testarossa (1987)</x:v>
      </x:c>
      <x:c r="E612" s="80" t="str">
        <x:v>Ferrari Testarossa</x:v>
      </x:c>
      <x:c r="F612" s="82" t="str">
        <x:v>Mainline</x:v>
      </x:c>
      <x:c r="G612" s="80" t="str"/>
      <x:c r="H612" s="80" t="str">
        <x:v>35</x:v>
      </x:c>
      <x:c r="I612" s="83" t="str">
        <x:v>5111</x:v>
      </x:c>
      <x:c r="J612" s="80" t="str">
        <x:v>White</x:v>
      </x:c>
      <x:c r="K612" s="82" t="str">
        <x:v>Red "75" Stars w/ "Ferrari" logo at back</x:v>
      </x:c>
      <x:c r="L612" s="82" t="str">
        <x:v>UH</x:v>
      </x:c>
      <x:c r="M612" s="82" t="str">
        <x:v>Painted White Metal</x:v>
      </x:c>
      <x:c r="N612" s="82" t="str">
        <x:v>Clear</x:v>
      </x:c>
      <x:c r="O612" s="82" t="str">
        <x:v>White &amp; Black</x:v>
      </x:c>
      <x:c r="P612" s="82" t="str">
        <x:v>Malaysia</x:v>
      </x:c>
      <x:c r="Q612" s="82" t="str"/>
      <x:c r="R612" s="82" t="str">
        <x:v>Mainline</x:v>
      </x:c>
      <x:c r="S612" s="82" t="str">
        <x:v>Rara</x:v>
      </x:c>
      <x:c r="T612" s="82" t="str">
        <x:v>Lançado</x:v>
      </x:c>
      <x:c r="U612" s="82" t="str"/>
      <x:c r="V612" s="80" t="str">
        <x:v>Coleção principal (~1:64)</x:v>
      </x:c>
      <x:c r="W612" s="82" t="str">
        <x:v>https://hotwheels.fandom.com/wiki/Ferrari_Testarossa_(1987)</x:v>
      </x:c>
      <x:c r="X612" s="82" t="str">
        <x:v>https://hotwheels.fandom.com/wiki/Ferrari_Testarossa_(1987)</x:v>
      </x:c>
    </x:row>
    <x:row r="613">
      <x:c r="A613" s="80" t="str">
        <x:v>Não</x:v>
      </x:c>
      <x:c r="B613" s="80" t="str">
        <x:v>2 — Completar aos poucos</x:v>
      </x:c>
      <x:c r="C613" s="81" t="n">
        <x:v>1990</x:v>
      </x:c>
      <x:c r="D613" s="80" t="str">
        <x:v>Ferrari Testarossa (1987)</x:v>
      </x:c>
      <x:c r="E613" s="80" t="str">
        <x:v>Ferrari Testarossa</x:v>
      </x:c>
      <x:c r="F613" s="82" t="str">
        <x:v>Park 'n Plates</x:v>
      </x:c>
      <x:c r="G613" s="80" t="str"/>
      <x:c r="H613" s="80" t="str"/>
      <x:c r="I613" s="83" t="str">
        <x:v>2048</x:v>
      </x:c>
      <x:c r="J613" s="80" t="str">
        <x:v>Red</x:v>
      </x:c>
      <x:c r="K613" s="82" t="str">
        <x:v>Yellow "Ferrari" logo &amp; name on hood</x:v>
      </x:c>
      <x:c r="L613" s="82" t="str">
        <x:v>UH</x:v>
      </x:c>
      <x:c r="M613" s="82" t="str">
        <x:v>Red / / / Metal</x:v>
      </x:c>
      <x:c r="N613" s="82" t="str">
        <x:v>Clear</x:v>
      </x:c>
      <x:c r="O613" s="82" t="str">
        <x:v>Black</x:v>
      </x:c>
      <x:c r="P613" s="82" t="str">
        <x:v>Malaysia</x:v>
      </x:c>
      <x:c r="Q613" s="82" t="str"/>
      <x:c r="R613" s="82" t="str">
        <x:v>Outra linha</x:v>
      </x:c>
      <x:c r="S613" s="82" t="str">
        <x:v>Rara</x:v>
      </x:c>
      <x:c r="T613" s="82" t="str">
        <x:v>Lançado</x:v>
      </x:c>
      <x:c r="U613" s="82" t="str"/>
      <x:c r="V613" s="80" t="str">
        <x:v>Coleção principal (~1:64)</x:v>
      </x:c>
      <x:c r="W613" s="82" t="str">
        <x:v>https://hotwheels.fandom.com/wiki/Ferrari_Testarossa_(1987)</x:v>
      </x:c>
      <x:c r="X613" s="82" t="str">
        <x:v>https://hotwheels.fandom.com/wiki/Ferrari_Testarossa_(1987)</x:v>
      </x:c>
    </x:row>
    <x:row r="614">
      <x:c r="A614" s="80" t="str">
        <x:v>Não</x:v>
      </x:c>
      <x:c r="B614" s="80" t="str">
        <x:v>2 — Completar aos poucos</x:v>
      </x:c>
      <x:c r="C614" s="81" t="n">
        <x:v>1990</x:v>
      </x:c>
      <x:c r="D614" s="80" t="str">
        <x:v>Ferrari Testarossa (1987)</x:v>
      </x:c>
      <x:c r="E614" s="80" t="str">
        <x:v>Ferrari Testarossa</x:v>
      </x:c>
      <x:c r="F614" s="82" t="str">
        <x:v>Power Command</x:v>
      </x:c>
      <x:c r="G614" s="80" t="str"/>
      <x:c r="H614" s="80" t="str"/>
      <x:c r="I614" s="83" t="str">
        <x:v>4178</x:v>
      </x:c>
      <x:c r="J614" s="80" t="str">
        <x:v>Black</x:v>
      </x:c>
      <x:c r="K614" s="82" t="str">
        <x:v>Big Black &amp; white Ferrari logo on hood</x:v>
      </x:c>
      <x:c r="L614" s="82" t="str">
        <x:v>PCW</x:v>
      </x:c>
      <x:c r="M614" s="82" t="str">
        <x:v>Unpainted / / / Metal</x:v>
      </x:c>
      <x:c r="N614" s="82" t="str">
        <x:v>Black opaque</x:v>
      </x:c>
      <x:c r="O614" s="82" t="str">
        <x:v>hard to see</x:v>
      </x:c>
      <x:c r="P614" s="82" t="str">
        <x:v>Malaysia</x:v>
      </x:c>
      <x:c r="Q614" s="82" t="str"/>
      <x:c r="R614" s="82" t="str">
        <x:v>Outra linha</x:v>
      </x:c>
      <x:c r="S614" s="82" t="str">
        <x:v>Rara</x:v>
      </x:c>
      <x:c r="T614" s="82" t="str">
        <x:v>Lançado</x:v>
      </x:c>
      <x:c r="U614" s="82" t="str">
        <x:v>Variation on spoiler</x:v>
      </x:c>
      <x:c r="V614" s="80" t="str">
        <x:v>Coleção principal (~1:64)</x:v>
      </x:c>
      <x:c r="W614" s="82" t="str">
        <x:v>https://hotwheels.fandom.com/wiki/Ferrari_Testarossa_(1987)</x:v>
      </x:c>
      <x:c r="X614" s="82" t="str">
        <x:v>https://hotwheels.fandom.com/wiki/Ferrari_Testarossa_(1987)</x:v>
      </x:c>
    </x:row>
    <x:row r="615">
      <x:c r="A615" s="80" t="str">
        <x:v>Não</x:v>
      </x:c>
      <x:c r="B615" s="80" t="str">
        <x:v>2 — Completar aos poucos</x:v>
      </x:c>
      <x:c r="C615" s="81" t="n">
        <x:v>1990</x:v>
      </x:c>
      <x:c r="D615" s="80" t="str">
        <x:v>Ferrari Testarossa (1987)</x:v>
      </x:c>
      <x:c r="E615" s="80" t="str">
        <x:v>Ferrari Testarossa</x:v>
      </x:c>
      <x:c r="F615" s="82" t="str">
        <x:v>Power Command</x:v>
      </x:c>
      <x:c r="G615" s="80" t="str"/>
      <x:c r="H615" s="80" t="str"/>
      <x:c r="I615" s="83" t="str">
        <x:v>4178</x:v>
      </x:c>
      <x:c r="J615" s="80" t="str">
        <x:v>Black</x:v>
      </x:c>
      <x:c r="K615" s="82" t="str">
        <x:v>Big Black &amp; White Ferrari logo on hood</x:v>
      </x:c>
      <x:c r="L615" s="82" t="str">
        <x:v>PCW</x:v>
      </x:c>
      <x:c r="M615" s="82" t="str">
        <x:v>Unpainted / / / Metal</x:v>
      </x:c>
      <x:c r="N615" s="82" t="str">
        <x:v>Black</x:v>
      </x:c>
      <x:c r="O615" s="82" t="str">
        <x:v>hard to see</x:v>
      </x:c>
      <x:c r="P615" s="82" t="str">
        <x:v>Malaysia</x:v>
      </x:c>
      <x:c r="Q615" s="82" t="str"/>
      <x:c r="R615" s="82" t="str">
        <x:v>Outra linha</x:v>
      </x:c>
      <x:c r="S615" s="82" t="str">
        <x:v>Rara</x:v>
      </x:c>
      <x:c r="T615" s="82" t="str">
        <x:v>Lançado</x:v>
      </x:c>
      <x:c r="U615" s="82" t="str">
        <x:v>Variation on spoiler</x:v>
      </x:c>
      <x:c r="V615" s="80" t="str">
        <x:v>Coleção principal (~1:64)</x:v>
      </x:c>
      <x:c r="W615" s="82" t="str">
        <x:v>https://hotwheels.fandom.com/wiki/Ferrari_Testarossa_(1987)</x:v>
      </x:c>
      <x:c r="X615" s="82" t="str">
        <x:v>https://hotwheels.fandom.com/wiki/Ferrari_Testarossa_(1987)</x:v>
      </x:c>
    </x:row>
    <x:row r="616">
      <x:c r="A616" s="80" t="str">
        <x:v>Não</x:v>
      </x:c>
      <x:c r="B616" s="80" t="str">
        <x:v>2 — Completar aos poucos</x:v>
      </x:c>
      <x:c r="C616" s="81" t="n">
        <x:v>1990</x:v>
      </x:c>
      <x:c r="D616" s="80" t="str">
        <x:v>Ferrari Testarossa (1987)</x:v>
      </x:c>
      <x:c r="E616" s="80" t="str">
        <x:v>Ferrari Testarossa</x:v>
      </x:c>
      <x:c r="F616" s="82" t="str">
        <x:v>Power Command</x:v>
      </x:c>
      <x:c r="G616" s="80" t="str"/>
      <x:c r="H616" s="80" t="str"/>
      <x:c r="I616" s="83" t="str">
        <x:v>4173</x:v>
      </x:c>
      <x:c r="J616" s="80" t="str">
        <x:v>Red</x:v>
      </x:c>
      <x:c r="K616" s="82" t="str">
        <x:v>Yellow &amp; Black "Ferrari" logo &amp; name on hood and small on sides</x:v>
      </x:c>
      <x:c r="L616" s="82" t="str">
        <x:v>PCW</x:v>
      </x:c>
      <x:c r="M616" s="82" t="str">
        <x:v>Unpainted / / / Metal</x:v>
      </x:c>
      <x:c r="N616" s="82" t="str">
        <x:v>Black opaque</x:v>
      </x:c>
      <x:c r="O616" s="82" t="str">
        <x:v>hard to see</x:v>
      </x:c>
      <x:c r="P616" s="82" t="str">
        <x:v>Malaysia</x:v>
      </x:c>
      <x:c r="Q616" s="82" t="str"/>
      <x:c r="R616" s="82" t="str">
        <x:v>Outra linha</x:v>
      </x:c>
      <x:c r="S616" s="82" t="str">
        <x:v>Rara</x:v>
      </x:c>
      <x:c r="T616" s="82" t="str">
        <x:v>Lançado</x:v>
      </x:c>
      <x:c r="U616" s="82" t="str">
        <x:v>Variation on spoiler</x:v>
      </x:c>
      <x:c r="V616" s="80" t="str">
        <x:v>Coleção principal (~1:64)</x:v>
      </x:c>
      <x:c r="W616" s="82" t="str">
        <x:v>https://hotwheels.fandom.com/wiki/Ferrari_Testarossa_(1987)</x:v>
      </x:c>
      <x:c r="X616" s="82" t="str">
        <x:v>https://hotwheels.fandom.com/wiki/Ferrari_Testarossa_(1987)</x:v>
      </x:c>
    </x:row>
    <x:row r="617">
      <x:c r="A617" s="80" t="str">
        <x:v>Não</x:v>
      </x:c>
      <x:c r="B617" s="80" t="str">
        <x:v>2 — Completar aos poucos</x:v>
      </x:c>
      <x:c r="C617" s="81" t="n">
        <x:v>1990</x:v>
      </x:c>
      <x:c r="D617" s="80" t="str">
        <x:v>Ferrari Testarossa (1987)</x:v>
      </x:c>
      <x:c r="E617" s="80" t="str">
        <x:v>Ferrari Testarossa</x:v>
      </x:c>
      <x:c r="F617" s="82" t="str">
        <x:v>Power Command</x:v>
      </x:c>
      <x:c r="G617" s="80" t="str"/>
      <x:c r="H617" s="80" t="str"/>
      <x:c r="I617" s="83" t="str">
        <x:v>4173</x:v>
      </x:c>
      <x:c r="J617" s="80" t="str">
        <x:v>Red</x:v>
      </x:c>
      <x:c r="K617" s="82" t="str">
        <x:v>Yellow &amp; Black Ferrari logo on hood &amp; small on sides</x:v>
      </x:c>
      <x:c r="L617" s="82" t="str">
        <x:v>PCW</x:v>
      </x:c>
      <x:c r="M617" s="82" t="str">
        <x:v>Unpainted / / / Metal</x:v>
      </x:c>
      <x:c r="N617" s="82" t="str">
        <x:v>Solid Black</x:v>
      </x:c>
      <x:c r="O617" s="82" t="str">
        <x:v>hard to see</x:v>
      </x:c>
      <x:c r="P617" s="82" t="str">
        <x:v>Malaysia</x:v>
      </x:c>
      <x:c r="Q617" s="82" t="str"/>
      <x:c r="R617" s="82" t="str">
        <x:v>Outra linha</x:v>
      </x:c>
      <x:c r="S617" s="82" t="str">
        <x:v>Rara</x:v>
      </x:c>
      <x:c r="T617" s="82" t="str">
        <x:v>Lançado</x:v>
      </x:c>
      <x:c r="U617" s="82" t="str">
        <x:v>Variation on spoiler</x:v>
      </x:c>
      <x:c r="V617" s="80" t="str">
        <x:v>Coleção principal (~1:64)</x:v>
      </x:c>
      <x:c r="W617" s="82" t="str">
        <x:v>https://hotwheels.fandom.com/wiki/Ferrari_Testarossa_(1987)</x:v>
      </x:c>
      <x:c r="X617" s="82" t="str">
        <x:v>https://hotwheels.fandom.com/wiki/Ferrari_Testarossa_(1987)</x:v>
      </x:c>
    </x:row>
    <x:row r="618">
      <x:c r="A618" s="80" t="str">
        <x:v>Não</x:v>
      </x:c>
      <x:c r="B618" s="80" t="str">
        <x:v>2 — Completar aos poucos</x:v>
      </x:c>
      <x:c r="C618" s="81" t="n">
        <x:v>1990</x:v>
      </x:c>
      <x:c r="D618" s="80" t="str">
        <x:v>Racebait 308</x:v>
      </x:c>
      <x:c r="E618" s="80" t="str">
        <x:v>Racebait 308</x:v>
      </x:c>
      <x:c r="F618" s="82" t="str">
        <x:v>Color Racers II</x:v>
      </x:c>
      <x:c r="G618" s="80" t="str"/>
      <x:c r="H618" s="80" t="str"/>
      <x:c r="I618" s="83" t="str">
        <x:v>2270</x:v>
      </x:c>
      <x:c r="J618" s="80" t="str">
        <x:v>Red / Peach</x:v>
      </x:c>
      <x:c r="K618" s="82" t="str">
        <x:v>None</x:v>
      </x:c>
      <x:c r="L618" s="82" t="str">
        <x:v>BW</x:v>
      </x:c>
      <x:c r="M618" s="82" t="str">
        <x:v>Black / / / Metal</x:v>
      </x:c>
      <x:c r="N618" s="82" t="str">
        <x:v>Clear</x:v>
      </x:c>
      <x:c r="O618" s="82" t="str">
        <x:v>Tan</x:v>
      </x:c>
      <x:c r="P618" s="82" t="str">
        <x:v>Malaysia</x:v>
      </x:c>
      <x:c r="Q618" s="82" t="str"/>
      <x:c r="R618" s="82" t="str">
        <x:v>Outra linha</x:v>
      </x:c>
      <x:c r="S618" s="82" t="str">
        <x:v>Rara</x:v>
      </x:c>
      <x:c r="T618" s="82" t="str">
        <x:v>Lançado</x:v>
      </x:c>
      <x:c r="U618" s="82" t="str">
        <x:v>Appears on Automagic II card as well</x:v>
      </x:c>
      <x:c r="V618" s="80" t="str">
        <x:v>Coleção principal (~1:64)</x:v>
      </x:c>
      <x:c r="W618" s="82" t="str">
        <x:v>https://hotwheels.fandom.com/wiki/Racebait_308</x:v>
      </x:c>
      <x:c r="X618" s="82" t="str">
        <x:v>https://hotwheels.fandom.com/wiki/Racebait_308</x:v>
      </x:c>
    </x:row>
    <x:row r="619">
      <x:c r="A619" s="80" t="str">
        <x:v>Não</x:v>
      </x:c>
      <x:c r="B619" s="80" t="str">
        <x:v>2 — Completar aos poucos</x:v>
      </x:c>
      <x:c r="C619" s="81" t="n">
        <x:v>1989</x:v>
      </x:c>
      <x:c r="D619" s="80" t="str">
        <x:v>Ferrari F40</x:v>
      </x:c>
      <x:c r="E619" s="80" t="str">
        <x:v>Ferrari F40</x:v>
      </x:c>
      <x:c r="F619" s="82" t="str">
        <x:v>Racers 5-Pack</x:v>
      </x:c>
      <x:c r="G619" s="80" t="str"/>
      <x:c r="H619" s="80" t="str"/>
      <x:c r="I619" s="83" t="str">
        <x:v>1631</x:v>
      </x:c>
      <x:c r="J619" s="80" t="str">
        <x:v>Red</x:v>
      </x:c>
      <x:c r="K619" s="82" t="str">
        <x:v>Yellow "40" "Ferrari"</x:v>
      </x:c>
      <x:c r="L619" s="82" t="str">
        <x:v>UH</x:v>
      </x:c>
      <x:c r="M619" s="82" t="str">
        <x:v>ZAMAC</x:v>
      </x:c>
      <x:c r="N619" s="82" t="str">
        <x:v>Clear</x:v>
      </x:c>
      <x:c r="O619" s="82" t="str">
        <x:v>Tan</x:v>
      </x:c>
      <x:c r="P619" s="82" t="str">
        <x:v>Malaysia</x:v>
      </x:c>
      <x:c r="Q619" s="82" t="str"/>
      <x:c r="R619" s="82" t="str">
        <x:v>Temática / multipack</x:v>
      </x:c>
      <x:c r="S619" s="82" t="str">
        <x:v>Rara</x:v>
      </x:c>
      <x:c r="T619" s="82" t="str">
        <x:v>Lançado</x:v>
      </x:c>
      <x:c r="U619" s="82" t="str"/>
      <x:c r="V619" s="80" t="str">
        <x:v>Coleção principal (~1:64)</x:v>
      </x:c>
      <x:c r="W619" s="82" t="str">
        <x:v>https://hotwheels.fandom.com/wiki/Ferrari_F40</x:v>
      </x:c>
      <x:c r="X619" s="82" t="str">
        <x:v>https://hotwheels.fandom.com/wiki/Ferrari_F40</x:v>
      </x:c>
    </x:row>
    <x:row r="620">
      <x:c r="A620" s="80" t="str">
        <x:v>Não</x:v>
      </x:c>
      <x:c r="B620" s="80" t="str">
        <x:v>2 — Completar aos poucos</x:v>
      </x:c>
      <x:c r="C620" s="81" t="n">
        <x:v>1989</x:v>
      </x:c>
      <x:c r="D620" s="80" t="str">
        <x:v>Ferrari F40</x:v>
      </x:c>
      <x:c r="E620" s="80" t="str">
        <x:v>Ferrari F40</x:v>
      </x:c>
      <x:c r="F620" s="82" t="str">
        <x:v>Speed Fleet</x:v>
      </x:c>
      <x:c r="G620" s="80" t="str"/>
      <x:c r="H620" s="80" t="str"/>
      <x:c r="I620" s="83" t="str">
        <x:v>1468</x:v>
      </x:c>
      <x:c r="J620" s="80" t="str">
        <x:v>Red</x:v>
      </x:c>
      <x:c r="K620" s="82" t="str">
        <x:v>Yellow "40" "Ferrari"</x:v>
      </x:c>
      <x:c r="L620" s="82" t="str">
        <x:v>UH</x:v>
      </x:c>
      <x:c r="M620" s="82" t="str">
        <x:v>ZAMAC</x:v>
      </x:c>
      <x:c r="N620" s="82" t="str">
        <x:v>Clear</x:v>
      </x:c>
      <x:c r="O620" s="82" t="str">
        <x:v>Tan</x:v>
      </x:c>
      <x:c r="P620" s="82" t="str">
        <x:v>Malaysia</x:v>
      </x:c>
      <x:c r="Q620" s="82" t="str"/>
      <x:c r="R620" s="82" t="str">
        <x:v>Outra linha</x:v>
      </x:c>
      <x:c r="S620" s="82" t="str">
        <x:v>Rara</x:v>
      </x:c>
      <x:c r="T620" s="82" t="str">
        <x:v>Lançado</x:v>
      </x:c>
      <x:c r="U620" s="82" t="str">
        <x:v>New Model</x:v>
      </x:c>
      <x:c r="V620" s="80" t="str">
        <x:v>Coleção principal (~1:64)</x:v>
      </x:c>
      <x:c r="W620" s="82" t="str">
        <x:v>https://hotwheels.fandom.com/wiki/Ferrari_F40</x:v>
      </x:c>
      <x:c r="X620" s="82" t="str">
        <x:v>https://hotwheels.fandom.com/wiki/Ferrari_F40</x:v>
      </x:c>
    </x:row>
    <x:row r="621">
      <x:c r="A621" s="80" t="str">
        <x:v>Não</x:v>
      </x:c>
      <x:c r="B621" s="80" t="str">
        <x:v>2 — Completar aos poucos</x:v>
      </x:c>
      <x:c r="C621" s="81" t="n">
        <x:v>1989</x:v>
      </x:c>
      <x:c r="D621" s="80" t="str">
        <x:v>Ferrari Testarossa (1987)</x:v>
      </x:c>
      <x:c r="E621" s="80" t="str">
        <x:v>Ferrari Testarossa</x:v>
      </x:c>
      <x:c r="F621" s="82" t="str"/>
      <x:c r="G621" s="80" t="str"/>
      <x:c r="H621" s="80" t="str"/>
      <x:c r="I621" s="83" t="str">
        <x:v>5111</x:v>
      </x:c>
      <x:c r="J621" s="80" t="str">
        <x:v>Red</x:v>
      </x:c>
      <x:c r="K621" s="82" t="str">
        <x:v>Yellow "Ferrari" logo &amp; name on hood</x:v>
      </x:c>
      <x:c r="L621" s="82" t="str">
        <x:v>BW</x:v>
      </x:c>
      <x:c r="M621" s="82" t="str">
        <x:v>Unpainted / / / Metal</x:v>
      </x:c>
      <x:c r="N621" s="82" t="str">
        <x:v>Clear</x:v>
      </x:c>
      <x:c r="O621" s="82" t="str">
        <x:v>Tan &amp; Red</x:v>
      </x:c>
      <x:c r="P621" s="82" t="str">
        <x:v>Malaysia</x:v>
      </x:c>
      <x:c r="Q621" s="82" t="str"/>
      <x:c r="R621" s="82" t="str">
        <x:v>Outra linha</x:v>
      </x:c>
      <x:c r="S621" s="82" t="str">
        <x:v>Rara</x:v>
      </x:c>
      <x:c r="T621" s="82" t="str">
        <x:v>Lançado</x:v>
      </x:c>
      <x:c r="U621" s="82" t="str"/>
      <x:c r="V621" s="80" t="str">
        <x:v>Coleção principal (~1:64)</x:v>
      </x:c>
      <x:c r="W621" s="82" t="str">
        <x:v>https://hotwheels.fandom.com/wiki/Ferrari_Testarossa_(1987)</x:v>
      </x:c>
      <x:c r="X621" s="82" t="str">
        <x:v>https://hotwheels.fandom.com/wiki/Ferrari_Testarossa_(1987)</x:v>
      </x:c>
    </x:row>
    <x:row r="622">
      <x:c r="A622" s="80" t="str">
        <x:v>Não</x:v>
      </x:c>
      <x:c r="B622" s="80" t="str">
        <x:v>2 — Completar aos poucos</x:v>
      </x:c>
      <x:c r="C622" s="81" t="n">
        <x:v>1989</x:v>
      </x:c>
      <x:c r="D622" s="80" t="str">
        <x:v>Ferrari Testarossa (1987)</x:v>
      </x:c>
      <x:c r="E622" s="80" t="str">
        <x:v>Ferrari Testarossa</x:v>
      </x:c>
      <x:c r="F622" s="82" t="str"/>
      <x:c r="G622" s="80" t="str"/>
      <x:c r="H622" s="80" t="str"/>
      <x:c r="I622" s="83" t="str">
        <x:v>5111</x:v>
      </x:c>
      <x:c r="J622" s="80" t="str">
        <x:v>Red</x:v>
      </x:c>
      <x:c r="K622" s="82" t="str">
        <x:v>Yellow "Ferrari" logo &amp; name on hood</x:v>
      </x:c>
      <x:c r="L622" s="82" t="str">
        <x:v>UH</x:v>
      </x:c>
      <x:c r="M622" s="82" t="str">
        <x:v>Red / / / Metal</x:v>
      </x:c>
      <x:c r="N622" s="82" t="str">
        <x:v>Clear</x:v>
      </x:c>
      <x:c r="O622" s="82" t="str">
        <x:v>All Tan</x:v>
      </x:c>
      <x:c r="P622" s="82" t="str">
        <x:v>Malaysia</x:v>
      </x:c>
      <x:c r="Q622" s="82" t="str"/>
      <x:c r="R622" s="82" t="str">
        <x:v>Outra linha</x:v>
      </x:c>
      <x:c r="S622" s="82" t="str">
        <x:v>Rara</x:v>
      </x:c>
      <x:c r="T622" s="82" t="str">
        <x:v>Lançado</x:v>
      </x:c>
      <x:c r="U622" s="82" t="str"/>
      <x:c r="V622" s="80" t="str">
        <x:v>Coleção principal (~1:64)</x:v>
      </x:c>
      <x:c r="W622" s="82" t="str">
        <x:v>https://hotwheels.fandom.com/wiki/Ferrari_Testarossa_(1987)</x:v>
      </x:c>
      <x:c r="X622" s="82" t="str">
        <x:v>https://hotwheels.fandom.com/wiki/Ferrari_Testarossa_(1987)</x:v>
      </x:c>
    </x:row>
    <x:row r="623">
      <x:c r="A623" s="80" t="str">
        <x:v>Não</x:v>
      </x:c>
      <x:c r="B623" s="80" t="str">
        <x:v>2 — Completar aos poucos</x:v>
      </x:c>
      <x:c r="C623" s="81" t="n">
        <x:v>1989</x:v>
      </x:c>
      <x:c r="D623" s="80" t="str">
        <x:v>Ferrari Testarossa (1987)</x:v>
      </x:c>
      <x:c r="E623" s="80" t="str">
        <x:v>Ferrari Testarossa</x:v>
      </x:c>
      <x:c r="F623" s="82" t="str">
        <x:v>Automagic</x:v>
      </x:c>
      <x:c r="G623" s="80" t="str"/>
      <x:c r="H623" s="80" t="str"/>
      <x:c r="I623" s="83" t="str">
        <x:v>1440</x:v>
      </x:c>
      <x:c r="J623" s="80" t="str">
        <x:v>Cold: Light OrangeWarm: Cream</x:v>
      </x:c>
      <x:c r="K623" s="82" t="str">
        <x:v>"Ferrari" &amp; Stripe in DARK Yellow &amp;"4".Blue &amp; red (shows when color changes) stripes</x:v>
      </x:c>
      <x:c r="L623" s="82" t="str">
        <x:v>BW</x:v>
      </x:c>
      <x:c r="M623" s="82" t="str">
        <x:v>Unpainted / / / Metal</x:v>
      </x:c>
      <x:c r="N623" s="82" t="str">
        <x:v>Clear</x:v>
      </x:c>
      <x:c r="O623" s="82" t="str">
        <x:v>White &amp; Red</x:v>
      </x:c>
      <x:c r="P623" s="82" t="str">
        <x:v>Malaysia</x:v>
      </x:c>
      <x:c r="Q623" s="82" t="str"/>
      <x:c r="R623" s="82" t="str">
        <x:v>Outra linha</x:v>
      </x:c>
      <x:c r="S623" s="82" t="str">
        <x:v>Rara</x:v>
      </x:c>
      <x:c r="T623" s="82" t="str">
        <x:v>Lançado</x:v>
      </x:c>
      <x:c r="U623" s="82" t="str">
        <x:v>Appears in a Automagic Single Pack &amp; 2-Pack / Appears in a Color Racers 3 Pack</x:v>
      </x:c>
      <x:c r="V623" s="80" t="str">
        <x:v>Coleção principal (~1:64)</x:v>
      </x:c>
      <x:c r="W623" s="82" t="str">
        <x:v>https://hotwheels.fandom.com/wiki/Ferrari_Testarossa_(1987)</x:v>
      </x:c>
      <x:c r="X623" s="82" t="str">
        <x:v>https://hotwheels.fandom.com/wiki/Ferrari_Testarossa_(1987)</x:v>
      </x:c>
    </x:row>
    <x:row r="624">
      <x:c r="A624" s="80" t="str">
        <x:v>Não</x:v>
      </x:c>
      <x:c r="B624" s="80" t="str">
        <x:v>2 — Completar aos poucos</x:v>
      </x:c>
      <x:c r="C624" s="81" t="n">
        <x:v>1989</x:v>
      </x:c>
      <x:c r="D624" s="80" t="str">
        <x:v>Ferrari Testarossa (1987)</x:v>
      </x:c>
      <x:c r="E624" s="80" t="str">
        <x:v>Ferrari Testarossa</x:v>
      </x:c>
      <x:c r="F624" s="82" t="str">
        <x:v>Automagic II</x:v>
      </x:c>
      <x:c r="G624" s="80" t="str"/>
      <x:c r="H624" s="80" t="str"/>
      <x:c r="I624" s="83" t="str">
        <x:v>2252</x:v>
      </x:c>
      <x:c r="J624" s="80" t="str">
        <x:v>Cold: Red / Warm: Orange</x:v>
      </x:c>
      <x:c r="K624" s="82" t="str">
        <x:v>None</x:v>
      </x:c>
      <x:c r="L624" s="82" t="str">
        <x:v>BW</x:v>
      </x:c>
      <x:c r="M624" s="82" t="str">
        <x:v>Unpainted / / / Metal</x:v>
      </x:c>
      <x:c r="N624" s="82" t="str">
        <x:v>Clear</x:v>
      </x:c>
      <x:c r="O624" s="82" t="str">
        <x:v>Tan &amp; Red</x:v>
      </x:c>
      <x:c r="P624" s="82" t="str">
        <x:v>Malaysia</x:v>
      </x:c>
      <x:c r="Q624" s="82" t="str"/>
      <x:c r="R624" s="82" t="str">
        <x:v>Outra linha</x:v>
      </x:c>
      <x:c r="S624" s="82" t="str">
        <x:v>Rara</x:v>
      </x:c>
      <x:c r="T624" s="82" t="str">
        <x:v>Lançado</x:v>
      </x:c>
      <x:c r="U624" s="82" t="str"/>
      <x:c r="V624" s="80" t="str">
        <x:v>Coleção principal (~1:64)</x:v>
      </x:c>
      <x:c r="W624" s="82" t="str">
        <x:v>https://hotwheels.fandom.com/wiki/Ferrari_Testarossa_(1987)</x:v>
      </x:c>
      <x:c r="X624" s="82" t="str">
        <x:v>https://hotwheels.fandom.com/wiki/Ferrari_Testarossa_(1987)</x:v>
      </x:c>
    </x:row>
    <x:row r="625">
      <x:c r="A625" s="80" t="str">
        <x:v>Não</x:v>
      </x:c>
      <x:c r="B625" s="80" t="str">
        <x:v>2 — Completar aos poucos</x:v>
      </x:c>
      <x:c r="C625" s="81" t="n">
        <x:v>1989</x:v>
      </x:c>
      <x:c r="D625" s="80" t="str">
        <x:v>Ferrari Testarossa (1987)</x:v>
      </x:c>
      <x:c r="E625" s="80" t="str">
        <x:v>Ferrari Testarossa</x:v>
      </x:c>
      <x:c r="F625" s="82" t="str">
        <x:v>Automagic III</x:v>
      </x:c>
      <x:c r="G625" s="80" t="str"/>
      <x:c r="H625" s="80" t="str"/>
      <x:c r="I625" s="83" t="str">
        <x:v>1440</x:v>
      </x:c>
      <x:c r="J625" s="80" t="str">
        <x:v>Red to Orange to Yellow</x:v>
      </x:c>
      <x:c r="K625" s="82" t="str">
        <x:v>"Ferrari" &amp; Black Stripe in DARK Red "4" (shows when color changes) stripes</x:v>
      </x:c>
      <x:c r="L625" s="82" t="str">
        <x:v>BW</x:v>
      </x:c>
      <x:c r="M625" s="82" t="str">
        <x:v>Unpainted / / / Metal</x:v>
      </x:c>
      <x:c r="N625" s="82" t="str">
        <x:v>Clear</x:v>
      </x:c>
      <x:c r="O625" s="82" t="str">
        <x:v>All Tan pic shows red and tan</x:v>
      </x:c>
      <x:c r="P625" s="82" t="str">
        <x:v>Malaysia</x:v>
      </x:c>
      <x:c r="Q625" s="82" t="str"/>
      <x:c r="R625" s="82" t="str">
        <x:v>Outra linha</x:v>
      </x:c>
      <x:c r="S625" s="82" t="str">
        <x:v>Rara</x:v>
      </x:c>
      <x:c r="T625" s="82" t="str">
        <x:v>Lançado</x:v>
      </x:c>
      <x:c r="U625" s="82" t="str"/>
      <x:c r="V625" s="80" t="str">
        <x:v>Coleção principal (~1:64)</x:v>
      </x:c>
      <x:c r="W625" s="82" t="str">
        <x:v>https://hotwheels.fandom.com/wiki/Ferrari_Testarossa_(1987)</x:v>
      </x:c>
      <x:c r="X625" s="82" t="str">
        <x:v>https://hotwheels.fandom.com/wiki/Ferrari_Testarossa_(1987)</x:v>
      </x:c>
    </x:row>
    <x:row r="626">
      <x:c r="A626" s="80" t="str">
        <x:v>Não</x:v>
      </x:c>
      <x:c r="B626" s="80" t="str">
        <x:v>2 — Completar aos poucos</x:v>
      </x:c>
      <x:c r="C626" s="81" t="n">
        <x:v>1989</x:v>
      </x:c>
      <x:c r="D626" s="80" t="str">
        <x:v>Ferrari Testarossa (1987)</x:v>
      </x:c>
      <x:c r="E626" s="80" t="str">
        <x:v>Ferrari Testarossa</x:v>
      </x:c>
      <x:c r="F626" s="82" t="str">
        <x:v>Color Racers</x:v>
      </x:c>
      <x:c r="G626" s="80" t="str"/>
      <x:c r="H626" s="80" t="str"/>
      <x:c r="I626" s="83" t="str">
        <x:v>5600</x:v>
      </x:c>
      <x:c r="J626" s="80" t="str">
        <x:v>Warm: Red</x:v>
      </x:c>
      <x:c r="K626" s="82" t="str"/>
      <x:c r="L626" s="82" t="str">
        <x:v>BW</x:v>
      </x:c>
      <x:c r="M626" s="82" t="str">
        <x:v>Unpainted / / / Metal</x:v>
      </x:c>
      <x:c r="N626" s="82" t="str">
        <x:v>Clear</x:v>
      </x:c>
      <x:c r="O626" s="82" t="str">
        <x:v>White &amp; Red</x:v>
      </x:c>
      <x:c r="P626" s="82" t="str">
        <x:v>Malaysia</x:v>
      </x:c>
      <x:c r="Q626" s="82" t="str"/>
      <x:c r="R626" s="82" t="str">
        <x:v>Outra linha</x:v>
      </x:c>
      <x:c r="S626" s="82" t="str">
        <x:v>Rara</x:v>
      </x:c>
      <x:c r="T626" s="82" t="str">
        <x:v>Lançado</x:v>
      </x:c>
      <x:c r="U626" s="82" t="str">
        <x:v>Very hard to find</x:v>
      </x:c>
      <x:c r="V626" s="80" t="str">
        <x:v>Coleção principal (~1:64)</x:v>
      </x:c>
      <x:c r="W626" s="82" t="str">
        <x:v>https://hotwheels.fandom.com/wiki/Ferrari_Testarossa_(1987)</x:v>
      </x:c>
      <x:c r="X626" s="82" t="str">
        <x:v>https://hotwheels.fandom.com/wiki/Ferrari_Testarossa_(1987)</x:v>
      </x:c>
    </x:row>
    <x:row r="627">
      <x:c r="A627" s="80" t="str">
        <x:v>Não</x:v>
      </x:c>
      <x:c r="B627" s="80" t="str">
        <x:v>2 — Completar aos poucos</x:v>
      </x:c>
      <x:c r="C627" s="81" t="n">
        <x:v>1989</x:v>
      </x:c>
      <x:c r="D627" s="80" t="str">
        <x:v>Ferrari Testarossa (1987)</x:v>
      </x:c>
      <x:c r="E627" s="80" t="str">
        <x:v>Ferrari Testarossa</x:v>
      </x:c>
      <x:c r="F627" s="82" t="str">
        <x:v>Color Racers 3 Pack</x:v>
      </x:c>
      <x:c r="G627" s="80" t="str"/>
      <x:c r="H627" s="80" t="str"/>
      <x:c r="I627" s="83" t="str">
        <x:v>5600</x:v>
      </x:c>
      <x:c r="J627" s="80" t="str">
        <x:v>Warm: Pink Cream</x:v>
      </x:c>
      <x:c r="K627" s="82" t="str">
        <x:v>Ferrari Testarossa' on hood, roof, Red &amp; Blue</x:v>
      </x:c>
      <x:c r="L627" s="82" t="str">
        <x:v>BW</x:v>
      </x:c>
      <x:c r="M627" s="82" t="str">
        <x:v>Unpainted / / / Metal</x:v>
      </x:c>
      <x:c r="N627" s="82" t="str">
        <x:v>Clear</x:v>
      </x:c>
      <x:c r="O627" s="82" t="str">
        <x:v>White &amp; Red</x:v>
      </x:c>
      <x:c r="P627" s="82" t="str">
        <x:v>Malaysia</x:v>
      </x:c>
      <x:c r="Q627" s="82" t="str"/>
      <x:c r="R627" s="82" t="str">
        <x:v>Outra linha</x:v>
      </x:c>
      <x:c r="S627" s="82" t="str">
        <x:v>Rara</x:v>
      </x:c>
      <x:c r="T627" s="82" t="str">
        <x:v>Lançado</x:v>
      </x:c>
      <x:c r="U627" s="82" t="str"/>
      <x:c r="V627" s="80" t="str">
        <x:v>Coleção principal (~1:64)</x:v>
      </x:c>
      <x:c r="W627" s="82" t="str">
        <x:v>https://hotwheels.fandom.com/wiki/Ferrari_Testarossa_(1987)</x:v>
      </x:c>
      <x:c r="X627" s="82" t="str">
        <x:v>https://hotwheels.fandom.com/wiki/Ferrari_Testarossa_(1987)</x:v>
      </x:c>
    </x:row>
    <x:row r="628">
      <x:c r="A628" s="80" t="str">
        <x:v>Não</x:v>
      </x:c>
      <x:c r="B628" s="80" t="str">
        <x:v>2 — Completar aos poucos</x:v>
      </x:c>
      <x:c r="C628" s="81" t="n">
        <x:v>1989</x:v>
      </x:c>
      <x:c r="D628" s="80" t="str">
        <x:v>Ferrari Testarossa (1987)</x:v>
      </x:c>
      <x:c r="E628" s="80" t="str">
        <x:v>Ferrari Testarossa</x:v>
      </x:c>
      <x:c r="F628" s="82" t="str">
        <x:v>Color Racers 3-Pack</x:v>
      </x:c>
      <x:c r="G628" s="80" t="str"/>
      <x:c r="H628" s="80" t="str"/>
      <x:c r="I628" s="83" t="str">
        <x:v>1440</x:v>
      </x:c>
      <x:c r="J628" s="80" t="str">
        <x:v>Cold: Orange / Warm:Yellow enamel</x:v>
      </x:c>
      <x:c r="K628" s="82" t="str">
        <x:v>"Ferrari" &amp; Stripe in DARK Yellow &amp;"4".Blue &amp; red (shows when color changes) stripes</x:v>
      </x:c>
      <x:c r="L628" s="82" t="str">
        <x:v>BW</x:v>
      </x:c>
      <x:c r="M628" s="82" t="str">
        <x:v>Unpainted / / / Metal</x:v>
      </x:c>
      <x:c r="N628" s="82" t="str">
        <x:v>Clear</x:v>
      </x:c>
      <x:c r="O628" s="82" t="str">
        <x:v>White &amp; Red</x:v>
      </x:c>
      <x:c r="P628" s="82" t="str">
        <x:v>Malaysia</x:v>
      </x:c>
      <x:c r="Q628" s="82" t="str"/>
      <x:c r="R628" s="82" t="str">
        <x:v>Outra linha</x:v>
      </x:c>
      <x:c r="S628" s="82" t="str">
        <x:v>Rara</x:v>
      </x:c>
      <x:c r="T628" s="82" t="str">
        <x:v>Lançado</x:v>
      </x:c>
      <x:c r="U628" s="82" t="str">
        <x:v>Very hard to find</x:v>
      </x:c>
      <x:c r="V628" s="80" t="str">
        <x:v>Coleção principal (~1:64)</x:v>
      </x:c>
      <x:c r="W628" s="82" t="str">
        <x:v>https://hotwheels.fandom.com/wiki/Ferrari_Testarossa_(1987)</x:v>
      </x:c>
      <x:c r="X628" s="82" t="str">
        <x:v>https://hotwheels.fandom.com/wiki/Ferrari_Testarossa_(1987)</x:v>
      </x:c>
    </x:row>
    <x:row r="629">
      <x:c r="A629" s="80" t="str">
        <x:v>Não</x:v>
      </x:c>
      <x:c r="B629" s="80" t="str">
        <x:v>2 — Completar aos poucos</x:v>
      </x:c>
      <x:c r="C629" s="81" t="n">
        <x:v>1989</x:v>
      </x:c>
      <x:c r="D629" s="80" t="str">
        <x:v>Ferrari Testarossa (1987)</x:v>
      </x:c>
      <x:c r="E629" s="80" t="str">
        <x:v>Ferrari Testarossa</x:v>
      </x:c>
      <x:c r="F629" s="82" t="str">
        <x:v>Getty Gas Station Promotional</x:v>
      </x:c>
      <x:c r="G629" s="80" t="str"/>
      <x:c r="H629" s="80" t="str"/>
      <x:c r="I629" s="83" t="str">
        <x:v>N/A</x:v>
      </x:c>
      <x:c r="J629" s="80" t="str">
        <x:v>Metalflake Dark Red</x:v>
      </x:c>
      <x:c r="K629" s="82" t="str">
        <x:v>Yellow stripes on top, w/ White &amp; Red "Getty" logo</x:v>
      </x:c>
      <x:c r="L629" s="82" t="str">
        <x:v>UH</x:v>
      </x:c>
      <x:c r="M629" s="82" t="str">
        <x:v>Metalflake Red / / / Metal</x:v>
      </x:c>
      <x:c r="N629" s="82" t="str">
        <x:v>Clear</x:v>
      </x:c>
      <x:c r="O629" s="82" t="str">
        <x:v>Black &amp; Red</x:v>
      </x:c>
      <x:c r="P629" s="82" t="str">
        <x:v>Malaysia</x:v>
      </x:c>
      <x:c r="Q629" s="82" t="str"/>
      <x:c r="R629" s="82" t="str">
        <x:v>Outra linha</x:v>
      </x:c>
      <x:c r="S629" s="82" t="str">
        <x:v>Rara</x:v>
      </x:c>
      <x:c r="T629" s="82" t="str">
        <x:v>Lançado</x:v>
      </x:c>
      <x:c r="U629" s="82" t="str"/>
      <x:c r="V629" s="80" t="str">
        <x:v>Coleção principal (~1:64)</x:v>
      </x:c>
      <x:c r="W629" s="82" t="str">
        <x:v>https://hotwheels.fandom.com/wiki/Ferrari_Testarossa_(1987)</x:v>
      </x:c>
      <x:c r="X629" s="82" t="str">
        <x:v>https://hotwheels.fandom.com/wiki/Ferrari_Testarossa_(1987)</x:v>
      </x:c>
    </x:row>
    <x:row r="630">
      <x:c r="A630" s="80" t="str">
        <x:v>Não</x:v>
      </x:c>
      <x:c r="B630" s="80" t="str">
        <x:v>2 — Completar aos poucos</x:v>
      </x:c>
      <x:c r="C630" s="81" t="n">
        <x:v>1989</x:v>
      </x:c>
      <x:c r="D630" s="80" t="str">
        <x:v>Ferrari Testarossa (1987)</x:v>
      </x:c>
      <x:c r="E630" s="80" t="str">
        <x:v>Ferrari Testarossa</x:v>
      </x:c>
      <x:c r="F630" s="82" t="str">
        <x:v>Leo Mattel (cardboard box and plastic box with plate) see gallery</x:v>
      </x:c>
      <x:c r="G630" s="80" t="str"/>
      <x:c r="H630" s="80" t="str"/>
      <x:c r="I630" s="83" t="str">
        <x:v>5111</x:v>
      </x:c>
      <x:c r="J630" s="80" t="str">
        <x:v>Red</x:v>
      </x:c>
      <x:c r="K630" s="82" t="str">
        <x:v>Yellow "Ferrari" big logo &amp; name on hood</x:v>
      </x:c>
      <x:c r="L630" s="82" t="str">
        <x:v>UH</x:v>
      </x:c>
      <x:c r="M630" s="82" t="str">
        <x:v>Unpainted / / / Metal</x:v>
      </x:c>
      <x:c r="N630" s="82" t="str">
        <x:v>Clear</x:v>
      </x:c>
      <x:c r="O630" s="82" t="str">
        <x:v>Tan &amp; Gray</x:v>
      </x:c>
      <x:c r="P630" s="82" t="str">
        <x:v>India</x:v>
      </x:c>
      <x:c r="Q630" s="82" t="str"/>
      <x:c r="R630" s="82" t="str">
        <x:v>Outra linha</x:v>
      </x:c>
      <x:c r="S630" s="82" t="str">
        <x:v>Rara</x:v>
      </x:c>
      <x:c r="T630" s="82" t="str">
        <x:v>Lançado</x:v>
      </x:c>
      <x:c r="U630" s="82" t="str">
        <x:v>VHTF RARE see gallery</x:v>
      </x:c>
      <x:c r="V630" s="80" t="str">
        <x:v>Coleção principal (~1:64)</x:v>
      </x:c>
      <x:c r="W630" s="82" t="str">
        <x:v>https://hotwheels.fandom.com/wiki/Ferrari_Testarossa_(1987)</x:v>
      </x:c>
      <x:c r="X630" s="82" t="str">
        <x:v>https://hotwheels.fandom.com/wiki/Ferrari_Testarossa_(1987)</x:v>
      </x:c>
    </x:row>
    <x:row r="631">
      <x:c r="A631" s="80" t="str">
        <x:v>Não</x:v>
      </x:c>
      <x:c r="B631" s="80" t="str">
        <x:v>2 — Completar aos poucos</x:v>
      </x:c>
      <x:c r="C631" s="81" t="n">
        <x:v>1989</x:v>
      </x:c>
      <x:c r="D631" s="80" t="str">
        <x:v>Ferrari Testarossa (1987)</x:v>
      </x:c>
      <x:c r="E631" s="80" t="str">
        <x:v>Ferrari Testarossa</x:v>
      </x:c>
      <x:c r="F631" s="82" t="str">
        <x:v>Park 'N Plates</x:v>
      </x:c>
      <x:c r="G631" s="80" t="str"/>
      <x:c r="H631" s="80" t="str"/>
      <x:c r="I631" s="83" t="str">
        <x:v>2048</x:v>
      </x:c>
      <x:c r="J631" s="80" t="str">
        <x:v>Metalflake Silver</x:v>
      </x:c>
      <x:c r="K631" s="82" t="str">
        <x:v>Yellow Ferrari logo on hood</x:v>
      </x:c>
      <x:c r="L631" s="82" t="str">
        <x:v>UH</x:v>
      </x:c>
      <x:c r="M631" s="82" t="str">
        <x:v>Metallic Silver / / / Metal</x:v>
      </x:c>
      <x:c r="N631" s="82" t="str">
        <x:v>Clear</x:v>
      </x:c>
      <x:c r="O631" s="82" t="str">
        <x:v>Tan &amp; Gray</x:v>
      </x:c>
      <x:c r="P631" s="82" t="str">
        <x:v>Malaysia</x:v>
      </x:c>
      <x:c r="Q631" s="82" t="str"/>
      <x:c r="R631" s="82" t="str">
        <x:v>Outra linha</x:v>
      </x:c>
      <x:c r="S631" s="82" t="str">
        <x:v>Rara</x:v>
      </x:c>
      <x:c r="T631" s="82" t="str">
        <x:v>Lançado</x:v>
      </x:c>
      <x:c r="U631" s="82" t="str"/>
      <x:c r="V631" s="80" t="str">
        <x:v>Coleção principal (~1:64)</x:v>
      </x:c>
      <x:c r="W631" s="82" t="str">
        <x:v>https://hotwheels.fandom.com/wiki/Ferrari_Testarossa_(1987)</x:v>
      </x:c>
      <x:c r="X631" s="82" t="str">
        <x:v>https://hotwheels.fandom.com/wiki/Ferrari_Testarossa_(1987)</x:v>
      </x:c>
    </x:row>
    <x:row r="632">
      <x:c r="A632" s="80" t="str">
        <x:v>Não</x:v>
      </x:c>
      <x:c r="B632" s="80" t="str">
        <x:v>2 — Completar aos poucos</x:v>
      </x:c>
      <x:c r="C632" s="81" t="n">
        <x:v>1989</x:v>
      </x:c>
      <x:c r="D632" s="80" t="str">
        <x:v>Ferrari Testarossa (1987)</x:v>
      </x:c>
      <x:c r="E632" s="80" t="str">
        <x:v>Ferrari Testarossa</x:v>
      </x:c>
      <x:c r="F632" s="82" t="str">
        <x:v>Park 'N Plates</x:v>
      </x:c>
      <x:c r="G632" s="80" t="str"/>
      <x:c r="H632" s="80" t="str"/>
      <x:c r="I632" s="83" t="str">
        <x:v>2048</x:v>
      </x:c>
      <x:c r="J632" s="80" t="str">
        <x:v>Metalflake Silver</x:v>
      </x:c>
      <x:c r="K632" s="82" t="str">
        <x:v>Yellow "Ferrari" logo &amp; name on hood</x:v>
      </x:c>
      <x:c r="L632" s="82" t="str"/>
      <x:c r="M632" s="82" t="str">
        <x:v>Metallic Silver / / / Metal</x:v>
      </x:c>
      <x:c r="N632" s="82" t="str">
        <x:v>Clear</x:v>
      </x:c>
      <x:c r="O632" s="82" t="str">
        <x:v>Red &amp; Grey</x:v>
      </x:c>
      <x:c r="P632" s="82" t="str">
        <x:v>Malaysia</x:v>
      </x:c>
      <x:c r="Q632" s="82" t="str"/>
      <x:c r="R632" s="82" t="str">
        <x:v>Outra linha</x:v>
      </x:c>
      <x:c r="S632" s="82" t="str">
        <x:v>Rara</x:v>
      </x:c>
      <x:c r="T632" s="82" t="str">
        <x:v>Lançado</x:v>
      </x:c>
      <x:c r="U632" s="82" t="str"/>
      <x:c r="V632" s="80" t="str">
        <x:v>Coleção principal (~1:64)</x:v>
      </x:c>
      <x:c r="W632" s="82" t="str">
        <x:v>https://hotwheels.fandom.com/wiki/Ferrari_Testarossa_(1987)</x:v>
      </x:c>
      <x:c r="X632" s="82" t="str">
        <x:v>https://hotwheels.fandom.com/wiki/Ferrari_Testarossa_(1987)</x:v>
      </x:c>
    </x:row>
    <x:row r="633">
      <x:c r="A633" s="80" t="str">
        <x:v>Não</x:v>
      </x:c>
      <x:c r="B633" s="80" t="str">
        <x:v>2 — Completar aos poucos</x:v>
      </x:c>
      <x:c r="C633" s="81" t="n">
        <x:v>1989</x:v>
      </x:c>
      <x:c r="D633" s="80" t="str">
        <x:v>Ferrari Testarossa (1987)</x:v>
      </x:c>
      <x:c r="E633" s="80" t="str">
        <x:v>Ferrari Testarossa</x:v>
      </x:c>
      <x:c r="F633" s="82" t="str">
        <x:v>Park 'N Plates</x:v>
      </x:c>
      <x:c r="G633" s="80" t="str"/>
      <x:c r="H633" s="80" t="str"/>
      <x:c r="I633" s="83" t="str">
        <x:v>2048</x:v>
      </x:c>
      <x:c r="J633" s="80" t="str">
        <x:v>Metalflake Silver</x:v>
      </x:c>
      <x:c r="K633" s="82" t="str">
        <x:v>Yellow "Ferrari" logo &amp; name on hood</x:v>
      </x:c>
      <x:c r="L633" s="82" t="str"/>
      <x:c r="M633" s="82" t="str">
        <x:v>Metallic Silver / / / Metal</x:v>
      </x:c>
      <x:c r="N633" s="82" t="str">
        <x:v>Clear</x:v>
      </x:c>
      <x:c r="O633" s="82" t="str">
        <x:v>Tan &amp; White</x:v>
      </x:c>
      <x:c r="P633" s="82" t="str">
        <x:v>Malaysia</x:v>
      </x:c>
      <x:c r="Q633" s="82" t="str"/>
      <x:c r="R633" s="82" t="str">
        <x:v>Outra linha</x:v>
      </x:c>
      <x:c r="S633" s="82" t="str">
        <x:v>Rara</x:v>
      </x:c>
      <x:c r="T633" s="82" t="str">
        <x:v>Lançado</x:v>
      </x:c>
      <x:c r="U633" s="82" t="str">
        <x:v>Very hard to find</x:v>
      </x:c>
      <x:c r="V633" s="80" t="str">
        <x:v>Coleção principal (~1:64)</x:v>
      </x:c>
      <x:c r="W633" s="82" t="str">
        <x:v>https://hotwheels.fandom.com/wiki/Ferrari_Testarossa_(1987)</x:v>
      </x:c>
      <x:c r="X633" s="82" t="str">
        <x:v>https://hotwheels.fandom.com/wiki/Ferrari_Testarossa_(1987)</x:v>
      </x:c>
    </x:row>
    <x:row r="634">
      <x:c r="A634" s="80" t="str">
        <x:v>Não</x:v>
      </x:c>
      <x:c r="B634" s="80" t="str">
        <x:v>2 — Completar aos poucos</x:v>
      </x:c>
      <x:c r="C634" s="81" t="n">
        <x:v>1989</x:v>
      </x:c>
      <x:c r="D634" s="80" t="str">
        <x:v>Ferrari Testarossa (1987)</x:v>
      </x:c>
      <x:c r="E634" s="80" t="str">
        <x:v>Ferrari Testarossa</x:v>
      </x:c>
      <x:c r="F634" s="82" t="str">
        <x:v>Speed Fleet</x:v>
      </x:c>
      <x:c r="G634" s="80" t="str"/>
      <x:c r="H634" s="80" t="str"/>
      <x:c r="I634" s="83" t="str">
        <x:v>5111</x:v>
      </x:c>
      <x:c r="J634" s="80" t="str">
        <x:v>Red</x:v>
      </x:c>
      <x:c r="K634" s="82" t="str">
        <x:v>Yellow "Ferrari" logo &amp; name on hood</x:v>
      </x:c>
      <x:c r="L634" s="82" t="str">
        <x:v>UH</x:v>
      </x:c>
      <x:c r="M634" s="82" t="str">
        <x:v>Red / / / Metal</x:v>
      </x:c>
      <x:c r="N634" s="82" t="str">
        <x:v>Clear</x:v>
      </x:c>
      <x:c r="O634" s="82" t="str">
        <x:v>Tan &amp; Red</x:v>
      </x:c>
      <x:c r="P634" s="82" t="str">
        <x:v>Malaysia</x:v>
      </x:c>
      <x:c r="Q634" s="82" t="str"/>
      <x:c r="R634" s="82" t="str">
        <x:v>Outra linha</x:v>
      </x:c>
      <x:c r="S634" s="82" t="str">
        <x:v>Rara</x:v>
      </x:c>
      <x:c r="T634" s="82" t="str">
        <x:v>Lançado</x:v>
      </x:c>
      <x:c r="U634" s="82" t="str"/>
      <x:c r="V634" s="80" t="str">
        <x:v>Coleção principal (~1:64)</x:v>
      </x:c>
      <x:c r="W634" s="82" t="str">
        <x:v>https://hotwheels.fandom.com/wiki/Ferrari_Testarossa_(1987)</x:v>
      </x:c>
      <x:c r="X634" s="82" t="str">
        <x:v>https://hotwheels.fandom.com/wiki/Ferrari_Testarossa_(1987)</x:v>
      </x:c>
    </x:row>
    <x:row r="635">
      <x:c r="A635" s="80" t="str">
        <x:v>Não</x:v>
      </x:c>
      <x:c r="B635" s="80" t="str">
        <x:v>2 — Completar aos poucos</x:v>
      </x:c>
      <x:c r="C635" s="81" t="n">
        <x:v>1988</x:v>
      </x:c>
      <x:c r="D635" s="80" t="str">
        <x:v>Ferrari Testarossa (1987)</x:v>
      </x:c>
      <x:c r="E635" s="80" t="str">
        <x:v>Ferrari Testarossa</x:v>
      </x:c>
      <x:c r="F635" s="82" t="str"/>
      <x:c r="G635" s="80" t="str"/>
      <x:c r="H635" s="80" t="str"/>
      <x:c r="I635" s="83" t="str">
        <x:v>7101</x:v>
      </x:c>
      <x:c r="J635" s="80" t="str">
        <x:v>White</x:v>
      </x:c>
      <x:c r="K635" s="82" t="str">
        <x:v>Ferrari logo on hood, sides and trunk, Red 75, stars, GoodYear, Olivetti, Pennzoil, Magneti Marelli.</x:v>
      </x:c>
      <x:c r="L635" s="82" t="str">
        <x:v>UH</x:v>
      </x:c>
      <x:c r="M635" s="82" t="str">
        <x:v>White / Metal</x:v>
      </x:c>
      <x:c r="N635" s="82" t="str">
        <x:v>Clear</x:v>
      </x:c>
      <x:c r="O635" s="82" t="str">
        <x:v>Black and White</x:v>
      </x:c>
      <x:c r="P635" s="82" t="str">
        <x:v>Malaysia</x:v>
      </x:c>
      <x:c r="Q635" s="82" t="str"/>
      <x:c r="R635" s="82" t="str">
        <x:v>Outra linha</x:v>
      </x:c>
      <x:c r="S635" s="82" t="str">
        <x:v>Rara</x:v>
      </x:c>
      <x:c r="T635" s="82" t="str">
        <x:v>Lançado</x:v>
      </x:c>
      <x:c r="U635" s="82" t="str">
        <x:v>White version of car above "No Longines on Bumber". In LW baggie, VHTF, possible proto?</x:v>
      </x:c>
      <x:c r="V635" s="80" t="str">
        <x:v>Coleção principal (~1:64)</x:v>
      </x:c>
      <x:c r="W635" s="82" t="str">
        <x:v>https://hotwheels.fandom.com/wiki/Ferrari_Testarossa_(1987)</x:v>
      </x:c>
      <x:c r="X635" s="82" t="str">
        <x:v>https://hotwheels.fandom.com/wiki/Ferrari_Testarossa_(1987)</x:v>
      </x:c>
    </x:row>
    <x:row r="636">
      <x:c r="A636" s="80" t="str">
        <x:v>Não</x:v>
      </x:c>
      <x:c r="B636" s="80" t="str">
        <x:v>2 — Completar aos poucos</x:v>
      </x:c>
      <x:c r="C636" s="81" t="n">
        <x:v>1988</x:v>
      </x:c>
      <x:c r="D636" s="80" t="str">
        <x:v>Ferrari Testarossa (1987)</x:v>
      </x:c>
      <x:c r="E636" s="80" t="str">
        <x:v>Ferrari Testarossa</x:v>
      </x:c>
      <x:c r="F636" s="82" t="str">
        <x:v>20th Anniversary 3-Pack</x:v>
      </x:c>
      <x:c r="G636" s="80" t="str"/>
      <x:c r="H636" s="80" t="str"/>
      <x:c r="I636" s="83" t="str">
        <x:v>4592</x:v>
      </x:c>
      <x:c r="J636" s="80" t="str">
        <x:v>Chrome</x:v>
      </x:c>
      <x:c r="K636" s="82" t="str">
        <x:v>None</x:v>
      </x:c>
      <x:c r="L636" s="82" t="str">
        <x:v>UH</x:v>
      </x:c>
      <x:c r="M636" s="82" t="str">
        <x:v>Unpainted / / / Metal</x:v>
      </x:c>
      <x:c r="N636" s="82" t="str">
        <x:v>Clear</x:v>
      </x:c>
      <x:c r="O636" s="82" t="str">
        <x:v>Red &amp; Gray</x:v>
      </x:c>
      <x:c r="P636" s="82" t="str">
        <x:v>Malaysia</x:v>
      </x:c>
      <x:c r="Q636" s="82" t="str"/>
      <x:c r="R636" s="82" t="str">
        <x:v>Outra linha</x:v>
      </x:c>
      <x:c r="S636" s="82" t="str">
        <x:v>Rara</x:v>
      </x:c>
      <x:c r="T636" s="82" t="str">
        <x:v>Lançado</x:v>
      </x:c>
      <x:c r="U636" s="82" t="str">
        <x:v>20th Anniversary cast in top</x:v>
      </x:c>
      <x:c r="V636" s="80" t="str">
        <x:v>Coleção principal (~1:64)</x:v>
      </x:c>
      <x:c r="W636" s="82" t="str">
        <x:v>https://hotwheels.fandom.com/wiki/Ferrari_Testarossa_(1987)</x:v>
      </x:c>
      <x:c r="X636" s="82" t="str">
        <x:v>https://hotwheels.fandom.com/wiki/Ferrari_Testarossa_(1987)</x:v>
      </x:c>
    </x:row>
    <x:row r="637">
      <x:c r="A637" s="80" t="str">
        <x:v>Não</x:v>
      </x:c>
      <x:c r="B637" s="80" t="str">
        <x:v>2 — Completar aos poucos</x:v>
      </x:c>
      <x:c r="C637" s="81" t="n">
        <x:v>1988</x:v>
      </x:c>
      <x:c r="D637" s="80" t="str">
        <x:v>Ferrari Testarossa (1987)</x:v>
      </x:c>
      <x:c r="E637" s="80" t="str">
        <x:v>Ferrari Testarossa</x:v>
      </x:c>
      <x:c r="F637" s="82" t="str">
        <x:v>Mainline</x:v>
      </x:c>
      <x:c r="G637" s="80" t="str"/>
      <x:c r="H637" s="80" t="str"/>
      <x:c r="I637" s="83" t="str">
        <x:v>5111</x:v>
      </x:c>
      <x:c r="J637" s="80" t="str">
        <x:v>Red</x:v>
      </x:c>
      <x:c r="K637" s="82" t="str">
        <x:v>Yellow "Ferrari" logo &amp; name on hood</x:v>
      </x:c>
      <x:c r="L637" s="82" t="str">
        <x:v>UH</x:v>
      </x:c>
      <x:c r="M637" s="82" t="str">
        <x:v>Red / / / Metal</x:v>
      </x:c>
      <x:c r="N637" s="82" t="str">
        <x:v>Clear</x:v>
      </x:c>
      <x:c r="O637" s="82" t="str">
        <x:v>Black &amp; Red</x:v>
      </x:c>
      <x:c r="P637" s="82" t="str">
        <x:v>Malaysia</x:v>
      </x:c>
      <x:c r="Q637" s="82" t="str"/>
      <x:c r="R637" s="82" t="str">
        <x:v>Mainline</x:v>
      </x:c>
      <x:c r="S637" s="82" t="str">
        <x:v>Rara</x:v>
      </x:c>
      <x:c r="T637" s="82" t="str">
        <x:v>Lançado</x:v>
      </x:c>
      <x:c r="U637" s="82" t="str"/>
      <x:c r="V637" s="80" t="str">
        <x:v>Coleção principal (~1:64)</x:v>
      </x:c>
      <x:c r="W637" s="82" t="str">
        <x:v>https://hotwheels.fandom.com/wiki/Ferrari_Testarossa_(1987)</x:v>
      </x:c>
      <x:c r="X637" s="82" t="str">
        <x:v>https://hotwheels.fandom.com/wiki/Ferrari_Testarossa_(1987)</x:v>
      </x:c>
    </x:row>
    <x:row r="638">
      <x:c r="A638" s="80" t="str">
        <x:v>Não</x:v>
      </x:c>
      <x:c r="B638" s="80" t="str">
        <x:v>2 — Completar aos poucos</x:v>
      </x:c>
      <x:c r="C638" s="81" t="n">
        <x:v>1988</x:v>
      </x:c>
      <x:c r="D638" s="80" t="str">
        <x:v>Ferrari Testarossa (1987)</x:v>
      </x:c>
      <x:c r="E638" s="80" t="str">
        <x:v>Ferrari Testarossa</x:v>
      </x:c>
      <x:c r="F638" s="82" t="str">
        <x:v>Speedshift 500 Raceway / Mattel Toy Club</x:v>
      </x:c>
      <x:c r="G638" s="80" t="str"/>
      <x:c r="H638" s="80" t="str"/>
      <x:c r="I638" s="83" t="str">
        <x:v>7101</x:v>
      </x:c>
      <x:c r="J638" s="80" t="str">
        <x:v>Yellow</x:v>
      </x:c>
      <x:c r="K638" s="82" t="str">
        <x:v>Ferrari logo on hood, sides and trunk, Blue 75, stars, Goodyear, Olivetti, Pennzoil, Magneti Marelli logos, and Longines logo</x:v>
      </x:c>
      <x:c r="L638" s="82" t="str">
        <x:v>UH</x:v>
      </x:c>
      <x:c r="M638" s="82" t="str">
        <x:v>Yellow / / / Metal</x:v>
      </x:c>
      <x:c r="N638" s="82" t="str">
        <x:v>Clear</x:v>
      </x:c>
      <x:c r="O638" s="82" t="str">
        <x:v>Black &amp; Yellow</x:v>
      </x:c>
      <x:c r="P638" s="82" t="str">
        <x:v>Malaysia</x:v>
      </x:c>
      <x:c r="Q638" s="82" t="str"/>
      <x:c r="R638" s="82" t="str">
        <x:v>Outra linha</x:v>
      </x:c>
      <x:c r="S638" s="82" t="str">
        <x:v>Rara</x:v>
      </x:c>
      <x:c r="T638" s="82" t="str">
        <x:v>Lançado</x:v>
      </x:c>
      <x:c r="U638" s="82" t="str"/>
      <x:c r="V638" s="80" t="str">
        <x:v>Coleção principal (~1:64)</x:v>
      </x:c>
      <x:c r="W638" s="82" t="str">
        <x:v>https://hotwheels.fandom.com/wiki/Ferrari_Testarossa_(1987)</x:v>
      </x:c>
      <x:c r="X638" s="82" t="str">
        <x:v>https://hotwheels.fandom.com/wiki/Ferrari_Testarossa_(1987)</x:v>
      </x:c>
    </x:row>
    <x:row r="639">
      <x:c r="A639" s="80" t="str">
        <x:v>Não</x:v>
      </x:c>
      <x:c r="B639" s="80" t="str">
        <x:v>2 — Completar aos poucos</x:v>
      </x:c>
      <x:c r="C639" s="81" t="n">
        <x:v>1988</x:v>
      </x:c>
      <x:c r="D639" s="80" t="str">
        <x:v>Racebait 308</x:v>
      </x:c>
      <x:c r="E639" s="80" t="str">
        <x:v>Racebait 308</x:v>
      </x:c>
      <x:c r="F639" s="82" t="str">
        <x:v>Automagic 2-Pack</x:v>
      </x:c>
      <x:c r="G639" s="80" t="str"/>
      <x:c r="H639" s="80" t="str"/>
      <x:c r="I639" s="83" t="str">
        <x:v>7241</x:v>
      </x:c>
      <x:c r="J639" s="80" t="str">
        <x:v>Pink? / / / White</x:v>
      </x:c>
      <x:c r="K639" s="82" t="str">
        <x:v>Dual White/Blue rally stripe on hood and roof, "Ferrari" logos on hood "308" on hood both in Dark Blue, 2 "308" on roof</x:v>
      </x:c>
      <x:c r="L639" s="82" t="str">
        <x:v>BW</x:v>
      </x:c>
      <x:c r="M639" s="82" t="str">
        <x:v>Metal / / / Black Gloss</x:v>
      </x:c>
      <x:c r="N639" s="82" t="str">
        <x:v>Clear</x:v>
      </x:c>
      <x:c r="O639" s="82" t="str">
        <x:v>Tan</x:v>
      </x:c>
      <x:c r="P639" s="82" t="str">
        <x:v>Malaysia</x:v>
      </x:c>
      <x:c r="Q639" s="82" t="str"/>
      <x:c r="R639" s="82" t="str">
        <x:v>Outra linha</x:v>
      </x:c>
      <x:c r="S639" s="82" t="str">
        <x:v>Rara</x:v>
      </x:c>
      <x:c r="T639" s="82" t="str">
        <x:v>Lançado</x:v>
      </x:c>
      <x:c r="U639" s="82" t="str">
        <x:v>Appears in a Color Racers 3 Pack as well</x:v>
      </x:c>
      <x:c r="V639" s="80" t="str">
        <x:v>Coleção principal (~1:64)</x:v>
      </x:c>
      <x:c r="W639" s="82" t="str">
        <x:v>https://hotwheels.fandom.com/wiki/Racebait_308</x:v>
      </x:c>
      <x:c r="X639" s="82" t="str">
        <x:v>https://hotwheels.fandom.com/wiki/Racebait_308</x:v>
      </x:c>
    </x:row>
    <x:row r="640">
      <x:c r="A640" s="80" t="str">
        <x:v>Não</x:v>
      </x:c>
      <x:c r="B640" s="80" t="str">
        <x:v>2 — Completar aos poucos</x:v>
      </x:c>
      <x:c r="C640" s="81" t="n">
        <x:v>1988</x:v>
      </x:c>
      <x:c r="D640" s="80" t="str">
        <x:v>Racebait 308</x:v>
      </x:c>
      <x:c r="E640" s="80" t="str">
        <x:v>Racebait 308</x:v>
      </x:c>
      <x:c r="F640" s="82" t="str">
        <x:v>Automagic 2-Pack</x:v>
      </x:c>
      <x:c r="G640" s="80" t="str"/>
      <x:c r="H640" s="80" t="str"/>
      <x:c r="I640" s="83" t="str">
        <x:v>1439</x:v>
      </x:c>
      <x:c r="J640" s="80" t="str">
        <x:v>Red &amp; white</x:v>
      </x:c>
      <x:c r="K640" s="82" t="str">
        <x:v>Dual Yellow/ Black rally stripe on hood and roof, "308" on hood both in Black</x:v>
      </x:c>
      <x:c r="L640" s="82" t="str">
        <x:v>BW</x:v>
      </x:c>
      <x:c r="M640" s="82" t="str">
        <x:v>Black / / / Metal</x:v>
      </x:c>
      <x:c r="N640" s="82" t="str">
        <x:v>Clear</x:v>
      </x:c>
      <x:c r="O640" s="82" t="str">
        <x:v>Tan</x:v>
      </x:c>
      <x:c r="P640" s="82" t="str">
        <x:v>Malaysia</x:v>
      </x:c>
      <x:c r="Q640" s="82" t="str"/>
      <x:c r="R640" s="82" t="str">
        <x:v>Outra linha</x:v>
      </x:c>
      <x:c r="S640" s="82" t="str">
        <x:v>Rara</x:v>
      </x:c>
      <x:c r="T640" s="82" t="str">
        <x:v>Lançado</x:v>
      </x:c>
      <x:c r="U640" s="82" t="str">
        <x:v>Appears in Automagic III as well / Appears in Color Racers 3-Pack</x:v>
      </x:c>
      <x:c r="V640" s="80" t="str">
        <x:v>Coleção principal (~1:64)</x:v>
      </x:c>
      <x:c r="W640" s="82" t="str">
        <x:v>https://hotwheels.fandom.com/wiki/Racebait_308</x:v>
      </x:c>
      <x:c r="X640" s="82" t="str">
        <x:v>https://hotwheels.fandom.com/wiki/Racebait_308</x:v>
      </x:c>
    </x:row>
    <x:row r="641">
      <x:c r="A641" s="80" t="str">
        <x:v>Não</x:v>
      </x:c>
      <x:c r="B641" s="80" t="str">
        <x:v>2 — Completar aos poucos</x:v>
      </x:c>
      <x:c r="C641" s="81" t="n">
        <x:v>1988</x:v>
      </x:c>
      <x:c r="D641" s="80" t="str">
        <x:v>Racebait 308</x:v>
      </x:c>
      <x:c r="E641" s="80" t="str">
        <x:v>Racebait 308</x:v>
      </x:c>
      <x:c r="F641" s="82" t="str">
        <x:v>Color Racers 3-Pack</x:v>
      </x:c>
      <x:c r="G641" s="80" t="str"/>
      <x:c r="H641" s="80" t="str"/>
      <x:c r="I641" s="83" t="str">
        <x:v>5607</x:v>
      </x:c>
      <x:c r="J641" s="80" t="str">
        <x:v>Pink / / / White</x:v>
      </x:c>
      <x:c r="K641" s="82" t="str">
        <x:v>Dual White/Red rally stripe on hood and roof, "Ferrari" logos on hood "308" on hood both in Dark Blue, 2 "308" on roof</x:v>
      </x:c>
      <x:c r="L641" s="82" t="str">
        <x:v>BW</x:v>
      </x:c>
      <x:c r="M641" s="82" t="str">
        <x:v>Black / / / Metal</x:v>
      </x:c>
      <x:c r="N641" s="82" t="str">
        <x:v>Clear</x:v>
      </x:c>
      <x:c r="O641" s="82" t="str">
        <x:v>Tan</x:v>
      </x:c>
      <x:c r="P641" s="82" t="str">
        <x:v>Malaysia</x:v>
      </x:c>
      <x:c r="Q641" s="82" t="str"/>
      <x:c r="R641" s="82" t="str">
        <x:v>Outra linha</x:v>
      </x:c>
      <x:c r="S641" s="82" t="str">
        <x:v>Rara</x:v>
      </x:c>
      <x:c r="T641" s="82" t="str">
        <x:v>Lançado</x:v>
      </x:c>
      <x:c r="U641" s="82" t="str"/>
      <x:c r="V641" s="80" t="str">
        <x:v>Coleção principal (~1:64)</x:v>
      </x:c>
      <x:c r="W641" s="82" t="str">
        <x:v>https://hotwheels.fandom.com/wiki/Racebait_308</x:v>
      </x:c>
      <x:c r="X641" s="82" t="str">
        <x:v>https://hotwheels.fandom.com/wiki/Racebait_308</x:v>
      </x:c>
    </x:row>
    <x:row r="642">
      <x:c r="A642" s="80" t="str">
        <x:v>Não</x:v>
      </x:c>
      <x:c r="B642" s="80" t="str">
        <x:v>2 — Completar aos poucos</x:v>
      </x:c>
      <x:c r="C642" s="81" t="n">
        <x:v>1988</x:v>
      </x:c>
      <x:c r="D642" s="80" t="str">
        <x:v>Racebait 308</x:v>
      </x:c>
      <x:c r="E642" s="80" t="str">
        <x:v>Racebait 308</x:v>
      </x:c>
      <x:c r="F642" s="82" t="str">
        <x:v>Mainline</x:v>
      </x:c>
      <x:c r="G642" s="80" t="str"/>
      <x:c r="H642" s="80" t="str"/>
      <x:c r="I642" s="83" t="str">
        <x:v>3976</x:v>
      </x:c>
      <x:c r="J642" s="80" t="str">
        <x:v>Metalflake Gray</x:v>
      </x:c>
      <x:c r="K642" s="82" t="str">
        <x:v>Red, Yellow stripes, 308 &amp; turbo on sides</x:v>
      </x:c>
      <x:c r="L642" s="82" t="str">
        <x:v>Gold BW</x:v>
      </x:c>
      <x:c r="M642" s="82" t="str">
        <x:v>Black / / / Metal</x:v>
      </x:c>
      <x:c r="N642" s="82" t="str">
        <x:v>Blue</x:v>
      </x:c>
      <x:c r="O642" s="82" t="str">
        <x:v>Black</x:v>
      </x:c>
      <x:c r="P642" s="82" t="str">
        <x:v>Hong Kong</x:v>
      </x:c>
      <x:c r="Q642" s="82" t="str"/>
      <x:c r="R642" s="82" t="str">
        <x:v>Mainline</x:v>
      </x:c>
      <x:c r="S642" s="82" t="str">
        <x:v>Rara</x:v>
      </x:c>
      <x:c r="T642" s="82" t="str">
        <x:v>Lançado</x:v>
      </x:c>
      <x:c r="U642" s="82" t="str">
        <x:v>Named Street Beast</x:v>
      </x:c>
      <x:c r="V642" s="80" t="str">
        <x:v>Coleção principal (~1:64)</x:v>
      </x:c>
      <x:c r="W642" s="82" t="str">
        <x:v>https://hotwheels.fandom.com/wiki/Racebait_308</x:v>
      </x:c>
      <x:c r="X642" s="82" t="str">
        <x:v>https://hotwheels.fandom.com/wiki/Racebait_308</x:v>
      </x:c>
    </x:row>
    <x:row r="643">
      <x:c r="A643" s="80" t="str">
        <x:v>Não</x:v>
      </x:c>
      <x:c r="B643" s="80" t="str">
        <x:v>2 — Completar aos poucos</x:v>
      </x:c>
      <x:c r="C643" s="81" t="n">
        <x:v>1988</x:v>
      </x:c>
      <x:c r="D643" s="80" t="str">
        <x:v>Racebait 308</x:v>
      </x:c>
      <x:c r="E643" s="80" t="str">
        <x:v>Racebait 308</x:v>
      </x:c>
      <x:c r="F643" s="82" t="str">
        <x:v>Mainline</x:v>
      </x:c>
      <x:c r="G643" s="80" t="str"/>
      <x:c r="H643" s="80" t="str"/>
      <x:c r="I643" s="83" t="str">
        <x:v>3975</x:v>
      </x:c>
      <x:c r="J643" s="80" t="str">
        <x:v>Red</x:v>
      </x:c>
      <x:c r="K643" s="82" t="str">
        <x:v>Yellow Blue And Black With 308 On Sides</x:v>
      </x:c>
      <x:c r="L643" s="82" t="str">
        <x:v>Gold BW</x:v>
      </x:c>
      <x:c r="M643" s="82" t="str">
        <x:v>Black / / / Metal</x:v>
      </x:c>
      <x:c r="N643" s="82" t="str">
        <x:v>Tinted</x:v>
      </x:c>
      <x:c r="O643" s="82" t="str">
        <x:v>Black</x:v>
      </x:c>
      <x:c r="P643" s="82" t="str">
        <x:v>Hong Kong</x:v>
      </x:c>
      <x:c r="Q643" s="82" t="str"/>
      <x:c r="R643" s="82" t="str">
        <x:v>Mainline</x:v>
      </x:c>
      <x:c r="S643" s="82" t="str">
        <x:v>Rara</x:v>
      </x:c>
      <x:c r="T643" s="82" t="str">
        <x:v>Lançado</x:v>
      </x:c>
      <x:c r="U643" s="82" t="str">
        <x:v>Named Street Beast</x:v>
      </x:c>
      <x:c r="V643" s="80" t="str">
        <x:v>Coleção principal (~1:64)</x:v>
      </x:c>
      <x:c r="W643" s="82" t="str">
        <x:v>https://hotwheels.fandom.com/wiki/Racebait_308</x:v>
      </x:c>
      <x:c r="X643" s="82" t="str">
        <x:v>https://hotwheels.fandom.com/wiki/Racebait_308</x:v>
      </x:c>
    </x:row>
    <x:row r="644">
      <x:c r="A644" s="80" t="str">
        <x:v>Não</x:v>
      </x:c>
      <x:c r="B644" s="80" t="str">
        <x:v>2 — Completar aos poucos</x:v>
      </x:c>
      <x:c r="C644" s="81" t="n">
        <x:v>1987</x:v>
      </x:c>
      <x:c r="D644" s="80" t="str">
        <x:v>Ferrari Testarossa (1987)</x:v>
      </x:c>
      <x:c r="E644" s="80" t="str">
        <x:v>Ferrari Testarossa</x:v>
      </x:c>
      <x:c r="F644" s="82" t="str">
        <x:v>International Mainline</x:v>
      </x:c>
      <x:c r="G644" s="80" t="str"/>
      <x:c r="H644" s="80" t="str"/>
      <x:c r="I644" s="83" t="str">
        <x:v>3835</x:v>
      </x:c>
      <x:c r="J644" s="80" t="str">
        <x:v>White</x:v>
      </x:c>
      <x:c r="K644" s="82" t="str">
        <x:v>Red "75" Stars w/ "Ferrari" logo at back</x:v>
      </x:c>
      <x:c r="L644" s="82" t="str">
        <x:v>UH</x:v>
      </x:c>
      <x:c r="M644" s="82" t="str">
        <x:v>Painted White Metal</x:v>
      </x:c>
      <x:c r="N644" s="82" t="str">
        <x:v>Clear</x:v>
      </x:c>
      <x:c r="O644" s="82" t="str">
        <x:v>White &amp; Black</x:v>
      </x:c>
      <x:c r="P644" s="82" t="str">
        <x:v>Malaysia</x:v>
      </x:c>
      <x:c r="Q644" s="82" t="str"/>
      <x:c r="R644" s="82" t="str">
        <x:v>Mainline</x:v>
      </x:c>
      <x:c r="S644" s="82" t="str">
        <x:v>Rara</x:v>
      </x:c>
      <x:c r="T644" s="82" t="str">
        <x:v>Lançado</x:v>
      </x:c>
      <x:c r="U644" s="82" t="str">
        <x:v>posible Tampo variation "Longines" and sponsors</x:v>
      </x:c>
      <x:c r="V644" s="80" t="str">
        <x:v>Coleção principal (~1:64)</x:v>
      </x:c>
      <x:c r="W644" s="82" t="str">
        <x:v>https://hotwheels.fandom.com/wiki/Ferrari_Testarossa_(1987)</x:v>
      </x:c>
      <x:c r="X644" s="82" t="str">
        <x:v>https://hotwheels.fandom.com/wiki/Ferrari_Testarossa_(1987)</x:v>
      </x:c>
    </x:row>
    <x:row r="645">
      <x:c r="A645" s="80" t="str">
        <x:v>Não</x:v>
      </x:c>
      <x:c r="B645" s="80" t="str">
        <x:v>2 — Completar aos poucos</x:v>
      </x:c>
      <x:c r="C645" s="81" t="n">
        <x:v>1987</x:v>
      </x:c>
      <x:c r="D645" s="80" t="str">
        <x:v>Ferrari Testarossa (1987)</x:v>
      </x:c>
      <x:c r="E645" s="80" t="str">
        <x:v>Ferrari Testarossa</x:v>
      </x:c>
      <x:c r="F645" s="82" t="str">
        <x:v>Mainline</x:v>
      </x:c>
      <x:c r="G645" s="80" t="str"/>
      <x:c r="H645" s="80" t="str"/>
      <x:c r="I645" s="83" t="str">
        <x:v>1897</x:v>
      </x:c>
      <x:c r="J645" s="80" t="str">
        <x:v>Black</x:v>
      </x:c>
      <x:c r="K645" s="82" t="str">
        <x:v>None</x:v>
      </x:c>
      <x:c r="L645" s="82" t="str">
        <x:v>UH</x:v>
      </x:c>
      <x:c r="M645" s="82" t="str">
        <x:v>Black / / / Metal</x:v>
      </x:c>
      <x:c r="N645" s="82" t="str">
        <x:v>Clear</x:v>
      </x:c>
      <x:c r="O645" s="82" t="str">
        <x:v>Red &amp; Black</x:v>
      </x:c>
      <x:c r="P645" s="82" t="str">
        <x:v>Malaysia</x:v>
      </x:c>
      <x:c r="Q645" s="82" t="str"/>
      <x:c r="R645" s="82" t="str">
        <x:v>Mainline</x:v>
      </x:c>
      <x:c r="S645" s="82" t="str">
        <x:v>Rara</x:v>
      </x:c>
      <x:c r="T645" s="82" t="str">
        <x:v>Lançado</x:v>
      </x:c>
      <x:c r="U645" s="82" t="str">
        <x:v>Small Logo Base, see gallery</x:v>
      </x:c>
      <x:c r="V645" s="80" t="str">
        <x:v>Coleção principal (~1:64)</x:v>
      </x:c>
      <x:c r="W645" s="82" t="str">
        <x:v>https://hotwheels.fandom.com/wiki/Ferrari_Testarossa_(1987)</x:v>
      </x:c>
      <x:c r="X645" s="82" t="str">
        <x:v>https://hotwheels.fandom.com/wiki/Ferrari_Testarossa_(1987)</x:v>
      </x:c>
    </x:row>
    <x:row r="646">
      <x:c r="A646" s="80" t="str">
        <x:v>Não</x:v>
      </x:c>
      <x:c r="B646" s="80" t="str">
        <x:v>2 — Completar aos poucos</x:v>
      </x:c>
      <x:c r="C646" s="81" t="n">
        <x:v>1987</x:v>
      </x:c>
      <x:c r="D646" s="80" t="str">
        <x:v>Ferrari Testarossa (1987)</x:v>
      </x:c>
      <x:c r="E646" s="80" t="str">
        <x:v>Ferrari Testarossa</x:v>
      </x:c>
      <x:c r="F646" s="82" t="str">
        <x:v>Speed Fleet</x:v>
      </x:c>
      <x:c r="G646" s="80" t="str"/>
      <x:c r="H646" s="80" t="str"/>
      <x:c r="I646" s="83" t="str">
        <x:v>1897</x:v>
      </x:c>
      <x:c r="J646" s="80" t="str">
        <x:v>White</x:v>
      </x:c>
      <x:c r="K646" s="82" t="str">
        <x:v>None</x:v>
      </x:c>
      <x:c r="L646" s="82" t="str">
        <x:v>UH</x:v>
      </x:c>
      <x:c r="M646" s="82" t="str">
        <x:v>White / / / Metal</x:v>
      </x:c>
      <x:c r="N646" s="82" t="str">
        <x:v>Clear</x:v>
      </x:c>
      <x:c r="O646" s="82" t="str">
        <x:v>White &amp; Red</x:v>
      </x:c>
      <x:c r="P646" s="82" t="str">
        <x:v>Malaysia</x:v>
      </x:c>
      <x:c r="Q646" s="82" t="str"/>
      <x:c r="R646" s="82" t="str">
        <x:v>Outra linha</x:v>
      </x:c>
      <x:c r="S646" s="82" t="str">
        <x:v>Rara</x:v>
      </x:c>
      <x:c r="T646" s="82" t="str">
        <x:v>Lançado</x:v>
      </x:c>
      <x:c r="U646" s="82" t="str">
        <x:v>Base variation, big logo lowercase letters</x:v>
      </x:c>
      <x:c r="V646" s="80" t="str">
        <x:v>Coleção principal (~1:64)</x:v>
      </x:c>
      <x:c r="W646" s="82" t="str">
        <x:v>https://hotwheels.fandom.com/wiki/Ferrari_Testarossa_(1987)</x:v>
      </x:c>
      <x:c r="X646" s="82" t="str">
        <x:v>https://hotwheels.fandom.com/wiki/Ferrari_Testarossa_(1987)</x:v>
      </x:c>
    </x:row>
    <x:row r="647">
      <x:c r="A647" s="80" t="str">
        <x:v>Não</x:v>
      </x:c>
      <x:c r="B647" s="80" t="str">
        <x:v>2 — Completar aos poucos</x:v>
      </x:c>
      <x:c r="C647" s="81" t="n">
        <x:v>1987</x:v>
      </x:c>
      <x:c r="D647" s="80" t="str">
        <x:v>Ferrari Testarossa (1987)</x:v>
      </x:c>
      <x:c r="E647" s="80" t="str">
        <x:v>Ferrari Testarossa</x:v>
      </x:c>
      <x:c r="F647" s="82" t="str">
        <x:v>Speed Fleet</x:v>
      </x:c>
      <x:c r="G647" s="80" t="str"/>
      <x:c r="H647" s="80" t="str"/>
      <x:c r="I647" s="83" t="str">
        <x:v>1897</x:v>
      </x:c>
      <x:c r="J647" s="80" t="str">
        <x:v>White</x:v>
      </x:c>
      <x:c r="K647" s="82" t="str">
        <x:v>None</x:v>
      </x:c>
      <x:c r="L647" s="82" t="str">
        <x:v>UH</x:v>
      </x:c>
      <x:c r="M647" s="82" t="str">
        <x:v>White / / / Metal</x:v>
      </x:c>
      <x:c r="N647" s="82" t="str">
        <x:v>Clear</x:v>
      </x:c>
      <x:c r="O647" s="82" t="str">
        <x:v>White and Red</x:v>
      </x:c>
      <x:c r="P647" s="82" t="str">
        <x:v>Malaysia</x:v>
      </x:c>
      <x:c r="Q647" s="82" t="str"/>
      <x:c r="R647" s="82" t="str">
        <x:v>Mainline</x:v>
      </x:c>
      <x:c r="S647" s="82" t="str">
        <x:v>Rara</x:v>
      </x:c>
      <x:c r="T647" s="82" t="str">
        <x:v>Lançado</x:v>
      </x:c>
      <x:c r="U647" s="82" t="str">
        <x:v>Diferent HW logo size "big or small"</x:v>
      </x:c>
      <x:c r="V647" s="80" t="str">
        <x:v>Coleção principal (~1:64)</x:v>
      </x:c>
      <x:c r="W647" s="82" t="str">
        <x:v>https://hotwheels.fandom.com/wiki/Ferrari_Testarossa_(1987)</x:v>
      </x:c>
      <x:c r="X647" s="82" t="str">
        <x:v>https://hotwheels.fandom.com/wiki/Ferrari_Testarossa_(1987)</x:v>
      </x:c>
    </x:row>
    <x:row r="648">
      <x:c r="A648" s="80" t="str">
        <x:v>Não</x:v>
      </x:c>
      <x:c r="B648" s="80" t="str">
        <x:v>2 — Completar aos poucos</x:v>
      </x:c>
      <x:c r="C648" s="81" t="n">
        <x:v>1987</x:v>
      </x:c>
      <x:c r="D648" s="80" t="str">
        <x:v>Ferrari Testarossa (1987)</x:v>
      </x:c>
      <x:c r="E648" s="80" t="str">
        <x:v>Ferrari Testarossa</x:v>
      </x:c>
      <x:c r="F648" s="82" t="str">
        <x:v>Turbo Trax Glo Jump Track Set</x:v>
      </x:c>
      <x:c r="G648" s="80" t="str"/>
      <x:c r="H648" s="80" t="str"/>
      <x:c r="I648" s="83" t="str">
        <x:v>1897</x:v>
      </x:c>
      <x:c r="J648" s="80" t="str">
        <x:v>Red</x:v>
      </x:c>
      <x:c r="K648" s="82" t="str">
        <x:v>White glow-in-the-dark arrow</x:v>
      </x:c>
      <x:c r="L648" s="82" t="str">
        <x:v>UH</x:v>
      </x:c>
      <x:c r="M648" s="82" t="str">
        <x:v>Red / / / Metal</x:v>
      </x:c>
      <x:c r="N648" s="82" t="str">
        <x:v>Clear</x:v>
      </x:c>
      <x:c r="O648" s="82" t="str">
        <x:v>Red</x:v>
      </x:c>
      <x:c r="P648" s="82" t="str">
        <x:v>Malaysia</x:v>
      </x:c>
      <x:c r="Q648" s="82" t="str"/>
      <x:c r="R648" s="82" t="str">
        <x:v>Outra linha</x:v>
      </x:c>
      <x:c r="S648" s="82" t="str">
        <x:v>Rara</x:v>
      </x:c>
      <x:c r="T648" s="82" t="str">
        <x:v>Lançado</x:v>
      </x:c>
      <x:c r="U648" s="82" t="str">
        <x:v>Only available in set</x:v>
      </x:c>
      <x:c r="V648" s="80" t="str">
        <x:v>Coleção principal (~1:64)</x:v>
      </x:c>
      <x:c r="W648" s="82" t="str">
        <x:v>https://hotwheels.fandom.com/wiki/Ferrari_Testarossa_(1987)</x:v>
      </x:c>
      <x:c r="X648" s="82" t="str">
        <x:v>https://hotwheels.fandom.com/wiki/Ferrari_Testarossa_(1987)</x:v>
      </x:c>
    </x:row>
    <x:row r="649">
      <x:c r="A649" s="80" t="str">
        <x:v>Não</x:v>
      </x:c>
      <x:c r="B649" s="80" t="str">
        <x:v>2 — Completar aos poucos</x:v>
      </x:c>
      <x:c r="C649" s="81" t="n">
        <x:v>1986</x:v>
      </x:c>
      <x:c r="D649" s="80" t="str">
        <x:v>Racebait 308</x:v>
      </x:c>
      <x:c r="E649" s="80" t="str">
        <x:v>Racebait 308</x:v>
      </x:c>
      <x:c r="F649" s="82" t="str">
        <x:v>Speed Fleet</x:v>
      </x:c>
      <x:c r="G649" s="80" t="str"/>
      <x:c r="H649" s="80" t="str"/>
      <x:c r="I649" s="83" t="str">
        <x:v>9538</x:v>
      </x:c>
      <x:c r="J649" s="80" t="str">
        <x:v>Metalflake Blue</x:v>
      </x:c>
      <x:c r="K649" s="82" t="str">
        <x:v>"Ultra Hots" tampos</x:v>
      </x:c>
      <x:c r="L649" s="82" t="str">
        <x:v>Gold BW</x:v>
      </x:c>
      <x:c r="M649" s="82" t="str">
        <x:v>Black / / / Metal</x:v>
      </x:c>
      <x:c r="N649" s="82" t="str">
        <x:v>Solid Black</x:v>
      </x:c>
      <x:c r="O649" s="82" t="str">
        <x:v>Black</x:v>
      </x:c>
      <x:c r="P649" s="82" t="str">
        <x:v>Malaysia</x:v>
      </x:c>
      <x:c r="Q649" s="82" t="str"/>
      <x:c r="R649" s="82" t="str">
        <x:v>Outra linha</x:v>
      </x:c>
      <x:c r="S649" s="82" t="str">
        <x:v>Rara</x:v>
      </x:c>
      <x:c r="T649" s="82" t="str">
        <x:v>Lançado</x:v>
      </x:c>
      <x:c r="U649" s="82" t="str">
        <x:v>Named Street Beast</x:v>
      </x:c>
      <x:c r="V649" s="80" t="str">
        <x:v>Coleção principal (~1:64)</x:v>
      </x:c>
      <x:c r="W649" s="82" t="str">
        <x:v>https://hotwheels.fandom.com/wiki/Racebait_308</x:v>
      </x:c>
      <x:c r="X649" s="82" t="str">
        <x:v>https://hotwheels.fandom.com/wiki/Racebait_308</x:v>
      </x:c>
    </x:row>
    <x:row r="650">
      <x:c r="A650" s="80" t="str">
        <x:v>Não</x:v>
      </x:c>
      <x:c r="B650" s="80" t="str">
        <x:v>2 — Completar aos poucos</x:v>
      </x:c>
      <x:c r="C650" s="81" t="n">
        <x:v>1985</x:v>
      </x:c>
      <x:c r="D650" s="80" t="str">
        <x:v>Racebait 308</x:v>
      </x:c>
      <x:c r="E650" s="80" t="str">
        <x:v>Racebait 308</x:v>
      </x:c>
      <x:c r="F650" s="82" t="str">
        <x:v>Ultra Hots</x:v>
      </x:c>
      <x:c r="G650" s="80" t="str"/>
      <x:c r="H650" s="80" t="str"/>
      <x:c r="I650" s="83" t="str">
        <x:v>9538</x:v>
      </x:c>
      <x:c r="J650" s="80" t="str">
        <x:v>Metalflake Blue</x:v>
      </x:c>
      <x:c r="K650" s="82" t="str"/>
      <x:c r="L650" s="82" t="str">
        <x:v>UH</x:v>
      </x:c>
      <x:c r="M650" s="82" t="str">
        <x:v>Black / / / Metal</x:v>
      </x:c>
      <x:c r="N650" s="82" t="str">
        <x:v>Solid Black</x:v>
      </x:c>
      <x:c r="O650" s="82" t="str">
        <x:v>Black</x:v>
      </x:c>
      <x:c r="P650" s="82" t="str">
        <x:v>Malaysia</x:v>
      </x:c>
      <x:c r="Q650" s="82" t="str"/>
      <x:c r="R650" s="82" t="str">
        <x:v>Outra linha</x:v>
      </x:c>
      <x:c r="S650" s="82" t="str">
        <x:v>Rara</x:v>
      </x:c>
      <x:c r="T650" s="82" t="str">
        <x:v>Lançado</x:v>
      </x:c>
      <x:c r="U650" s="82" t="str">
        <x:v>Named Street Beast</x:v>
      </x:c>
      <x:c r="V650" s="80" t="str">
        <x:v>Coleção principal (~1:64)</x:v>
      </x:c>
      <x:c r="W650" s="82" t="str">
        <x:v>https://hotwheels.fandom.com/wiki/Racebait_308</x:v>
      </x:c>
      <x:c r="X650" s="82" t="str">
        <x:v>https://hotwheels.fandom.com/wiki/Racebait_308</x:v>
      </x:c>
    </x:row>
    <x:row r="651">
      <x:c r="A651" s="80" t="str">
        <x:v>Não</x:v>
      </x:c>
      <x:c r="B651" s="80" t="str">
        <x:v>2 — Completar aos poucos</x:v>
      </x:c>
      <x:c r="C651" s="81" t="n">
        <x:v>1984</x:v>
      </x:c>
      <x:c r="D651" s="80" t="str">
        <x:v>Racebait 308</x:v>
      </x:c>
      <x:c r="E651" s="80" t="str">
        <x:v>Racebait 308</x:v>
      </x:c>
      <x:c r="F651" s="82" t="str">
        <x:v>Ultra Hots</x:v>
      </x:c>
      <x:c r="G651" s="80" t="str"/>
      <x:c r="H651" s="80" t="str"/>
      <x:c r="I651" s="83" t="str">
        <x:v>7295</x:v>
      </x:c>
      <x:c r="J651" s="80" t="str">
        <x:v>Metalflake Magenta</x:v>
      </x:c>
      <x:c r="K651" s="82" t="str">
        <x:v>Orange and White</x:v>
      </x:c>
      <x:c r="L651" s="82" t="str">
        <x:v>UH</x:v>
      </x:c>
      <x:c r="M651" s="82" t="str">
        <x:v>Black / / / Metal</x:v>
      </x:c>
      <x:c r="N651" s="82" t="str"/>
      <x:c r="O651" s="82" t="str"/>
      <x:c r="P651" s="82" t="str">
        <x:v>Hong Kong</x:v>
      </x:c>
      <x:c r="Q651" s="82" t="str"/>
      <x:c r="R651" s="82" t="str">
        <x:v>Outra linha</x:v>
      </x:c>
      <x:c r="S651" s="82" t="str">
        <x:v>Rara</x:v>
      </x:c>
      <x:c r="T651" s="82" t="str">
        <x:v>Lançado</x:v>
      </x:c>
      <x:c r="U651" s="82" t="str">
        <x:v>Named Quik Trik</x:v>
      </x:c>
      <x:c r="V651" s="80" t="str">
        <x:v>Coleção principal (~1:64)</x:v>
      </x:c>
      <x:c r="W651" s="82" t="str">
        <x:v>https://hotwheels.fandom.com/wiki/Racebait_308</x:v>
      </x:c>
      <x:c r="X651" s="82" t="str">
        <x:v>https://hotwheels.fandom.com/wiki/Racebait_308</x:v>
      </x:c>
    </x:row>
    <x:row r="652">
      <x:c r="A652" s="80" t="str">
        <x:v>Não</x:v>
      </x:c>
      <x:c r="B652" s="80" t="str">
        <x:v>2 — Completar aos poucos</x:v>
      </x:c>
      <x:c r="C652" s="81" t="n">
        <x:v>1983</x:v>
      </x:c>
      <x:c r="D652" s="80" t="str">
        <x:v>Racebait 308</x:v>
      </x:c>
      <x:c r="E652" s="80" t="str">
        <x:v>Racebait 308</x:v>
      </x:c>
      <x:c r="F652" s="82" t="str">
        <x:v>Real Riders</x:v>
      </x:c>
      <x:c r="G652" s="80" t="str"/>
      <x:c r="H652" s="80" t="str"/>
      <x:c r="I652" s="83" t="str">
        <x:v>4359</x:v>
      </x:c>
      <x:c r="J652" s="80" t="str">
        <x:v>Metalflake Gray</x:v>
      </x:c>
      <x:c r="K652" s="82" t="str">
        <x:v>Red &amp; Yellow stripes, "308" &amp; "Turbo" on sides</x:v>
      </x:c>
      <x:c r="L652" s="82" t="str">
        <x:v>Gray Hub "Goodyear" RR</x:v>
      </x:c>
      <x:c r="M652" s="82" t="str">
        <x:v>Black / / / Metal</x:v>
      </x:c>
      <x:c r="N652" s="82" t="str">
        <x:v>Blue tint</x:v>
      </x:c>
      <x:c r="O652" s="82" t="str">
        <x:v>Black</x:v>
      </x:c>
      <x:c r="P652" s="82" t="str">
        <x:v>Hong Kong</x:v>
      </x:c>
      <x:c r="Q652" s="82" t="str"/>
      <x:c r="R652" s="82" t="str">
        <x:v>Premium</x:v>
      </x:c>
      <x:c r="S652" s="82" t="str">
        <x:v>Rara</x:v>
      </x:c>
      <x:c r="T652" s="82" t="str">
        <x:v>Lançado</x:v>
      </x:c>
      <x:c r="U652" s="82" t="str">
        <x:v>Rubber Goodyear tires &amp; Gray plastic hubs</x:v>
      </x:c>
      <x:c r="V652" s="80" t="str">
        <x:v>Coleção principal (~1:64)</x:v>
      </x:c>
      <x:c r="W652" s="82" t="str">
        <x:v>https://hotwheels.fandom.com/wiki/Racebait_308</x:v>
      </x:c>
      <x:c r="X652" s="82" t="str">
        <x:v>https://hotwheels.fandom.com/wiki/Racebait_308</x:v>
      </x:c>
    </x:row>
    <x:row r="653">
      <x:c r="A653" s="80" t="str">
        <x:v>Não</x:v>
      </x:c>
      <x:c r="B653" s="80" t="str">
        <x:v>2 — Completar aos poucos</x:v>
      </x:c>
      <x:c r="C653" s="81" t="n">
        <x:v>1982</x:v>
      </x:c>
      <x:c r="D653" s="80" t="str">
        <x:v>Racebait 308</x:v>
      </x:c>
      <x:c r="E653" s="80" t="str">
        <x:v>Racebait 308</x:v>
      </x:c>
      <x:c r="F653" s="82" t="str">
        <x:v>Flying Colors International</x:v>
      </x:c>
      <x:c r="G653" s="80" t="str"/>
      <x:c r="H653" s="80" t="str"/>
      <x:c r="I653" s="83" t="str">
        <x:v>2021</x:v>
      </x:c>
      <x:c r="J653" s="80" t="str">
        <x:v>Metalflake Gray</x:v>
      </x:c>
      <x:c r="K653" s="82" t="str">
        <x:v>Red, Yellow stripes, 308 &amp; turbo on sides</x:v>
      </x:c>
      <x:c r="L653" s="82" t="str">
        <x:v>GHO</x:v>
      </x:c>
      <x:c r="M653" s="82" t="str">
        <x:v>Black / / / Metal</x:v>
      </x:c>
      <x:c r="N653" s="82" t="str">
        <x:v>Blue</x:v>
      </x:c>
      <x:c r="O653" s="82" t="str">
        <x:v>Black</x:v>
      </x:c>
      <x:c r="P653" s="82" t="str">
        <x:v>Hong Kong</x:v>
      </x:c>
      <x:c r="Q653" s="82" t="str"/>
      <x:c r="R653" s="82" t="str">
        <x:v>Outra linha</x:v>
      </x:c>
      <x:c r="S653" s="82" t="str">
        <x:v>Rara</x:v>
      </x:c>
      <x:c r="T653" s="82" t="str">
        <x:v>Lançado</x:v>
      </x:c>
      <x:c r="U653" s="82" t="str">
        <x:v>International card</x:v>
      </x:c>
      <x:c r="V653" s="80" t="str">
        <x:v>Coleção principal (~1:64)</x:v>
      </x:c>
      <x:c r="W653" s="82" t="str">
        <x:v>https://hotwheels.fandom.com/wiki/Racebait_308</x:v>
      </x:c>
      <x:c r="X653" s="82" t="str">
        <x:v>https://hotwheels.fandom.com/wiki/Racebait_308</x:v>
      </x:c>
    </x:row>
    <x:row r="654">
      <x:c r="A654" s="80" t="str">
        <x:v>Não</x:v>
      </x:c>
      <x:c r="B654" s="80" t="str">
        <x:v>2 — Completar aos poucos</x:v>
      </x:c>
      <x:c r="C654" s="81" t="n">
        <x:v>1982</x:v>
      </x:c>
      <x:c r="D654" s="80" t="str">
        <x:v>Racebait 308</x:v>
      </x:c>
      <x:c r="E654" s="80" t="str">
        <x:v>Racebait 308</x:v>
      </x:c>
      <x:c r="F654" s="82" t="str">
        <x:v>Mainline</x:v>
      </x:c>
      <x:c r="G654" s="80" t="str"/>
      <x:c r="H654" s="80" t="str"/>
      <x:c r="I654" s="83" t="str">
        <x:v>2021</x:v>
      </x:c>
      <x:c r="J654" s="80" t="str">
        <x:v>Metalflake Gray</x:v>
      </x:c>
      <x:c r="K654" s="82" t="str">
        <x:v>Red, Yellow stripes, 308 &amp; turbo on sides</x:v>
      </x:c>
      <x:c r="L654" s="82" t="str">
        <x:v>BW</x:v>
      </x:c>
      <x:c r="M654" s="82" t="str">
        <x:v>Black / / / Metal</x:v>
      </x:c>
      <x:c r="N654" s="82" t="str">
        <x:v>Blue</x:v>
      </x:c>
      <x:c r="O654" s="82" t="str">
        <x:v>Black</x:v>
      </x:c>
      <x:c r="P654" s="82" t="str">
        <x:v>Hong Kong</x:v>
      </x:c>
      <x:c r="Q654" s="82" t="str"/>
      <x:c r="R654" s="82" t="str">
        <x:v>Mainline</x:v>
      </x:c>
      <x:c r="S654" s="82" t="str">
        <x:v>Rara</x:v>
      </x:c>
      <x:c r="T654" s="82" t="str">
        <x:v>Lançado</x:v>
      </x:c>
      <x:c r="U654" s="82" t="str"/>
      <x:c r="V654" s="80" t="str">
        <x:v>Coleção principal (~1:64)</x:v>
      </x:c>
      <x:c r="W654" s="82" t="str">
        <x:v>https://hotwheels.fandom.com/wiki/Racebait_308</x:v>
      </x:c>
      <x:c r="X654" s="82" t="str">
        <x:v>https://hotwheels.fandom.com/wiki/Racebait_308</x:v>
      </x:c>
    </x:row>
    <x:row r="655">
      <x:c r="A655" s="80" t="str">
        <x:v>Não</x:v>
      </x:c>
      <x:c r="B655" s="80" t="str">
        <x:v>2 — Completar aos poucos</x:v>
      </x:c>
      <x:c r="C655" s="81" t="n">
        <x:v>1982</x:v>
      </x:c>
      <x:c r="D655" s="80" t="str">
        <x:v>Racebait 308</x:v>
      </x:c>
      <x:c r="E655" s="80" t="str">
        <x:v>Racebait 308</x:v>
      </x:c>
      <x:c r="F655" s="82" t="str">
        <x:v>The Hot Ones</x:v>
      </x:c>
      <x:c r="G655" s="80" t="str"/>
      <x:c r="H655" s="80" t="str">
        <x:v>Metalflake Gray</x:v>
      </x:c>
      <x:c r="I655" s="83" t="str">
        <x:v>2021</x:v>
      </x:c>
      <x:c r="J655" s="80" t="str"/>
      <x:c r="K655" s="82" t="str">
        <x:v>Red, Yellow stripes, 308 &amp; turbo on sides</x:v>
      </x:c>
      <x:c r="L655" s="82" t="str">
        <x:v>GHO</x:v>
      </x:c>
      <x:c r="M655" s="82" t="str">
        <x:v>Black / / / Metal</x:v>
      </x:c>
      <x:c r="N655" s="82" t="str">
        <x:v>Blue</x:v>
      </x:c>
      <x:c r="O655" s="82" t="str">
        <x:v>Black</x:v>
      </x:c>
      <x:c r="P655" s="82" t="str">
        <x:v>Hong Kong</x:v>
      </x:c>
      <x:c r="Q655" s="82" t="str"/>
      <x:c r="R655" s="82" t="str">
        <x:v>Mainline</x:v>
      </x:c>
      <x:c r="S655" s="82" t="str">
        <x:v>Rara</x:v>
      </x:c>
      <x:c r="T655" s="82" t="str">
        <x:v>Lançado</x:v>
      </x:c>
      <x:c r="U655" s="82" t="str"/>
      <x:c r="V655" s="80" t="str">
        <x:v>Coleção principal (~1:64)</x:v>
      </x:c>
      <x:c r="W655" s="82" t="str">
        <x:v>https://hotwheels.fandom.com/wiki/Racebait_308</x:v>
      </x:c>
      <x:c r="X655" s="82" t="str">
        <x:v>https://hotwheels.fandom.com/wiki/Racebait_308</x:v>
      </x:c>
    </x:row>
    <x:row r="656">
      <x:c r="A656" s="80" t="str">
        <x:v>Não</x:v>
      </x:c>
      <x:c r="B656" s="80" t="str">
        <x:v>2 — Completar aos poucos</x:v>
      </x:c>
      <x:c r="C656" s="81" t="n">
        <x:v>1982</x:v>
      </x:c>
      <x:c r="D656" s="80" t="str">
        <x:v>Racebait 308</x:v>
      </x:c>
      <x:c r="E656" s="80" t="str">
        <x:v>Racebait 308</x:v>
      </x:c>
      <x:c r="F656" s="82" t="str">
        <x:v>The Hot Ones</x:v>
      </x:c>
      <x:c r="G656" s="80" t="str"/>
      <x:c r="H656" s="80" t="str"/>
      <x:c r="I656" s="83" t="str">
        <x:v>2021</x:v>
      </x:c>
      <x:c r="J656" s="80" t="str">
        <x:v>Gray</x:v>
      </x:c>
      <x:c r="K656" s="82" t="str">
        <x:v>Red, Yellow stripes, 308 &amp; turbo on sides</x:v>
      </x:c>
      <x:c r="L656" s="82" t="str">
        <x:v>GHO</x:v>
      </x:c>
      <x:c r="M656" s="82" t="str">
        <x:v>Black / / / Metal</x:v>
      </x:c>
      <x:c r="N656" s="82" t="str">
        <x:v>Blue</x:v>
      </x:c>
      <x:c r="O656" s="82" t="str">
        <x:v>Black</x:v>
      </x:c>
      <x:c r="P656" s="82" t="str">
        <x:v>Hong Kong</x:v>
      </x:c>
      <x:c r="Q656" s="82" t="str"/>
      <x:c r="R656" s="82" t="str">
        <x:v>Outra linha</x:v>
      </x:c>
      <x:c r="S656" s="82" t="str">
        <x:v>Rara</x:v>
      </x:c>
      <x:c r="T656" s="82" t="str">
        <x:v>Lançado</x:v>
      </x:c>
      <x:c r="U656" s="82" t="str"/>
      <x:c r="V656" s="80" t="str">
        <x:v>Coleção principal (~1:64)</x:v>
      </x:c>
      <x:c r="W656" s="82" t="str">
        <x:v>https://hotwheels.fandom.com/wiki/Racebait_308</x:v>
      </x:c>
      <x:c r="X656" s="82" t="str">
        <x:v>https://hotwheels.fandom.com/wiki/Racebait_308</x:v>
      </x:c>
    </x:row>
    <x:row r="657">
      <x:c r="A657" s="80" t="str">
        <x:v>Não</x:v>
      </x:c>
      <x:c r="B657" s="80" t="str">
        <x:v>2 — Completar aos poucos</x:v>
      </x:c>
      <x:c r="C657" s="81" t="n">
        <x:v>1979</x:v>
      </x:c>
      <x:c r="D657" s="80" t="str">
        <x:v>Racebait 308</x:v>
      </x:c>
      <x:c r="E657" s="80" t="str">
        <x:v>Racebait 308</x:v>
      </x:c>
      <x:c r="F657" s="82" t="str">
        <x:v>Golden Machines 6-Pack</x:v>
      </x:c>
      <x:c r="G657" s="80" t="str"/>
      <x:c r="H657" s="80" t="str"/>
      <x:c r="I657" s="83" t="str">
        <x:v>2021</x:v>
      </x:c>
      <x:c r="J657" s="80" t="str">
        <x:v>Gold Plated</x:v>
      </x:c>
      <x:c r="K657" s="82" t="str">
        <x:v>Big White 308, GTB &amp; horse on hood</x:v>
      </x:c>
      <x:c r="L657" s="82" t="str">
        <x:v>BW</x:v>
      </x:c>
      <x:c r="M657" s="82" t="str">
        <x:v>Black / / / Metal</x:v>
      </x:c>
      <x:c r="N657" s="82" t="str">
        <x:v>Blue</x:v>
      </x:c>
      <x:c r="O657" s="82" t="str">
        <x:v>Black</x:v>
      </x:c>
      <x:c r="P657" s="82" t="str">
        <x:v>Hong Kong</x:v>
      </x:c>
      <x:c r="Q657" s="82" t="str"/>
      <x:c r="R657" s="82" t="str">
        <x:v>Outra linha</x:v>
      </x:c>
      <x:c r="S657" s="82" t="str">
        <x:v>Rara</x:v>
      </x:c>
      <x:c r="T657" s="82" t="str">
        <x:v>Lançado</x:v>
      </x:c>
      <x:c r="U657" s="82" t="str"/>
      <x:c r="V657" s="80" t="str">
        <x:v>Coleção principal (~1:64)</x:v>
      </x:c>
      <x:c r="W657" s="82" t="str">
        <x:v>https://hotwheels.fandom.com/wiki/Racebait_308</x:v>
      </x:c>
      <x:c r="X657" s="82" t="str">
        <x:v>https://hotwheels.fandom.com/wiki/Racebait_308</x:v>
      </x:c>
    </x:row>
    <x:row r="658">
      <x:c r="A658" s="80" t="str">
        <x:v>Não</x:v>
      </x:c>
      <x:c r="B658" s="80" t="str">
        <x:v>2 — Completar aos poucos</x:v>
      </x:c>
      <x:c r="C658" s="81" t="n">
        <x:v>1979</x:v>
      </x:c>
      <x:c r="D658" s="80" t="str">
        <x:v>Racebait 308</x:v>
      </x:c>
      <x:c r="E658" s="80" t="str">
        <x:v>Racebait 308</x:v>
      </x:c>
      <x:c r="F658" s="82" t="str">
        <x:v>Golden Machines 6-Pack</x:v>
      </x:c>
      <x:c r="G658" s="80" t="str"/>
      <x:c r="H658" s="80" t="str">
        <x:v>Yellow</x:v>
      </x:c>
      <x:c r="I658" s="83" t="str">
        <x:v>2021</x:v>
      </x:c>
      <x:c r="J658" s="80" t="str">
        <x:v>Gold Plated</x:v>
      </x:c>
      <x:c r="K658" s="82" t="str">
        <x:v>Big White 308, GTB &amp; horse on hood</x:v>
      </x:c>
      <x:c r="L658" s="82" t="str">
        <x:v>BW</x:v>
      </x:c>
      <x:c r="M658" s="82" t="str">
        <x:v>Black / / / Metal</x:v>
      </x:c>
      <x:c r="N658" s="82" t="str">
        <x:v>This version is VHTF due to windows variation</x:v>
      </x:c>
      <x:c r="O658" s="82" t="str">
        <x:v>Black</x:v>
      </x:c>
      <x:c r="P658" s="82" t="str">
        <x:v>Hong Kong</x:v>
      </x:c>
      <x:c r="Q658" s="82" t="str"/>
      <x:c r="R658" s="82" t="str">
        <x:v>Mainline</x:v>
      </x:c>
      <x:c r="S658" s="82" t="str">
        <x:v>Rara</x:v>
      </x:c>
      <x:c r="T658" s="82" t="str">
        <x:v>Lançado</x:v>
      </x:c>
      <x:c r="U658" s="82" t="str"/>
      <x:c r="V658" s="80" t="str">
        <x:v>Coleção principal (~1:64)</x:v>
      </x:c>
      <x:c r="W658" s="82" t="str">
        <x:v>https://hotwheels.fandom.com/wiki/Racebait_308</x:v>
      </x:c>
      <x:c r="X658" s="82" t="str">
        <x:v>https://hotwheels.fandom.com/wiki/Racebait_308</x:v>
      </x:c>
    </x:row>
    <x:row r="659">
      <x:c r="A659" s="80" t="str">
        <x:v>Não</x:v>
      </x:c>
      <x:c r="B659" s="80" t="str">
        <x:v>2 — Completar aos poucos</x:v>
      </x:c>
      <x:c r="C659" s="81" t="n">
        <x:v>1978</x:v>
      </x:c>
      <x:c r="D659" s="80" t="str">
        <x:v>Racebait 308</x:v>
      </x:c>
      <x:c r="E659" s="80" t="str">
        <x:v>Racebait 308</x:v>
      </x:c>
      <x:c r="F659" s="82" t="str">
        <x:v>Flying Colors</x:v>
      </x:c>
      <x:c r="G659" s="80" t="str"/>
      <x:c r="H659" s="80" t="str">
        <x:v>50</x:v>
      </x:c>
      <x:c r="I659" s="83" t="str">
        <x:v>2021</x:v>
      </x:c>
      <x:c r="J659" s="80" t="str">
        <x:v>Red</x:v>
      </x:c>
      <x:c r="K659" s="82" t="str">
        <x:v>308 on hood</x:v>
      </x:c>
      <x:c r="L659" s="82" t="str">
        <x:v>BW</x:v>
      </x:c>
      <x:c r="M659" s="82" t="str">
        <x:v>Black / / / Metal</x:v>
      </x:c>
      <x:c r="N659" s="82" t="str">
        <x:v>Blue</x:v>
      </x:c>
      <x:c r="O659" s="82" t="str">
        <x:v>Black</x:v>
      </x:c>
      <x:c r="P659" s="82" t="str">
        <x:v>Hong Kong</x:v>
      </x:c>
      <x:c r="Q659" s="82" t="str"/>
      <x:c r="R659" s="82" t="str">
        <x:v>Mainline</x:v>
      </x:c>
      <x:c r="S659" s="82" t="str">
        <x:v>Rara</x:v>
      </x:c>
      <x:c r="T659" s="82" t="str">
        <x:v>Lançado</x:v>
      </x:c>
      <x:c r="U659" s="82" t="str"/>
      <x:c r="V659" s="80" t="str">
        <x:v>Coleção principal (~1:64)</x:v>
      </x:c>
      <x:c r="W659" s="82" t="str">
        <x:v>https://hotwheels.fandom.com/wiki/Racebait_308</x:v>
      </x:c>
      <x:c r="X659" s="82" t="str">
        <x:v>https://hotwheels.fandom.com/wiki/Racebait_308</x:v>
      </x:c>
    </x:row>
    <x:row r="660">
      <x:c r="A660" s="80" t="str">
        <x:v>Não</x:v>
      </x:c>
      <x:c r="B660" s="80" t="str">
        <x:v>2 — Completar aos poucos</x:v>
      </x:c>
      <x:c r="C660" s="81" t="n">
        <x:v>1977</x:v>
      </x:c>
      <x:c r="D660" s="80" t="str">
        <x:v>Ferrari 312P</x:v>
      </x:c>
      <x:c r="E660" s="80" t="str">
        <x:v>Ferrari 312P</x:v>
      </x:c>
      <x:c r="F660" s="82" t="str">
        <x:v>Flying Colors</x:v>
      </x:c>
      <x:c r="G660" s="80" t="str"/>
      <x:c r="H660" s="80" t="str"/>
      <x:c r="I660" s="83" t="str">
        <x:v>6973</x:v>
      </x:c>
      <x:c r="J660" s="80" t="str">
        <x:v>Enamel Red</x:v>
      </x:c>
      <x:c r="K660" s="82" t="str"/>
      <x:c r="L660" s="82" t="str">
        <x:v>Blackwall</x:v>
      </x:c>
      <x:c r="M660" s="82" t="str">
        <x:v>Plastic / / / Black</x:v>
      </x:c>
      <x:c r="N660" s="82" t="str">
        <x:v>Black</x:v>
      </x:c>
      <x:c r="O660" s="82" t="str"/>
      <x:c r="P660" s="82" t="str">
        <x:v>Hong Kong</x:v>
      </x:c>
      <x:c r="Q660" s="82" t="str"/>
      <x:c r="R660" s="82" t="str">
        <x:v>Outra linha</x:v>
      </x:c>
      <x:c r="S660" s="82" t="str">
        <x:v>Rara</x:v>
      </x:c>
      <x:c r="T660" s="82" t="str">
        <x:v>Lançado</x:v>
      </x:c>
      <x:c r="U660" s="82" t="str"/>
      <x:c r="V660" s="80" t="str">
        <x:v>Coleção principal (~1:64)</x:v>
      </x:c>
      <x:c r="W660" s="82" t="str">
        <x:v>https://hotwheels.fandom.com/wiki/Ferrari_312P</x:v>
      </x:c>
      <x:c r="X660" s="82" t="str">
        <x:v>https://hotwheels.fandom.com/wiki/Ferrari_312P</x:v>
      </x:c>
    </x:row>
    <x:row r="661">
      <x:c r="A661" s="80" t="str">
        <x:v>Não</x:v>
      </x:c>
      <x:c r="B661" s="80" t="str">
        <x:v>2 — Completar aos poucos</x:v>
      </x:c>
      <x:c r="C661" s="81" t="n">
        <x:v>1976</x:v>
      </x:c>
      <x:c r="D661" s="80" t="str">
        <x:v>Ferrari 312P</x:v>
      </x:c>
      <x:c r="E661" s="80" t="str">
        <x:v>Ferrari 312P</x:v>
      </x:c>
      <x:c r="F661" s="82" t="str">
        <x:v>Flying Colors</x:v>
      </x:c>
      <x:c r="G661" s="80" t="str"/>
      <x:c r="H661" s="80" t="str"/>
      <x:c r="I661" s="83" t="str">
        <x:v>6973</x:v>
      </x:c>
      <x:c r="J661" s="80" t="str">
        <x:v>Enamel Red</x:v>
      </x:c>
      <x:c r="K661" s="82" t="str"/>
      <x:c r="L661" s="82" t="str">
        <x:v>Redline</x:v>
      </x:c>
      <x:c r="M661" s="82" t="str">
        <x:v>Plastic / / / Black</x:v>
      </x:c>
      <x:c r="N661" s="82" t="str">
        <x:v>Black</x:v>
      </x:c>
      <x:c r="O661" s="82" t="str"/>
      <x:c r="P661" s="82" t="str">
        <x:v>Hong Kong</x:v>
      </x:c>
      <x:c r="Q661" s="82" t="str"/>
      <x:c r="R661" s="82" t="str">
        <x:v>Outra linha</x:v>
      </x:c>
      <x:c r="S661" s="82" t="str">
        <x:v>Rara</x:v>
      </x:c>
      <x:c r="T661" s="82" t="str">
        <x:v>Lançado</x:v>
      </x:c>
      <x:c r="U661" s="82" t="str"/>
      <x:c r="V661" s="80" t="str">
        <x:v>Coleção principal (~1:64)</x:v>
      </x:c>
      <x:c r="W661" s="82" t="str">
        <x:v>https://hotwheels.fandom.com/wiki/Ferrari_312P</x:v>
      </x:c>
      <x:c r="X661" s="82" t="str">
        <x:v>https://hotwheels.fandom.com/wiki/Ferrari_312P</x:v>
      </x:c>
    </x:row>
    <x:row r="662">
      <x:c r="A662" s="80" t="str">
        <x:v>Não</x:v>
      </x:c>
      <x:c r="B662" s="80" t="str">
        <x:v>2 — Completar aos poucos</x:v>
      </x:c>
      <x:c r="C662" s="81" t="n">
        <x:v>1974</x:v>
      </x:c>
      <x:c r="D662" s="80" t="str">
        <x:v>Ferrari 312P</x:v>
      </x:c>
      <x:c r="E662" s="80" t="str">
        <x:v>Ferrari 312P</x:v>
      </x:c>
      <x:c r="F662" s="82" t="str">
        <x:v>Flying Colors</x:v>
      </x:c>
      <x:c r="G662" s="80" t="str"/>
      <x:c r="H662" s="80" t="str"/>
      <x:c r="I662" s="83" t="str">
        <x:v>6973</x:v>
      </x:c>
      <x:c r="J662" s="80" t="str">
        <x:v>Enamel Red</x:v>
      </x:c>
      <x:c r="K662" s="82" t="str"/>
      <x:c r="L662" s="82" t="str">
        <x:v>Redline</x:v>
      </x:c>
      <x:c r="M662" s="82" t="str">
        <x:v>Metal</x:v>
      </x:c>
      <x:c r="N662" s="82" t="str">
        <x:v>Black</x:v>
      </x:c>
      <x:c r="O662" s="82" t="str"/>
      <x:c r="P662" s="82" t="str">
        <x:v>Hong Kong</x:v>
      </x:c>
      <x:c r="Q662" s="82" t="str"/>
      <x:c r="R662" s="82" t="str">
        <x:v>Outra linha</x:v>
      </x:c>
      <x:c r="S662" s="82" t="str">
        <x:v>Rara</x:v>
      </x:c>
      <x:c r="T662" s="82" t="str">
        <x:v>Lançado</x:v>
      </x:c>
      <x:c r="U662" s="82" t="str"/>
      <x:c r="V662" s="80" t="str">
        <x:v>Coleção principal (~1:64)</x:v>
      </x:c>
      <x:c r="W662" s="82" t="str">
        <x:v>https://hotwheels.fandom.com/wiki/Ferrari_312P</x:v>
      </x:c>
      <x:c r="X662" s="82" t="str">
        <x:v>https://hotwheels.fandom.com/wiki/Ferrari_312P</x:v>
      </x:c>
    </x:row>
    <x:row r="663">
      <x:c r="A663" s="80" t="str">
        <x:v>Não</x:v>
      </x:c>
      <x:c r="B663" s="80" t="str">
        <x:v>2 — Completar aos poucos</x:v>
      </x:c>
      <x:c r="C663" s="81" t="n">
        <x:v>1973</x:v>
      </x:c>
      <x:c r="D663" s="80" t="str">
        <x:v>Ferrari 312P</x:v>
      </x:c>
      <x:c r="E663" s="80" t="str">
        <x:v>Ferrari 312P</x:v>
      </x:c>
      <x:c r="F663" s="82" t="str">
        <x:v>List of 1973 Hot Wheels</x:v>
      </x:c>
      <x:c r="G663" s="80" t="str"/>
      <x:c r="H663" s="80" t="str"/>
      <x:c r="I663" s="83" t="str">
        <x:v>6973</x:v>
      </x:c>
      <x:c r="J663" s="80" t="str">
        <x:v>Dark Enamel Blue</x:v>
      </x:c>
      <x:c r="K663" s="82" t="str"/>
      <x:c r="L663" s="82" t="str">
        <x:v>Redline</x:v>
      </x:c>
      <x:c r="M663" s="82" t="str">
        <x:v>Metal</x:v>
      </x:c>
      <x:c r="N663" s="82" t="str">
        <x:v>Black</x:v>
      </x:c>
      <x:c r="O663" s="82" t="str"/>
      <x:c r="P663" s="82" t="str">
        <x:v>Hong Kong</x:v>
      </x:c>
      <x:c r="Q663" s="82" t="str"/>
      <x:c r="R663" s="82" t="str">
        <x:v>Outra linha</x:v>
      </x:c>
      <x:c r="S663" s="82" t="str">
        <x:v>Rara</x:v>
      </x:c>
      <x:c r="T663" s="82" t="str">
        <x:v>Lançado</x:v>
      </x:c>
      <x:c r="U663" s="82" t="str"/>
      <x:c r="V663" s="80" t="str">
        <x:v>Coleção principal (~1:64)</x:v>
      </x:c>
      <x:c r="W663" s="82" t="str">
        <x:v>https://hotwheels.fandom.com/wiki/Ferrari_312P</x:v>
      </x:c>
      <x:c r="X663" s="82" t="str">
        <x:v>https://hotwheels.fandom.com/wiki/Ferrari_312P</x:v>
      </x:c>
    </x:row>
    <x:row r="664">
      <x:c r="A664" s="80" t="str">
        <x:v>Não</x:v>
      </x:c>
      <x:c r="B664" s="80" t="str">
        <x:v>2 — Completar aos poucos</x:v>
      </x:c>
      <x:c r="C664" s="81" t="n">
        <x:v>1973</x:v>
      </x:c>
      <x:c r="D664" s="80" t="str">
        <x:v>Ferrari 312P</x:v>
      </x:c>
      <x:c r="E664" s="80" t="str">
        <x:v>Ferrari 312P</x:v>
      </x:c>
      <x:c r="F664" s="82" t="str">
        <x:v>List of 1973 Hot Wheels</x:v>
      </x:c>
      <x:c r="G664" s="80" t="str"/>
      <x:c r="H664" s="80" t="str"/>
      <x:c r="I664" s="83" t="str">
        <x:v>6973</x:v>
      </x:c>
      <x:c r="J664" s="80" t="str">
        <x:v>Enamel Fluorescent Lime green</x:v>
      </x:c>
      <x:c r="K664" s="82" t="str"/>
      <x:c r="L664" s="82" t="str">
        <x:v>Redline</x:v>
      </x:c>
      <x:c r="M664" s="82" t="str">
        <x:v>Metal</x:v>
      </x:c>
      <x:c r="N664" s="82" t="str">
        <x:v>Black</x:v>
      </x:c>
      <x:c r="O664" s="82" t="str"/>
      <x:c r="P664" s="82" t="str">
        <x:v>Hong Kong</x:v>
      </x:c>
      <x:c r="Q664" s="82" t="str"/>
      <x:c r="R664" s="82" t="str">
        <x:v>Outra linha</x:v>
      </x:c>
      <x:c r="S664" s="82" t="str">
        <x:v>Rara</x:v>
      </x:c>
      <x:c r="T664" s="82" t="str">
        <x:v>Lançado</x:v>
      </x:c>
      <x:c r="U664" s="82" t="str"/>
      <x:c r="V664" s="80" t="str">
        <x:v>Coleção principal (~1:64)</x:v>
      </x:c>
      <x:c r="W664" s="82" t="str">
        <x:v>https://hotwheels.fandom.com/wiki/Ferrari_312P</x:v>
      </x:c>
      <x:c r="X664" s="82" t="str">
        <x:v>https://hotwheels.fandom.com/wiki/Ferrari_312P</x:v>
      </x:c>
    </x:row>
    <x:row r="665">
      <x:c r="A665" s="80" t="str">
        <x:v>Não</x:v>
      </x:c>
      <x:c r="B665" s="80" t="str">
        <x:v>2 — Completar aos poucos</x:v>
      </x:c>
      <x:c r="C665" s="81" t="n">
        <x:v>1973</x:v>
      </x:c>
      <x:c r="D665" s="80" t="str">
        <x:v>Ferrari 312P</x:v>
      </x:c>
      <x:c r="E665" s="80" t="str">
        <x:v>Ferrari 312P</x:v>
      </x:c>
      <x:c r="F665" s="82" t="str">
        <x:v>List of 1973 Hot Wheels</x:v>
      </x:c>
      <x:c r="G665" s="80" t="str"/>
      <x:c r="H665" s="80" t="str"/>
      <x:c r="I665" s="83" t="str">
        <x:v>6973</x:v>
      </x:c>
      <x:c r="J665" s="80" t="str">
        <x:v>Enamel Fluorescent Pink</x:v>
      </x:c>
      <x:c r="K665" s="82" t="str"/>
      <x:c r="L665" s="82" t="str">
        <x:v>Redline</x:v>
      </x:c>
      <x:c r="M665" s="82" t="str">
        <x:v>Metal</x:v>
      </x:c>
      <x:c r="N665" s="82" t="str">
        <x:v>Black</x:v>
      </x:c>
      <x:c r="O665" s="82" t="str"/>
      <x:c r="P665" s="82" t="str">
        <x:v>Hong Kong</x:v>
      </x:c>
      <x:c r="Q665" s="82" t="str"/>
      <x:c r="R665" s="82" t="str">
        <x:v>Outra linha</x:v>
      </x:c>
      <x:c r="S665" s="82" t="str">
        <x:v>Rara</x:v>
      </x:c>
      <x:c r="T665" s="82" t="str">
        <x:v>Lançado</x:v>
      </x:c>
      <x:c r="U665" s="82" t="str"/>
      <x:c r="V665" s="80" t="str">
        <x:v>Coleção principal (~1:64)</x:v>
      </x:c>
      <x:c r="W665" s="82" t="str">
        <x:v>https://hotwheels.fandom.com/wiki/Ferrari_312P</x:v>
      </x:c>
      <x:c r="X665" s="82" t="str">
        <x:v>https://hotwheels.fandom.com/wiki/Ferrari_312P</x:v>
      </x:c>
    </x:row>
    <x:row r="666">
      <x:c r="A666" s="80" t="str">
        <x:v>Não</x:v>
      </x:c>
      <x:c r="B666" s="80" t="str">
        <x:v>2 — Completar aos poucos</x:v>
      </x:c>
      <x:c r="C666" s="81" t="n">
        <x:v>1973</x:v>
      </x:c>
      <x:c r="D666" s="80" t="str">
        <x:v>Ferrari 312P</x:v>
      </x:c>
      <x:c r="E666" s="80" t="str">
        <x:v>Ferrari 312P</x:v>
      </x:c>
      <x:c r="F666" s="82" t="str">
        <x:v>List of 1973 Hot Wheels</x:v>
      </x:c>
      <x:c r="G666" s="80" t="str"/>
      <x:c r="H666" s="80" t="str"/>
      <x:c r="I666" s="83" t="str">
        <x:v>6973</x:v>
      </x:c>
      <x:c r="J666" s="80" t="str">
        <x:v>Enamel Light Blue</x:v>
      </x:c>
      <x:c r="K666" s="82" t="str"/>
      <x:c r="L666" s="82" t="str">
        <x:v>Redline</x:v>
      </x:c>
      <x:c r="M666" s="82" t="str">
        <x:v>Metal</x:v>
      </x:c>
      <x:c r="N666" s="82" t="str">
        <x:v>Black</x:v>
      </x:c>
      <x:c r="O666" s="82" t="str"/>
      <x:c r="P666" s="82" t="str">
        <x:v>Hong Kong</x:v>
      </x:c>
      <x:c r="Q666" s="82" t="str"/>
      <x:c r="R666" s="82" t="str">
        <x:v>Outra linha</x:v>
      </x:c>
      <x:c r="S666" s="82" t="str">
        <x:v>Rara</x:v>
      </x:c>
      <x:c r="T666" s="82" t="str">
        <x:v>Lançado</x:v>
      </x:c>
      <x:c r="U666" s="82" t="str"/>
      <x:c r="V666" s="80" t="str">
        <x:v>Coleção principal (~1:64)</x:v>
      </x:c>
      <x:c r="W666" s="82" t="str">
        <x:v>https://hotwheels.fandom.com/wiki/Ferrari_312P</x:v>
      </x:c>
      <x:c r="X666" s="82" t="str">
        <x:v>https://hotwheels.fandom.com/wiki/Ferrari_312P</x:v>
      </x:c>
    </x:row>
    <x:row r="667">
      <x:c r="A667" s="80" t="str">
        <x:v>Não</x:v>
      </x:c>
      <x:c r="B667" s="80" t="str">
        <x:v>2 — Completar aos poucos</x:v>
      </x:c>
      <x:c r="C667" s="81" t="n">
        <x:v>1973</x:v>
      </x:c>
      <x:c r="D667" s="80" t="str">
        <x:v>Ferrari 312P</x:v>
      </x:c>
      <x:c r="E667" s="80" t="str">
        <x:v>Ferrari 312P</x:v>
      </x:c>
      <x:c r="F667" s="82" t="str">
        <x:v>List of 1973 Hot Wheels</x:v>
      </x:c>
      <x:c r="G667" s="80" t="str"/>
      <x:c r="H667" s="80" t="str"/>
      <x:c r="I667" s="83" t="str">
        <x:v>6973</x:v>
      </x:c>
      <x:c r="J667" s="80" t="str">
        <x:v>Enamel Red</x:v>
      </x:c>
      <x:c r="K667" s="82" t="str"/>
      <x:c r="L667" s="82" t="str">
        <x:v>Redline</x:v>
      </x:c>
      <x:c r="M667" s="82" t="str">
        <x:v>Metal</x:v>
      </x:c>
      <x:c r="N667" s="82" t="str">
        <x:v>Black</x:v>
      </x:c>
      <x:c r="O667" s="82" t="str"/>
      <x:c r="P667" s="82" t="str">
        <x:v>Hong Kong</x:v>
      </x:c>
      <x:c r="Q667" s="82" t="str"/>
      <x:c r="R667" s="82" t="str">
        <x:v>Outra linha</x:v>
      </x:c>
      <x:c r="S667" s="82" t="str">
        <x:v>Rara</x:v>
      </x:c>
      <x:c r="T667" s="82" t="str">
        <x:v>Lançado</x:v>
      </x:c>
      <x:c r="U667" s="82" t="str"/>
      <x:c r="V667" s="80" t="str">
        <x:v>Coleção principal (~1:64)</x:v>
      </x:c>
      <x:c r="W667" s="82" t="str">
        <x:v>https://hotwheels.fandom.com/wiki/Ferrari_312P</x:v>
      </x:c>
      <x:c r="X667" s="82" t="str">
        <x:v>https://hotwheels.fandom.com/wiki/Ferrari_312P</x:v>
      </x:c>
    </x:row>
    <x:row r="668">
      <x:c r="A668" s="80" t="str">
        <x:v>Não</x:v>
      </x:c>
      <x:c r="B668" s="80" t="str">
        <x:v>2 — Completar aos poucos</x:v>
      </x:c>
      <x:c r="C668" s="81" t="n">
        <x:v>1973</x:v>
      </x:c>
      <x:c r="D668" s="80" t="str">
        <x:v>Ferrari 312P</x:v>
      </x:c>
      <x:c r="E668" s="80" t="str">
        <x:v>Ferrari 312P</x:v>
      </x:c>
      <x:c r="F668" s="82" t="str">
        <x:v>List of 1973 Hot Wheels</x:v>
      </x:c>
      <x:c r="G668" s="80" t="str"/>
      <x:c r="H668" s="80" t="str"/>
      <x:c r="I668" s="83" t="str">
        <x:v>6973</x:v>
      </x:c>
      <x:c r="J668" s="80" t="str">
        <x:v>Enamel Yellow</x:v>
      </x:c>
      <x:c r="K668" s="82" t="str"/>
      <x:c r="L668" s="82" t="str">
        <x:v>Redline</x:v>
      </x:c>
      <x:c r="M668" s="82" t="str">
        <x:v>Metal</x:v>
      </x:c>
      <x:c r="N668" s="82" t="str">
        <x:v>Black</x:v>
      </x:c>
      <x:c r="O668" s="82" t="str"/>
      <x:c r="P668" s="82" t="str">
        <x:v>Hong Kong</x:v>
      </x:c>
      <x:c r="Q668" s="82" t="str"/>
      <x:c r="R668" s="82" t="str">
        <x:v>Outra linha</x:v>
      </x:c>
      <x:c r="S668" s="82" t="str">
        <x:v>Rara</x:v>
      </x:c>
      <x:c r="T668" s="82" t="str">
        <x:v>Lançado</x:v>
      </x:c>
      <x:c r="U668" s="82" t="str"/>
      <x:c r="V668" s="80" t="str">
        <x:v>Coleção principal (~1:64)</x:v>
      </x:c>
      <x:c r="W668" s="82" t="str">
        <x:v>https://hotwheels.fandom.com/wiki/Ferrari_312P</x:v>
      </x:c>
      <x:c r="X668" s="82" t="str">
        <x:v>https://hotwheels.fandom.com/wiki/Ferrari_312P</x:v>
      </x:c>
    </x:row>
    <x:row r="669">
      <x:c r="A669" s="80" t="str">
        <x:v>Não</x:v>
      </x:c>
      <x:c r="B669" s="80" t="str">
        <x:v>2 — Completar aos poucos</x:v>
      </x:c>
      <x:c r="C669" s="81" t="n">
        <x:v>1973</x:v>
      </x:c>
      <x:c r="D669" s="80" t="str">
        <x:v>Ferrari 512S</x:v>
      </x:c>
      <x:c r="E669" s="80" t="str">
        <x:v>Ferrari 512S</x:v>
      </x:c>
      <x:c r="F669" s="82" t="str">
        <x:v>Shell Promo</x:v>
      </x:c>
      <x:c r="G669" s="80" t="str"/>
      <x:c r="H669" s="80" t="str"/>
      <x:c r="I669" s="83" t="str">
        <x:v>N/A</x:v>
      </x:c>
      <x:c r="J669" s="80" t="str">
        <x:v>Enamel Dark Blue</x:v>
      </x:c>
      <x:c r="K669" s="82" t="str"/>
      <x:c r="L669" s="82" t="str">
        <x:v>RL</x:v>
      </x:c>
      <x:c r="M669" s="82" t="str">
        <x:v>Unpainted / Metal</x:v>
      </x:c>
      <x:c r="N669" s="82" t="str">
        <x:v>Blue</x:v>
      </x:c>
      <x:c r="O669" s="82" t="str">
        <x:v>Black</x:v>
      </x:c>
      <x:c r="P669" s="82" t="str">
        <x:v>Hong Kong</x:v>
      </x:c>
      <x:c r="Q669" s="82" t="str"/>
      <x:c r="R669" s="82" t="str">
        <x:v>Outra linha</x:v>
      </x:c>
      <x:c r="S669" s="82" t="str">
        <x:v>Rara</x:v>
      </x:c>
      <x:c r="T669" s="82" t="str">
        <x:v>Lançado</x:v>
      </x:c>
      <x:c r="U669" s="82" t="str"/>
      <x:c r="V669" s="80" t="str">
        <x:v>Coleção principal (~1:64)</x:v>
      </x:c>
      <x:c r="W669" s="82" t="str">
        <x:v>https://hotwheels.fandom.com/wiki/Ferrari_512S</x:v>
      </x:c>
      <x:c r="X669" s="82" t="str">
        <x:v>https://hotwheels.fandom.com/wiki/Ferrari_512S</x:v>
      </x:c>
    </x:row>
    <x:row r="670">
      <x:c r="A670" s="80" t="str">
        <x:v>Não</x:v>
      </x:c>
      <x:c r="B670" s="80" t="str">
        <x:v>2 — Completar aos poucos</x:v>
      </x:c>
      <x:c r="C670" s="81" t="n">
        <x:v>1973</x:v>
      </x:c>
      <x:c r="D670" s="80" t="str">
        <x:v>Ferrari 512S</x:v>
      </x:c>
      <x:c r="E670" s="80" t="str">
        <x:v>Ferrari 512S</x:v>
      </x:c>
      <x:c r="F670" s="82" t="str">
        <x:v>Shell Promo</x:v>
      </x:c>
      <x:c r="G670" s="80" t="str"/>
      <x:c r="H670" s="80" t="str"/>
      <x:c r="I670" s="83" t="str">
        <x:v>N/A</x:v>
      </x:c>
      <x:c r="J670" s="80" t="str">
        <x:v>Enamel Light Blue</x:v>
      </x:c>
      <x:c r="K670" s="82" t="str"/>
      <x:c r="L670" s="82" t="str">
        <x:v>RL</x:v>
      </x:c>
      <x:c r="M670" s="82" t="str">
        <x:v>Unpainted / Metal</x:v>
      </x:c>
      <x:c r="N670" s="82" t="str">
        <x:v>Blue</x:v>
      </x:c>
      <x:c r="O670" s="82" t="str">
        <x:v>Black</x:v>
      </x:c>
      <x:c r="P670" s="82" t="str">
        <x:v>Hong Kong</x:v>
      </x:c>
      <x:c r="Q670" s="82" t="str"/>
      <x:c r="R670" s="82" t="str">
        <x:v>Outra linha</x:v>
      </x:c>
      <x:c r="S670" s="82" t="str">
        <x:v>Rara</x:v>
      </x:c>
      <x:c r="T670" s="82" t="str">
        <x:v>Lançado</x:v>
      </x:c>
      <x:c r="U670" s="82" t="str"/>
      <x:c r="V670" s="80" t="str">
        <x:v>Coleção principal (~1:64)</x:v>
      </x:c>
      <x:c r="W670" s="82" t="str">
        <x:v>https://hotwheels.fandom.com/wiki/Ferrari_512S</x:v>
      </x:c>
      <x:c r="X670" s="82" t="str">
        <x:v>https://hotwheels.fandom.com/wiki/Ferrari_512S</x:v>
      </x:c>
    </x:row>
    <x:row r="671">
      <x:c r="A671" s="80" t="str">
        <x:v>Não</x:v>
      </x:c>
      <x:c r="B671" s="80" t="str">
        <x:v>2 — Completar aos poucos</x:v>
      </x:c>
      <x:c r="C671" s="81" t="n">
        <x:v>1973</x:v>
      </x:c>
      <x:c r="D671" s="80" t="str">
        <x:v>Ferrari 512S</x:v>
      </x:c>
      <x:c r="E671" s="80" t="str">
        <x:v>Ferrari 512S</x:v>
      </x:c>
      <x:c r="F671" s="82" t="str">
        <x:v>Shell Promo</x:v>
      </x:c>
      <x:c r="G671" s="80" t="str"/>
      <x:c r="H671" s="80" t="str"/>
      <x:c r="I671" s="83" t="str">
        <x:v>N/A</x:v>
      </x:c>
      <x:c r="J671" s="80" t="str">
        <x:v>Enamel Red</x:v>
      </x:c>
      <x:c r="K671" s="82" t="str"/>
      <x:c r="L671" s="82" t="str">
        <x:v>RL</x:v>
      </x:c>
      <x:c r="M671" s="82" t="str">
        <x:v>Unpainted / Metal</x:v>
      </x:c>
      <x:c r="N671" s="82" t="str">
        <x:v>Blue</x:v>
      </x:c>
      <x:c r="O671" s="82" t="str">
        <x:v>Black</x:v>
      </x:c>
      <x:c r="P671" s="82" t="str">
        <x:v>Hong Kong</x:v>
      </x:c>
      <x:c r="Q671" s="82" t="str"/>
      <x:c r="R671" s="82" t="str">
        <x:v>Outra linha</x:v>
      </x:c>
      <x:c r="S671" s="82" t="str">
        <x:v>Rara</x:v>
      </x:c>
      <x:c r="T671" s="82" t="str">
        <x:v>Lançado</x:v>
      </x:c>
      <x:c r="U671" s="82" t="str"/>
      <x:c r="V671" s="80" t="str">
        <x:v>Coleção principal (~1:64)</x:v>
      </x:c>
      <x:c r="W671" s="82" t="str">
        <x:v>https://hotwheels.fandom.com/wiki/Ferrari_512S</x:v>
      </x:c>
      <x:c r="X671" s="82" t="str">
        <x:v>https://hotwheels.fandom.com/wiki/Ferrari_512S</x:v>
      </x:c>
    </x:row>
    <x:row r="672">
      <x:c r="A672" s="80" t="str">
        <x:v>Não</x:v>
      </x:c>
      <x:c r="B672" s="80" t="str">
        <x:v>2 — Completar aos poucos</x:v>
      </x:c>
      <x:c r="C672" s="81" t="n">
        <x:v>1973</x:v>
      </x:c>
      <x:c r="D672" s="80" t="str">
        <x:v>Ferrari 512S</x:v>
      </x:c>
      <x:c r="E672" s="80" t="str">
        <x:v>Ferrari 512S</x:v>
      </x:c>
      <x:c r="F672" s="82" t="str">
        <x:v>Shell Promo</x:v>
      </x:c>
      <x:c r="G672" s="80" t="str"/>
      <x:c r="H672" s="80" t="str"/>
      <x:c r="I672" s="83" t="str">
        <x:v>N/A</x:v>
      </x:c>
      <x:c r="J672" s="80" t="str">
        <x:v>Enamel Yellow</x:v>
      </x:c>
      <x:c r="K672" s="82" t="str"/>
      <x:c r="L672" s="82" t="str">
        <x:v>RL</x:v>
      </x:c>
      <x:c r="M672" s="82" t="str">
        <x:v>Unpainted / Metal</x:v>
      </x:c>
      <x:c r="N672" s="82" t="str">
        <x:v>Blue</x:v>
      </x:c>
      <x:c r="O672" s="82" t="str">
        <x:v>Black</x:v>
      </x:c>
      <x:c r="P672" s="82" t="str">
        <x:v>Hong Kong</x:v>
      </x:c>
      <x:c r="Q672" s="82" t="str"/>
      <x:c r="R672" s="82" t="str">
        <x:v>Outra linha</x:v>
      </x:c>
      <x:c r="S672" s="82" t="str">
        <x:v>Rara</x:v>
      </x:c>
      <x:c r="T672" s="82" t="str">
        <x:v>Lançado</x:v>
      </x:c>
      <x:c r="U672" s="82" t="str"/>
      <x:c r="V672" s="80" t="str">
        <x:v>Coleção principal (~1:64)</x:v>
      </x:c>
      <x:c r="W672" s="82" t="str">
        <x:v>https://hotwheels.fandom.com/wiki/Ferrari_512S</x:v>
      </x:c>
      <x:c r="X672" s="82" t="str">
        <x:v>https://hotwheels.fandom.com/wiki/Ferrari_512S</x:v>
      </x:c>
    </x:row>
    <x:row r="673">
      <x:c r="A673" s="80" t="str">
        <x:v>Não</x:v>
      </x:c>
      <x:c r="B673" s="80" t="str">
        <x:v>2 — Completar aos poucos</x:v>
      </x:c>
      <x:c r="C673" s="81" t="n">
        <x:v>1973</x:v>
      </x:c>
      <x:c r="D673" s="80" t="str">
        <x:v>Ferrari 512S</x:v>
      </x:c>
      <x:c r="E673" s="80" t="str">
        <x:v>Ferrari 512S</x:v>
      </x:c>
      <x:c r="F673" s="82" t="str">
        <x:v>Shell Promo</x:v>
      </x:c>
      <x:c r="G673" s="80" t="str"/>
      <x:c r="H673" s="80" t="str"/>
      <x:c r="I673" s="83" t="str">
        <x:v>N/A</x:v>
      </x:c>
      <x:c r="J673" s="80" t="str">
        <x:v>Fluorescent Lime Green</x:v>
      </x:c>
      <x:c r="K673" s="82" t="str"/>
      <x:c r="L673" s="82" t="str">
        <x:v>RL</x:v>
      </x:c>
      <x:c r="M673" s="82" t="str">
        <x:v>Unpainted / Metal</x:v>
      </x:c>
      <x:c r="N673" s="82" t="str">
        <x:v>Blue</x:v>
      </x:c>
      <x:c r="O673" s="82" t="str">
        <x:v>Black</x:v>
      </x:c>
      <x:c r="P673" s="82" t="str">
        <x:v>Hong Kong</x:v>
      </x:c>
      <x:c r="Q673" s="82" t="str"/>
      <x:c r="R673" s="82" t="str">
        <x:v>Outra linha</x:v>
      </x:c>
      <x:c r="S673" s="82" t="str">
        <x:v>Rara</x:v>
      </x:c>
      <x:c r="T673" s="82" t="str">
        <x:v>Lançado</x:v>
      </x:c>
      <x:c r="U673" s="82" t="str"/>
      <x:c r="V673" s="80" t="str">
        <x:v>Coleção principal (~1:64)</x:v>
      </x:c>
      <x:c r="W673" s="82" t="str">
        <x:v>https://hotwheels.fandom.com/wiki/Ferrari_512S</x:v>
      </x:c>
      <x:c r="X673" s="82" t="str">
        <x:v>https://hotwheels.fandom.com/wiki/Ferrari_512S</x:v>
      </x:c>
    </x:row>
    <x:row r="674">
      <x:c r="A674" s="80" t="str">
        <x:v>Não</x:v>
      </x:c>
      <x:c r="B674" s="80" t="str">
        <x:v>2 — Completar aos poucos</x:v>
      </x:c>
      <x:c r="C674" s="81" t="n">
        <x:v>1973</x:v>
      </x:c>
      <x:c r="D674" s="80" t="str">
        <x:v>Ferrari 512S</x:v>
      </x:c>
      <x:c r="E674" s="80" t="str">
        <x:v>Ferrari 512S</x:v>
      </x:c>
      <x:c r="F674" s="82" t="str">
        <x:v>Shell Promo</x:v>
      </x:c>
      <x:c r="G674" s="80" t="str"/>
      <x:c r="H674" s="80" t="str"/>
      <x:c r="I674" s="83" t="str">
        <x:v>N/A</x:v>
      </x:c>
      <x:c r="J674" s="80" t="str">
        <x:v>Unpainted / Metalflake Green</x:v>
      </x:c>
      <x:c r="K674" s="82" t="str"/>
      <x:c r="L674" s="82" t="str">
        <x:v>RL</x:v>
      </x:c>
      <x:c r="M674" s="82" t="str">
        <x:v>Unpainted / Metal</x:v>
      </x:c>
      <x:c r="N674" s="82" t="str">
        <x:v>Blue</x:v>
      </x:c>
      <x:c r="O674" s="82" t="str">
        <x:v>Black</x:v>
      </x:c>
      <x:c r="P674" s="82" t="str">
        <x:v>Hong Kong</x:v>
      </x:c>
      <x:c r="Q674" s="82" t="str"/>
      <x:c r="R674" s="82" t="str">
        <x:v>Outra linha</x:v>
      </x:c>
      <x:c r="S674" s="82" t="str">
        <x:v>Rara</x:v>
      </x:c>
      <x:c r="T674" s="82" t="str">
        <x:v>Lançado</x:v>
      </x:c>
      <x:c r="U674" s="82" t="str"/>
      <x:c r="V674" s="80" t="str">
        <x:v>Coleção principal (~1:64)</x:v>
      </x:c>
      <x:c r="W674" s="82" t="str">
        <x:v>https://hotwheels.fandom.com/wiki/Ferrari_512S</x:v>
      </x:c>
      <x:c r="X674" s="82" t="str">
        <x:v>https://hotwheels.fandom.com/wiki/Ferrari_512S</x:v>
      </x:c>
    </x:row>
    <x:row r="675">
      <x:c r="A675" s="80" t="str">
        <x:v>Não</x:v>
      </x:c>
      <x:c r="B675" s="80" t="str">
        <x:v>2 — Completar aos poucos</x:v>
      </x:c>
      <x:c r="C675" s="81" t="n">
        <x:v>1973</x:v>
      </x:c>
      <x:c r="D675" s="80" t="str">
        <x:v>Ferrari 512S</x:v>
      </x:c>
      <x:c r="E675" s="80" t="str">
        <x:v>Ferrari 512S</x:v>
      </x:c>
      <x:c r="F675" s="82" t="str">
        <x:v>Shell Promo</x:v>
      </x:c>
      <x:c r="G675" s="80" t="str"/>
      <x:c r="H675" s="80" t="str"/>
      <x:c r="I675" s="83" t="str">
        <x:v>N/A</x:v>
      </x:c>
      <x:c r="J675" s="80" t="str">
        <x:v>Unpainted / Metalflake Pink</x:v>
      </x:c>
      <x:c r="K675" s="82" t="str"/>
      <x:c r="L675" s="82" t="str">
        <x:v>RL</x:v>
      </x:c>
      <x:c r="M675" s="82" t="str">
        <x:v>Unpainted / Metal</x:v>
      </x:c>
      <x:c r="N675" s="82" t="str">
        <x:v>Blue</x:v>
      </x:c>
      <x:c r="O675" s="82" t="str">
        <x:v>Black</x:v>
      </x:c>
      <x:c r="P675" s="82" t="str">
        <x:v>Hong Kong</x:v>
      </x:c>
      <x:c r="Q675" s="82" t="str"/>
      <x:c r="R675" s="82" t="str">
        <x:v>Outra linha</x:v>
      </x:c>
      <x:c r="S675" s="82" t="str">
        <x:v>Rara</x:v>
      </x:c>
      <x:c r="T675" s="82" t="str">
        <x:v>Lançado</x:v>
      </x:c>
      <x:c r="U675" s="82" t="str"/>
      <x:c r="V675" s="80" t="str">
        <x:v>Coleção principal (~1:64)</x:v>
      </x:c>
      <x:c r="W675" s="82" t="str">
        <x:v>https://hotwheels.fandom.com/wiki/Ferrari_512S</x:v>
      </x:c>
      <x:c r="X675" s="82" t="str">
        <x:v>https://hotwheels.fandom.com/wiki/Ferrari_512S</x:v>
      </x:c>
    </x:row>
    <x:row r="676">
      <x:c r="A676" s="80" t="str">
        <x:v>Não</x:v>
      </x:c>
      <x:c r="B676" s="80" t="str">
        <x:v>2 — Completar aos poucos</x:v>
      </x:c>
      <x:c r="C676" s="81" t="n">
        <x:v>1972</x:v>
      </x:c>
      <x:c r="D676" s="80" t="str">
        <x:v>Ferrari 512S</x:v>
      </x:c>
      <x:c r="E676" s="80" t="str">
        <x:v>Ferrari 512S</x:v>
      </x:c>
      <x:c r="F676" s="82" t="str">
        <x:v>1972 Hot Wheels</x:v>
      </x:c>
      <x:c r="G676" s="80" t="str"/>
      <x:c r="H676" s="80" t="str"/>
      <x:c r="I676" s="83" t="str">
        <x:v>6021</x:v>
      </x:c>
      <x:c r="J676" s="80" t="str">
        <x:v>Spectraflame Aqua</x:v>
      </x:c>
      <x:c r="K676" s="82" t="str"/>
      <x:c r="L676" s="82" t="str">
        <x:v>RL</x:v>
      </x:c>
      <x:c r="M676" s="82" t="str">
        <x:v>Unpainted / Metal</x:v>
      </x:c>
      <x:c r="N676" s="82" t="str">
        <x:v>Blue</x:v>
      </x:c>
      <x:c r="O676" s="82" t="str">
        <x:v>Black</x:v>
      </x:c>
      <x:c r="P676" s="82" t="str">
        <x:v>Hong Kong</x:v>
      </x:c>
      <x:c r="Q676" s="82" t="str"/>
      <x:c r="R676" s="82" t="str">
        <x:v>Outra linha</x:v>
      </x:c>
      <x:c r="S676" s="82" t="str">
        <x:v>Rara</x:v>
      </x:c>
      <x:c r="T676" s="82" t="str">
        <x:v>Lançado</x:v>
      </x:c>
      <x:c r="U676" s="82" t="str"/>
      <x:c r="V676" s="80" t="str">
        <x:v>Coleção principal (~1:64)</x:v>
      </x:c>
      <x:c r="W676" s="82" t="str">
        <x:v>https://hotwheels.fandom.com/wiki/Ferrari_512S</x:v>
      </x:c>
      <x:c r="X676" s="82" t="str">
        <x:v>https://hotwheels.fandom.com/wiki/Ferrari_512S</x:v>
      </x:c>
    </x:row>
    <x:row r="677">
      <x:c r="A677" s="80" t="str">
        <x:v>Não</x:v>
      </x:c>
      <x:c r="B677" s="80" t="str">
        <x:v>2 — Completar aos poucos</x:v>
      </x:c>
      <x:c r="C677" s="81" t="n">
        <x:v>1972</x:v>
      </x:c>
      <x:c r="D677" s="80" t="str">
        <x:v>Ferrari 512S</x:v>
      </x:c>
      <x:c r="E677" s="80" t="str">
        <x:v>Ferrari 512S</x:v>
      </x:c>
      <x:c r="F677" s="82" t="str">
        <x:v>1972 Hot Wheels</x:v>
      </x:c>
      <x:c r="G677" s="80" t="str"/>
      <x:c r="H677" s="80" t="str"/>
      <x:c r="I677" s="83" t="str">
        <x:v>6021</x:v>
      </x:c>
      <x:c r="J677" s="80" t="str">
        <x:v>Spectraflame Blue</x:v>
      </x:c>
      <x:c r="K677" s="82" t="str"/>
      <x:c r="L677" s="82" t="str">
        <x:v>RL</x:v>
      </x:c>
      <x:c r="M677" s="82" t="str">
        <x:v>Unpainted / Metal</x:v>
      </x:c>
      <x:c r="N677" s="82" t="str">
        <x:v>Blue</x:v>
      </x:c>
      <x:c r="O677" s="82" t="str">
        <x:v>Black</x:v>
      </x:c>
      <x:c r="P677" s="82" t="str">
        <x:v>Hong Kong</x:v>
      </x:c>
      <x:c r="Q677" s="82" t="str"/>
      <x:c r="R677" s="82" t="str">
        <x:v>Outra linha</x:v>
      </x:c>
      <x:c r="S677" s="82" t="str">
        <x:v>Rara</x:v>
      </x:c>
      <x:c r="T677" s="82" t="str">
        <x:v>Lançado</x:v>
      </x:c>
      <x:c r="U677" s="82" t="str"/>
      <x:c r="V677" s="80" t="str">
        <x:v>Coleção principal (~1:64)</x:v>
      </x:c>
      <x:c r="W677" s="82" t="str">
        <x:v>https://hotwheels.fandom.com/wiki/Ferrari_512S</x:v>
      </x:c>
      <x:c r="X677" s="82" t="str">
        <x:v>https://hotwheels.fandom.com/wiki/Ferrari_512S</x:v>
      </x:c>
    </x:row>
    <x:row r="678">
      <x:c r="A678" s="80" t="str">
        <x:v>Não</x:v>
      </x:c>
      <x:c r="B678" s="80" t="str">
        <x:v>2 — Completar aos poucos</x:v>
      </x:c>
      <x:c r="C678" s="81" t="n">
        <x:v>1972</x:v>
      </x:c>
      <x:c r="D678" s="80" t="str">
        <x:v>Ferrari 512S</x:v>
      </x:c>
      <x:c r="E678" s="80" t="str">
        <x:v>Ferrari 512S</x:v>
      </x:c>
      <x:c r="F678" s="82" t="str">
        <x:v>1972 Hot Wheels</x:v>
      </x:c>
      <x:c r="G678" s="80" t="str"/>
      <x:c r="H678" s="80" t="str"/>
      <x:c r="I678" s="83" t="str">
        <x:v>6021</x:v>
      </x:c>
      <x:c r="J678" s="80" t="str">
        <x:v>Spectraflame Gold</x:v>
      </x:c>
      <x:c r="K678" s="82" t="str"/>
      <x:c r="L678" s="82" t="str">
        <x:v>RL</x:v>
      </x:c>
      <x:c r="M678" s="82" t="str">
        <x:v>Unpainted / Metal</x:v>
      </x:c>
      <x:c r="N678" s="82" t="str">
        <x:v>Blue</x:v>
      </x:c>
      <x:c r="O678" s="82" t="str">
        <x:v>Black</x:v>
      </x:c>
      <x:c r="P678" s="82" t="str">
        <x:v>Hong Kong</x:v>
      </x:c>
      <x:c r="Q678" s="82" t="str"/>
      <x:c r="R678" s="82" t="str">
        <x:v>Outra linha</x:v>
      </x:c>
      <x:c r="S678" s="82" t="str">
        <x:v>Rara</x:v>
      </x:c>
      <x:c r="T678" s="82" t="str">
        <x:v>Lançado</x:v>
      </x:c>
      <x:c r="U678" s="82" t="str"/>
      <x:c r="V678" s="80" t="str">
        <x:v>Coleção principal (~1:64)</x:v>
      </x:c>
      <x:c r="W678" s="82" t="str">
        <x:v>https://hotwheels.fandom.com/wiki/Ferrari_512S</x:v>
      </x:c>
      <x:c r="X678" s="82" t="str">
        <x:v>https://hotwheels.fandom.com/wiki/Ferrari_512S</x:v>
      </x:c>
    </x:row>
    <x:row r="679">
      <x:c r="A679" s="80" t="str">
        <x:v>Não</x:v>
      </x:c>
      <x:c r="B679" s="80" t="str">
        <x:v>2 — Completar aos poucos</x:v>
      </x:c>
      <x:c r="C679" s="81" t="n">
        <x:v>1972</x:v>
      </x:c>
      <x:c r="D679" s="80" t="str">
        <x:v>Ferrari 512S</x:v>
      </x:c>
      <x:c r="E679" s="80" t="str">
        <x:v>Ferrari 512S</x:v>
      </x:c>
      <x:c r="F679" s="82" t="str">
        <x:v>1972 Hot Wheels</x:v>
      </x:c>
      <x:c r="G679" s="80" t="str"/>
      <x:c r="H679" s="80" t="str"/>
      <x:c r="I679" s="83" t="str">
        <x:v>6021</x:v>
      </x:c>
      <x:c r="J679" s="80" t="str">
        <x:v>Spectraflame Light Green</x:v>
      </x:c>
      <x:c r="K679" s="82" t="str"/>
      <x:c r="L679" s="82" t="str">
        <x:v>RL</x:v>
      </x:c>
      <x:c r="M679" s="82" t="str">
        <x:v>Unpainted / Metal</x:v>
      </x:c>
      <x:c r="N679" s="82" t="str">
        <x:v>Blue</x:v>
      </x:c>
      <x:c r="O679" s="82" t="str">
        <x:v>Black</x:v>
      </x:c>
      <x:c r="P679" s="82" t="str">
        <x:v>Hong Kong</x:v>
      </x:c>
      <x:c r="Q679" s="82" t="str"/>
      <x:c r="R679" s="82" t="str">
        <x:v>Outra linha</x:v>
      </x:c>
      <x:c r="S679" s="82" t="str">
        <x:v>Rara</x:v>
      </x:c>
      <x:c r="T679" s="82" t="str">
        <x:v>Lançado</x:v>
      </x:c>
      <x:c r="U679" s="82" t="str"/>
      <x:c r="V679" s="80" t="str">
        <x:v>Coleção principal (~1:64)</x:v>
      </x:c>
      <x:c r="W679" s="82" t="str">
        <x:v>https://hotwheels.fandom.com/wiki/Ferrari_512S</x:v>
      </x:c>
      <x:c r="X679" s="82" t="str">
        <x:v>https://hotwheels.fandom.com/wiki/Ferrari_512S</x:v>
      </x:c>
    </x:row>
    <x:row r="680">
      <x:c r="A680" s="80" t="str">
        <x:v>Não</x:v>
      </x:c>
      <x:c r="B680" s="80" t="str">
        <x:v>2 — Completar aos poucos</x:v>
      </x:c>
      <x:c r="C680" s="81" t="n">
        <x:v>1972</x:v>
      </x:c>
      <x:c r="D680" s="80" t="str">
        <x:v>Ferrari 512S</x:v>
      </x:c>
      <x:c r="E680" s="80" t="str">
        <x:v>Ferrari 512S</x:v>
      </x:c>
      <x:c r="F680" s="82" t="str">
        <x:v>1972 Hot Wheels</x:v>
      </x:c>
      <x:c r="G680" s="80" t="str"/>
      <x:c r="H680" s="80" t="str"/>
      <x:c r="I680" s="83" t="str">
        <x:v>6021</x:v>
      </x:c>
      <x:c r="J680" s="80" t="str">
        <x:v>Spectraflame Lime Green</x:v>
      </x:c>
      <x:c r="K680" s="82" t="str"/>
      <x:c r="L680" s="82" t="str">
        <x:v>RL</x:v>
      </x:c>
      <x:c r="M680" s="82" t="str">
        <x:v>Unpainted / Metal</x:v>
      </x:c>
      <x:c r="N680" s="82" t="str">
        <x:v>Blue</x:v>
      </x:c>
      <x:c r="O680" s="82" t="str">
        <x:v>Black</x:v>
      </x:c>
      <x:c r="P680" s="82" t="str">
        <x:v>Hong Kong</x:v>
      </x:c>
      <x:c r="Q680" s="82" t="str"/>
      <x:c r="R680" s="82" t="str">
        <x:v>Outra linha</x:v>
      </x:c>
      <x:c r="S680" s="82" t="str">
        <x:v>Rara</x:v>
      </x:c>
      <x:c r="T680" s="82" t="str">
        <x:v>Lançado</x:v>
      </x:c>
      <x:c r="U680" s="82" t="str"/>
      <x:c r="V680" s="80" t="str">
        <x:v>Coleção principal (~1:64)</x:v>
      </x:c>
      <x:c r="W680" s="82" t="str">
        <x:v>https://hotwheels.fandom.com/wiki/Ferrari_512S</x:v>
      </x:c>
      <x:c r="X680" s="82" t="str">
        <x:v>https://hotwheels.fandom.com/wiki/Ferrari_512S</x:v>
      </x:c>
    </x:row>
    <x:row r="681">
      <x:c r="A681" s="80" t="str">
        <x:v>Não</x:v>
      </x:c>
      <x:c r="B681" s="80" t="str">
        <x:v>2 — Completar aos poucos</x:v>
      </x:c>
      <x:c r="C681" s="81" t="n">
        <x:v>1972</x:v>
      </x:c>
      <x:c r="D681" s="80" t="str">
        <x:v>Ferrari 512S</x:v>
      </x:c>
      <x:c r="E681" s="80" t="str">
        <x:v>Ferrari 512S</x:v>
      </x:c>
      <x:c r="F681" s="82" t="str">
        <x:v>1972 Hot Wheels</x:v>
      </x:c>
      <x:c r="G681" s="80" t="str"/>
      <x:c r="H681" s="80" t="str"/>
      <x:c r="I681" s="83" t="str">
        <x:v>6021</x:v>
      </x:c>
      <x:c r="J681" s="80" t="str">
        <x:v>Spectraflame Magenta</x:v>
      </x:c>
      <x:c r="K681" s="82" t="str"/>
      <x:c r="L681" s="82" t="str">
        <x:v>RL</x:v>
      </x:c>
      <x:c r="M681" s="82" t="str">
        <x:v>Unpainted / Metal</x:v>
      </x:c>
      <x:c r="N681" s="82" t="str">
        <x:v>Blue</x:v>
      </x:c>
      <x:c r="O681" s="82" t="str">
        <x:v>Black</x:v>
      </x:c>
      <x:c r="P681" s="82" t="str">
        <x:v>Hong Kong</x:v>
      </x:c>
      <x:c r="Q681" s="82" t="str"/>
      <x:c r="R681" s="82" t="str">
        <x:v>Outra linha</x:v>
      </x:c>
      <x:c r="S681" s="82" t="str">
        <x:v>Rara</x:v>
      </x:c>
      <x:c r="T681" s="82" t="str">
        <x:v>Lançado</x:v>
      </x:c>
      <x:c r="U681" s="82" t="str"/>
      <x:c r="V681" s="80" t="str">
        <x:v>Coleção principal (~1:64)</x:v>
      </x:c>
      <x:c r="W681" s="82" t="str">
        <x:v>https://hotwheels.fandom.com/wiki/Ferrari_512S</x:v>
      </x:c>
      <x:c r="X681" s="82" t="str">
        <x:v>https://hotwheels.fandom.com/wiki/Ferrari_512S</x:v>
      </x:c>
    </x:row>
    <x:row r="682">
      <x:c r="A682" s="80" t="str">
        <x:v>Não</x:v>
      </x:c>
      <x:c r="B682" s="80" t="str">
        <x:v>2 — Completar aos poucos</x:v>
      </x:c>
      <x:c r="C682" s="81" t="n">
        <x:v>1972</x:v>
      </x:c>
      <x:c r="D682" s="80" t="str">
        <x:v>Ferrari 512S</x:v>
      </x:c>
      <x:c r="E682" s="80" t="str">
        <x:v>Ferrari 512S</x:v>
      </x:c>
      <x:c r="F682" s="82" t="str">
        <x:v>1972 Hot Wheels</x:v>
      </x:c>
      <x:c r="G682" s="80" t="str"/>
      <x:c r="H682" s="80" t="str"/>
      <x:c r="I682" s="83" t="str">
        <x:v>6021</x:v>
      </x:c>
      <x:c r="J682" s="80" t="str">
        <x:v>Spectraflame pink</x:v>
      </x:c>
      <x:c r="K682" s="82" t="str"/>
      <x:c r="L682" s="82" t="str">
        <x:v>RL</x:v>
      </x:c>
      <x:c r="M682" s="82" t="str">
        <x:v>Unpainted / Metal</x:v>
      </x:c>
      <x:c r="N682" s="82" t="str">
        <x:v>Blue</x:v>
      </x:c>
      <x:c r="O682" s="82" t="str">
        <x:v>Black</x:v>
      </x:c>
      <x:c r="P682" s="82" t="str">
        <x:v>Hong Kong</x:v>
      </x:c>
      <x:c r="Q682" s="82" t="str"/>
      <x:c r="R682" s="82" t="str">
        <x:v>Outra linha</x:v>
      </x:c>
      <x:c r="S682" s="82" t="str">
        <x:v>Rara</x:v>
      </x:c>
      <x:c r="T682" s="82" t="str">
        <x:v>Lançado</x:v>
      </x:c>
      <x:c r="U682" s="82" t="str"/>
      <x:c r="V682" s="80" t="str">
        <x:v>Coleção principal (~1:64)</x:v>
      </x:c>
      <x:c r="W682" s="82" t="str">
        <x:v>https://hotwheels.fandom.com/wiki/Ferrari_512S</x:v>
      </x:c>
      <x:c r="X682" s="82" t="str">
        <x:v>https://hotwheels.fandom.com/wiki/Ferrari_512S</x:v>
      </x:c>
    </x:row>
    <x:row r="683">
      <x:c r="A683" s="80" t="str">
        <x:v>Não</x:v>
      </x:c>
      <x:c r="B683" s="80" t="str">
        <x:v>2 — Completar aos poucos</x:v>
      </x:c>
      <x:c r="C683" s="81" t="n">
        <x:v>1972</x:v>
      </x:c>
      <x:c r="D683" s="80" t="str">
        <x:v>Ferrari 512S</x:v>
      </x:c>
      <x:c r="E683" s="80" t="str">
        <x:v>Ferrari 512S</x:v>
      </x:c>
      <x:c r="F683" s="82" t="str">
        <x:v>1972 Hot Wheels</x:v>
      </x:c>
      <x:c r="G683" s="80" t="str"/>
      <x:c r="H683" s="80" t="str"/>
      <x:c r="I683" s="83" t="str">
        <x:v>6021</x:v>
      </x:c>
      <x:c r="J683" s="80" t="str">
        <x:v>Spectraflame Red</x:v>
      </x:c>
      <x:c r="K683" s="82" t="str"/>
      <x:c r="L683" s="82" t="str">
        <x:v>RL</x:v>
      </x:c>
      <x:c r="M683" s="82" t="str">
        <x:v>Unpainted / Metal</x:v>
      </x:c>
      <x:c r="N683" s="82" t="str">
        <x:v>Blue</x:v>
      </x:c>
      <x:c r="O683" s="82" t="str">
        <x:v>Black</x:v>
      </x:c>
      <x:c r="P683" s="82" t="str">
        <x:v>Hong Kong</x:v>
      </x:c>
      <x:c r="Q683" s="82" t="str"/>
      <x:c r="R683" s="82" t="str">
        <x:v>Outra linha</x:v>
      </x:c>
      <x:c r="S683" s="82" t="str">
        <x:v>Rara</x:v>
      </x:c>
      <x:c r="T683" s="82" t="str">
        <x:v>Lançado</x:v>
      </x:c>
      <x:c r="U683" s="82" t="str"/>
      <x:c r="V683" s="80" t="str">
        <x:v>Coleção principal (~1:64)</x:v>
      </x:c>
      <x:c r="W683" s="82" t="str">
        <x:v>https://hotwheels.fandom.com/wiki/Ferrari_512S</x:v>
      </x:c>
      <x:c r="X683" s="82" t="str">
        <x:v>https://hotwheels.fandom.com/wiki/Ferrari_512S</x:v>
      </x:c>
    </x:row>
    <x:row r="684">
      <x:c r="A684" s="80" t="str">
        <x:v>Não</x:v>
      </x:c>
      <x:c r="B684" s="80" t="str">
        <x:v>2 — Completar aos poucos</x:v>
      </x:c>
      <x:c r="C684" s="81" t="n">
        <x:v>1972</x:v>
      </x:c>
      <x:c r="D684" s="80" t="str">
        <x:v>Ferrari 512S</x:v>
      </x:c>
      <x:c r="E684" s="80" t="str">
        <x:v>Ferrari 512S</x:v>
      </x:c>
      <x:c r="F684" s="82" t="str">
        <x:v>1972 Hot Wheels</x:v>
      </x:c>
      <x:c r="G684" s="80" t="str"/>
      <x:c r="H684" s="80" t="str"/>
      <x:c r="I684" s="83" t="str">
        <x:v>6021</x:v>
      </x:c>
      <x:c r="J684" s="80" t="str">
        <x:v>Spectraflame Rose</x:v>
      </x:c>
      <x:c r="K684" s="82" t="str"/>
      <x:c r="L684" s="82" t="str">
        <x:v>RL</x:v>
      </x:c>
      <x:c r="M684" s="82" t="str">
        <x:v>Unpainted / Metal</x:v>
      </x:c>
      <x:c r="N684" s="82" t="str">
        <x:v>Blue</x:v>
      </x:c>
      <x:c r="O684" s="82" t="str">
        <x:v>Black</x:v>
      </x:c>
      <x:c r="P684" s="82" t="str">
        <x:v>Hong Kong</x:v>
      </x:c>
      <x:c r="Q684" s="82" t="str"/>
      <x:c r="R684" s="82" t="str">
        <x:v>Outra linha</x:v>
      </x:c>
      <x:c r="S684" s="82" t="str">
        <x:v>Rara</x:v>
      </x:c>
      <x:c r="T684" s="82" t="str">
        <x:v>Lançado</x:v>
      </x:c>
      <x:c r="U684" s="82" t="str"/>
      <x:c r="V684" s="80" t="str">
        <x:v>Coleção principal (~1:64)</x:v>
      </x:c>
      <x:c r="W684" s="82" t="str">
        <x:v>https://hotwheels.fandom.com/wiki/Ferrari_512S</x:v>
      </x:c>
      <x:c r="X684" s="82" t="str">
        <x:v>https://hotwheels.fandom.com/wiki/Ferrari_512S</x:v>
      </x:c>
    </x:row>
    <x:row r="685">
      <x:c r="A685" s="80" t="str">
        <x:v>Não</x:v>
      </x:c>
      <x:c r="B685" s="80" t="str">
        <x:v>2 — Completar aos poucos</x:v>
      </x:c>
      <x:c r="C685" s="81" t="n">
        <x:v>1972</x:v>
      </x:c>
      <x:c r="D685" s="80" t="str">
        <x:v>Ferrari 512S</x:v>
      </x:c>
      <x:c r="E685" s="80" t="str">
        <x:v>Ferrari 512S</x:v>
      </x:c>
      <x:c r="F685" s="82" t="str">
        <x:v>1972 Hot Wheels</x:v>
      </x:c>
      <x:c r="G685" s="80" t="str"/>
      <x:c r="H685" s="80" t="str"/>
      <x:c r="I685" s="83" t="str">
        <x:v>6021</x:v>
      </x:c>
      <x:c r="J685" s="80" t="str">
        <x:v>Spectraflame Yellow</x:v>
      </x:c>
      <x:c r="K685" s="82" t="str"/>
      <x:c r="L685" s="82" t="str">
        <x:v>RL</x:v>
      </x:c>
      <x:c r="M685" s="82" t="str">
        <x:v>Unpainted / Metal</x:v>
      </x:c>
      <x:c r="N685" s="82" t="str">
        <x:v>Blue</x:v>
      </x:c>
      <x:c r="O685" s="82" t="str">
        <x:v>Black</x:v>
      </x:c>
      <x:c r="P685" s="82" t="str">
        <x:v>Hong Kong</x:v>
      </x:c>
      <x:c r="Q685" s="82" t="str"/>
      <x:c r="R685" s="82" t="str">
        <x:v>Outra linha</x:v>
      </x:c>
      <x:c r="S685" s="82" t="str">
        <x:v>Rara</x:v>
      </x:c>
      <x:c r="T685" s="82" t="str">
        <x:v>Lançado</x:v>
      </x:c>
      <x:c r="U685" s="82" t="str"/>
      <x:c r="V685" s="80" t="str">
        <x:v>Coleção principal (~1:64)</x:v>
      </x:c>
      <x:c r="W685" s="82" t="str">
        <x:v>https://hotwheels.fandom.com/wiki/Ferrari_512S</x:v>
      </x:c>
      <x:c r="X685" s="82" t="str">
        <x:v>https://hotwheels.fandom.com/wiki/Ferrari_512S</x:v>
      </x:c>
    </x:row>
    <x:row r="686">
      <x:c r="A686" s="80" t="str">
        <x:v>Não</x:v>
      </x:c>
      <x:c r="B686" s="80" t="str">
        <x:v>2 — Completar aos poucos</x:v>
      </x:c>
      <x:c r="C686" s="81" t="n">
        <x:v>1970</x:v>
      </x:c>
      <x:c r="D686" s="80" t="str">
        <x:v>Ferrari 312P</x:v>
      </x:c>
      <x:c r="E686" s="80" t="str">
        <x:v>Ferrari 312P</x:v>
      </x:c>
      <x:c r="F686" s="82" t="str">
        <x:v>Grand Prix</x:v>
      </x:c>
      <x:c r="G686" s="80" t="str"/>
      <x:c r="H686" s="80" t="str"/>
      <x:c r="I686" s="83" t="str">
        <x:v>6417</x:v>
      </x:c>
      <x:c r="J686" s="80" t="str">
        <x:v>Enamel Red</x:v>
      </x:c>
      <x:c r="K686" s="82" t="str"/>
      <x:c r="L686" s="82" t="str">
        <x:v>RL</x:v>
      </x:c>
      <x:c r="M686" s="82" t="str">
        <x:v>Unpainted / / / Metal</x:v>
      </x:c>
      <x:c r="N686" s="82" t="str">
        <x:v>Clear</x:v>
      </x:c>
      <x:c r="O686" s="82" t="str">
        <x:v>Black</x:v>
      </x:c>
      <x:c r="P686" s="82" t="str">
        <x:v>USA</x:v>
      </x:c>
      <x:c r="Q686" s="82" t="str"/>
      <x:c r="R686" s="82" t="str">
        <x:v>Outra linha</x:v>
      </x:c>
      <x:c r="S686" s="82" t="str">
        <x:v>Rara</x:v>
      </x:c>
      <x:c r="T686" s="82" t="str">
        <x:v>Lançado</x:v>
      </x:c>
      <x:c r="U686" s="82" t="str"/>
      <x:c r="V686" s="80" t="str">
        <x:v>Coleção principal (~1:64)</x:v>
      </x:c>
      <x:c r="W686" s="82" t="str">
        <x:v>https://hotwheels.fandom.com/wiki/Ferrari_312P</x:v>
      </x:c>
      <x:c r="X686" s="82" t="str">
        <x:v>https://hotwheels.fandom.com/wiki/Ferrari_312P</x:v>
      </x:c>
    </x:row>
    <x:row r="687">
      <x:c r="A687" s="80" t="str">
        <x:v>Não</x:v>
      </x:c>
      <x:c r="B687" s="80" t="str">
        <x:v>2 — Completar aos poucos</x:v>
      </x:c>
      <x:c r="C687" s="81" t="n">
        <x:v>1970</x:v>
      </x:c>
      <x:c r="D687" s="80" t="str">
        <x:v>Ferrari 312P</x:v>
      </x:c>
      <x:c r="E687" s="80" t="str">
        <x:v>Ferrari 312P</x:v>
      </x:c>
      <x:c r="F687" s="82" t="str">
        <x:v>Grand Prix</x:v>
      </x:c>
      <x:c r="G687" s="80" t="str"/>
      <x:c r="H687" s="80" t="str"/>
      <x:c r="I687" s="83" t="str">
        <x:v>6417</x:v>
      </x:c>
      <x:c r="J687" s="80" t="str">
        <x:v>Enamel Red</x:v>
      </x:c>
      <x:c r="K687" s="82" t="str"/>
      <x:c r="L687" s="82" t="str">
        <x:v>RL</x:v>
      </x:c>
      <x:c r="M687" s="82" t="str">
        <x:v>Unpainted / / / Metal</x:v>
      </x:c>
      <x:c r="N687" s="82" t="str">
        <x:v>Blue Tint</x:v>
      </x:c>
      <x:c r="O687" s="82" t="str">
        <x:v>Black</x:v>
      </x:c>
      <x:c r="P687" s="82" t="str">
        <x:v>Hong Kong</x:v>
      </x:c>
      <x:c r="Q687" s="82" t="str"/>
      <x:c r="R687" s="82" t="str">
        <x:v>Outra linha</x:v>
      </x:c>
      <x:c r="S687" s="82" t="str">
        <x:v>Rara</x:v>
      </x:c>
      <x:c r="T687" s="82" t="str">
        <x:v>Lançado</x:v>
      </x:c>
      <x:c r="U687" s="82" t="str"/>
      <x:c r="V687" s="80" t="str">
        <x:v>Coleção principal (~1:64)</x:v>
      </x:c>
      <x:c r="W687" s="82" t="str">
        <x:v>https://hotwheels.fandom.com/wiki/Ferrari_312P</x:v>
      </x:c>
      <x:c r="X687" s="82" t="str">
        <x:v>https://hotwheels.fandom.com/wiki/Ferrari_312P</x:v>
      </x:c>
    </x:row>
    <x:row r="688">
      <x:c r="A688" s="80" t="str">
        <x:v>Não</x:v>
      </x:c>
      <x:c r="B688" s="80" t="str">
        <x:v>2 — Completar aos poucos</x:v>
      </x:c>
      <x:c r="C688" s="81" t="n">
        <x:v>1970</x:v>
      </x:c>
      <x:c r="D688" s="80" t="str">
        <x:v>Ferrari 312P</x:v>
      </x:c>
      <x:c r="E688" s="80" t="str">
        <x:v>Ferrari 312P</x:v>
      </x:c>
      <x:c r="F688" s="82" t="str">
        <x:v>Grand Prix</x:v>
      </x:c>
      <x:c r="G688" s="80" t="str"/>
      <x:c r="H688" s="80" t="str"/>
      <x:c r="I688" s="83" t="str">
        <x:v>6417</x:v>
      </x:c>
      <x:c r="J688" s="80" t="str">
        <x:v>Spectraflame Aqua</x:v>
      </x:c>
      <x:c r="K688" s="82" t="str"/>
      <x:c r="L688" s="82" t="str">
        <x:v>RL</x:v>
      </x:c>
      <x:c r="M688" s="82" t="str">
        <x:v>Unpainted / / / Metal</x:v>
      </x:c>
      <x:c r="N688" s="82" t="str">
        <x:v>Clear</x:v>
      </x:c>
      <x:c r="O688" s="82" t="str">
        <x:v>Black</x:v>
      </x:c>
      <x:c r="P688" s="82" t="str">
        <x:v>USA</x:v>
      </x:c>
      <x:c r="Q688" s="82" t="str"/>
      <x:c r="R688" s="82" t="str">
        <x:v>Outra linha</x:v>
      </x:c>
      <x:c r="S688" s="82" t="str">
        <x:v>Rara</x:v>
      </x:c>
      <x:c r="T688" s="82" t="str">
        <x:v>Lançado</x:v>
      </x:c>
      <x:c r="U688" s="82" t="str"/>
      <x:c r="V688" s="80" t="str">
        <x:v>Coleção principal (~1:64)</x:v>
      </x:c>
      <x:c r="W688" s="82" t="str">
        <x:v>https://hotwheels.fandom.com/wiki/Ferrari_312P</x:v>
      </x:c>
      <x:c r="X688" s="82" t="str">
        <x:v>https://hotwheels.fandom.com/wiki/Ferrari_312P</x:v>
      </x:c>
    </x:row>
    <x:row r="689">
      <x:c r="A689" s="80" t="str">
        <x:v>Não</x:v>
      </x:c>
      <x:c r="B689" s="80" t="str">
        <x:v>2 — Completar aos poucos</x:v>
      </x:c>
      <x:c r="C689" s="81" t="n">
        <x:v>1970</x:v>
      </x:c>
      <x:c r="D689" s="80" t="str">
        <x:v>Ferrari 312P</x:v>
      </x:c>
      <x:c r="E689" s="80" t="str">
        <x:v>Ferrari 312P</x:v>
      </x:c>
      <x:c r="F689" s="82" t="str">
        <x:v>Grand Prix</x:v>
      </x:c>
      <x:c r="G689" s="80" t="str"/>
      <x:c r="H689" s="80" t="str"/>
      <x:c r="I689" s="83" t="str">
        <x:v>6417</x:v>
      </x:c>
      <x:c r="J689" s="80" t="str">
        <x:v>Spectraflame Aqua</x:v>
      </x:c>
      <x:c r="K689" s="82" t="str"/>
      <x:c r="L689" s="82" t="str">
        <x:v>RL</x:v>
      </x:c>
      <x:c r="M689" s="82" t="str">
        <x:v>Unpainted / / / Metal</x:v>
      </x:c>
      <x:c r="N689" s="82" t="str">
        <x:v>Blue Tint</x:v>
      </x:c>
      <x:c r="O689" s="82" t="str">
        <x:v>Black</x:v>
      </x:c>
      <x:c r="P689" s="82" t="str">
        <x:v>Hong Kong</x:v>
      </x:c>
      <x:c r="Q689" s="82" t="str"/>
      <x:c r="R689" s="82" t="str">
        <x:v>Outra linha</x:v>
      </x:c>
      <x:c r="S689" s="82" t="str">
        <x:v>Rara</x:v>
      </x:c>
      <x:c r="T689" s="82" t="str">
        <x:v>Lançado</x:v>
      </x:c>
      <x:c r="U689" s="82" t="str"/>
      <x:c r="V689" s="80" t="str">
        <x:v>Coleção principal (~1:64)</x:v>
      </x:c>
      <x:c r="W689" s="82" t="str">
        <x:v>https://hotwheels.fandom.com/wiki/Ferrari_312P</x:v>
      </x:c>
      <x:c r="X689" s="82" t="str">
        <x:v>https://hotwheels.fandom.com/wiki/Ferrari_312P</x:v>
      </x:c>
    </x:row>
    <x:row r="690">
      <x:c r="A690" s="80" t="str">
        <x:v>Não</x:v>
      </x:c>
      <x:c r="B690" s="80" t="str">
        <x:v>2 — Completar aos poucos</x:v>
      </x:c>
      <x:c r="C690" s="81" t="n">
        <x:v>1970</x:v>
      </x:c>
      <x:c r="D690" s="80" t="str">
        <x:v>Ferrari 312P</x:v>
      </x:c>
      <x:c r="E690" s="80" t="str">
        <x:v>Ferrari 312P</x:v>
      </x:c>
      <x:c r="F690" s="82" t="str">
        <x:v>Grand Prix</x:v>
      </x:c>
      <x:c r="G690" s="80" t="str"/>
      <x:c r="H690" s="80" t="str"/>
      <x:c r="I690" s="83" t="str">
        <x:v>6417</x:v>
      </x:c>
      <x:c r="J690" s="80" t="str">
        <x:v>Spectraflame Blue</x:v>
      </x:c>
      <x:c r="K690" s="82" t="str"/>
      <x:c r="L690" s="82" t="str">
        <x:v>RL</x:v>
      </x:c>
      <x:c r="M690" s="82" t="str">
        <x:v>Unpainted / / / Metal</x:v>
      </x:c>
      <x:c r="N690" s="82" t="str">
        <x:v>Clear</x:v>
      </x:c>
      <x:c r="O690" s="82" t="str">
        <x:v>Black</x:v>
      </x:c>
      <x:c r="P690" s="82" t="str">
        <x:v>USA</x:v>
      </x:c>
      <x:c r="Q690" s="82" t="str"/>
      <x:c r="R690" s="82" t="str">
        <x:v>Outra linha</x:v>
      </x:c>
      <x:c r="S690" s="82" t="str">
        <x:v>Rara</x:v>
      </x:c>
      <x:c r="T690" s="82" t="str">
        <x:v>Lançado</x:v>
      </x:c>
      <x:c r="U690" s="82" t="str"/>
      <x:c r="V690" s="80" t="str">
        <x:v>Coleção principal (~1:64)</x:v>
      </x:c>
      <x:c r="W690" s="82" t="str">
        <x:v>https://hotwheels.fandom.com/wiki/Ferrari_312P</x:v>
      </x:c>
      <x:c r="X690" s="82" t="str">
        <x:v>https://hotwheels.fandom.com/wiki/Ferrari_312P</x:v>
      </x:c>
    </x:row>
    <x:row r="691">
      <x:c r="A691" s="80" t="str">
        <x:v>Não</x:v>
      </x:c>
      <x:c r="B691" s="80" t="str">
        <x:v>2 — Completar aos poucos</x:v>
      </x:c>
      <x:c r="C691" s="81" t="n">
        <x:v>1970</x:v>
      </x:c>
      <x:c r="D691" s="80" t="str">
        <x:v>Ferrari 312P</x:v>
      </x:c>
      <x:c r="E691" s="80" t="str">
        <x:v>Ferrari 312P</x:v>
      </x:c>
      <x:c r="F691" s="82" t="str">
        <x:v>Grand Prix</x:v>
      </x:c>
      <x:c r="G691" s="80" t="str"/>
      <x:c r="H691" s="80" t="str"/>
      <x:c r="I691" s="83" t="str">
        <x:v>6417</x:v>
      </x:c>
      <x:c r="J691" s="80" t="str">
        <x:v>Spectraflame Blue</x:v>
      </x:c>
      <x:c r="K691" s="82" t="str"/>
      <x:c r="L691" s="82" t="str">
        <x:v>RL</x:v>
      </x:c>
      <x:c r="M691" s="82" t="str">
        <x:v>Unpainted / / / Metal</x:v>
      </x:c>
      <x:c r="N691" s="82" t="str">
        <x:v>Blue Tint</x:v>
      </x:c>
      <x:c r="O691" s="82" t="str">
        <x:v>Black</x:v>
      </x:c>
      <x:c r="P691" s="82" t="str">
        <x:v>Hong Kong</x:v>
      </x:c>
      <x:c r="Q691" s="82" t="str"/>
      <x:c r="R691" s="82" t="str">
        <x:v>Outra linha</x:v>
      </x:c>
      <x:c r="S691" s="82" t="str">
        <x:v>Rara</x:v>
      </x:c>
      <x:c r="T691" s="82" t="str">
        <x:v>Lançado</x:v>
      </x:c>
      <x:c r="U691" s="82" t="str"/>
      <x:c r="V691" s="80" t="str">
        <x:v>Coleção principal (~1:64)</x:v>
      </x:c>
      <x:c r="W691" s="82" t="str">
        <x:v>https://hotwheels.fandom.com/wiki/Ferrari_312P</x:v>
      </x:c>
      <x:c r="X691" s="82" t="str">
        <x:v>https://hotwheels.fandom.com/wiki/Ferrari_312P</x:v>
      </x:c>
    </x:row>
    <x:row r="692">
      <x:c r="A692" s="80" t="str">
        <x:v>Não</x:v>
      </x:c>
      <x:c r="B692" s="80" t="str">
        <x:v>2 — Completar aos poucos</x:v>
      </x:c>
      <x:c r="C692" s="81" t="n">
        <x:v>1970</x:v>
      </x:c>
      <x:c r="D692" s="80" t="str">
        <x:v>Ferrari 312P</x:v>
      </x:c>
      <x:c r="E692" s="80" t="str">
        <x:v>Ferrari 312P</x:v>
      </x:c>
      <x:c r="F692" s="82" t="str">
        <x:v>Grand Prix</x:v>
      </x:c>
      <x:c r="G692" s="80" t="str"/>
      <x:c r="H692" s="80" t="str"/>
      <x:c r="I692" s="83" t="str">
        <x:v>6417</x:v>
      </x:c>
      <x:c r="J692" s="80" t="str">
        <x:v>Spectraflame Brown</x:v>
      </x:c>
      <x:c r="K692" s="82" t="str"/>
      <x:c r="L692" s="82" t="str">
        <x:v>RL</x:v>
      </x:c>
      <x:c r="M692" s="82" t="str">
        <x:v>Unpainted / / / Metal</x:v>
      </x:c>
      <x:c r="N692" s="82" t="str">
        <x:v>Blue Tint</x:v>
      </x:c>
      <x:c r="O692" s="82" t="str">
        <x:v>Blue Tint</x:v>
      </x:c>
      <x:c r="P692" s="82" t="str">
        <x:v>Hong Kong</x:v>
      </x:c>
      <x:c r="Q692" s="82" t="str"/>
      <x:c r="R692" s="82" t="str">
        <x:v>Outra linha</x:v>
      </x:c>
      <x:c r="S692" s="82" t="str">
        <x:v>Rara</x:v>
      </x:c>
      <x:c r="T692" s="82" t="str">
        <x:v>Lançado</x:v>
      </x:c>
      <x:c r="U692" s="82" t="str"/>
      <x:c r="V692" s="80" t="str">
        <x:v>Coleção principal (~1:64)</x:v>
      </x:c>
      <x:c r="W692" s="82" t="str">
        <x:v>https://hotwheels.fandom.com/wiki/Ferrari_312P</x:v>
      </x:c>
      <x:c r="X692" s="82" t="str">
        <x:v>https://hotwheels.fandom.com/wiki/Ferrari_312P</x:v>
      </x:c>
    </x:row>
    <x:row r="693">
      <x:c r="A693" s="80" t="str">
        <x:v>Não</x:v>
      </x:c>
      <x:c r="B693" s="80" t="str">
        <x:v>2 — Completar aos poucos</x:v>
      </x:c>
      <x:c r="C693" s="81" t="n">
        <x:v>1970</x:v>
      </x:c>
      <x:c r="D693" s="80" t="str">
        <x:v>Ferrari 312P</x:v>
      </x:c>
      <x:c r="E693" s="80" t="str">
        <x:v>Ferrari 312P</x:v>
      </x:c>
      <x:c r="F693" s="82" t="str">
        <x:v>Grand Prix</x:v>
      </x:c>
      <x:c r="G693" s="80" t="str"/>
      <x:c r="H693" s="80" t="str"/>
      <x:c r="I693" s="83" t="str">
        <x:v>6417</x:v>
      </x:c>
      <x:c r="J693" s="80" t="str">
        <x:v>Spectraflame Copper</x:v>
      </x:c>
      <x:c r="K693" s="82" t="str"/>
      <x:c r="L693" s="82" t="str">
        <x:v>RL</x:v>
      </x:c>
      <x:c r="M693" s="82" t="str">
        <x:v>Unpainted / / / Metal</x:v>
      </x:c>
      <x:c r="N693" s="82" t="str">
        <x:v>Blue Tint</x:v>
      </x:c>
      <x:c r="O693" s="82" t="str">
        <x:v>Black</x:v>
      </x:c>
      <x:c r="P693" s="82" t="str">
        <x:v>Hong Kong</x:v>
      </x:c>
      <x:c r="Q693" s="82" t="str"/>
      <x:c r="R693" s="82" t="str">
        <x:v>Outra linha</x:v>
      </x:c>
      <x:c r="S693" s="82" t="str">
        <x:v>Rara</x:v>
      </x:c>
      <x:c r="T693" s="82" t="str">
        <x:v>Lançado</x:v>
      </x:c>
      <x:c r="U693" s="82" t="str"/>
      <x:c r="V693" s="80" t="str">
        <x:v>Coleção principal (~1:64)</x:v>
      </x:c>
      <x:c r="W693" s="82" t="str">
        <x:v>https://hotwheels.fandom.com/wiki/Ferrari_312P</x:v>
      </x:c>
      <x:c r="X693" s="82" t="str">
        <x:v>https://hotwheels.fandom.com/wiki/Ferrari_312P</x:v>
      </x:c>
    </x:row>
    <x:row r="694">
      <x:c r="A694" s="80" t="str">
        <x:v>Não</x:v>
      </x:c>
      <x:c r="B694" s="80" t="str">
        <x:v>2 — Completar aos poucos</x:v>
      </x:c>
      <x:c r="C694" s="81" t="n">
        <x:v>1970</x:v>
      </x:c>
      <x:c r="D694" s="80" t="str">
        <x:v>Ferrari 312P</x:v>
      </x:c>
      <x:c r="E694" s="80" t="str">
        <x:v>Ferrari 312P</x:v>
      </x:c>
      <x:c r="F694" s="82" t="str">
        <x:v>Grand Prix</x:v>
      </x:c>
      <x:c r="G694" s="80" t="str"/>
      <x:c r="H694" s="80" t="str"/>
      <x:c r="I694" s="83" t="str">
        <x:v>6417</x:v>
      </x:c>
      <x:c r="J694" s="80" t="str">
        <x:v>Spectraflame Green</x:v>
      </x:c>
      <x:c r="K694" s="82" t="str"/>
      <x:c r="L694" s="82" t="str">
        <x:v>RL</x:v>
      </x:c>
      <x:c r="M694" s="82" t="str">
        <x:v>Unpainted / / / Metal</x:v>
      </x:c>
      <x:c r="N694" s="82" t="str">
        <x:v>Clear</x:v>
      </x:c>
      <x:c r="O694" s="82" t="str">
        <x:v>Black</x:v>
      </x:c>
      <x:c r="P694" s="82" t="str">
        <x:v>USA</x:v>
      </x:c>
      <x:c r="Q694" s="82" t="str"/>
      <x:c r="R694" s="82" t="str">
        <x:v>Outra linha</x:v>
      </x:c>
      <x:c r="S694" s="82" t="str">
        <x:v>Rara</x:v>
      </x:c>
      <x:c r="T694" s="82" t="str">
        <x:v>Lançado</x:v>
      </x:c>
      <x:c r="U694" s="82" t="str"/>
      <x:c r="V694" s="80" t="str">
        <x:v>Coleção principal (~1:64)</x:v>
      </x:c>
      <x:c r="W694" s="82" t="str">
        <x:v>https://hotwheels.fandom.com/wiki/Ferrari_312P</x:v>
      </x:c>
      <x:c r="X694" s="82" t="str">
        <x:v>https://hotwheels.fandom.com/wiki/Ferrari_312P</x:v>
      </x:c>
    </x:row>
    <x:row r="695">
      <x:c r="A695" s="80" t="str">
        <x:v>Não</x:v>
      </x:c>
      <x:c r="B695" s="80" t="str">
        <x:v>2 — Completar aos poucos</x:v>
      </x:c>
      <x:c r="C695" s="81" t="n">
        <x:v>1970</x:v>
      </x:c>
      <x:c r="D695" s="80" t="str">
        <x:v>Ferrari 312P</x:v>
      </x:c>
      <x:c r="E695" s="80" t="str">
        <x:v>Ferrari 312P</x:v>
      </x:c>
      <x:c r="F695" s="82" t="str">
        <x:v>Grand Prix</x:v>
      </x:c>
      <x:c r="G695" s="80" t="str"/>
      <x:c r="H695" s="80" t="str"/>
      <x:c r="I695" s="83" t="str">
        <x:v>6417</x:v>
      </x:c>
      <x:c r="J695" s="80" t="str">
        <x:v>Spectraflame Green</x:v>
      </x:c>
      <x:c r="K695" s="82" t="str"/>
      <x:c r="L695" s="82" t="str">
        <x:v>RL</x:v>
      </x:c>
      <x:c r="M695" s="82" t="str">
        <x:v>Unpainted / / / Metal</x:v>
      </x:c>
      <x:c r="N695" s="82" t="str">
        <x:v>Blue Tint</x:v>
      </x:c>
      <x:c r="O695" s="82" t="str">
        <x:v>Black</x:v>
      </x:c>
      <x:c r="P695" s="82" t="str">
        <x:v>Hong Kong</x:v>
      </x:c>
      <x:c r="Q695" s="82" t="str"/>
      <x:c r="R695" s="82" t="str">
        <x:v>Outra linha</x:v>
      </x:c>
      <x:c r="S695" s="82" t="str">
        <x:v>Rara</x:v>
      </x:c>
      <x:c r="T695" s="82" t="str">
        <x:v>Lançado</x:v>
      </x:c>
      <x:c r="U695" s="82" t="str"/>
      <x:c r="V695" s="80" t="str">
        <x:v>Coleção principal (~1:64)</x:v>
      </x:c>
      <x:c r="W695" s="82" t="str">
        <x:v>https://hotwheels.fandom.com/wiki/Ferrari_312P</x:v>
      </x:c>
      <x:c r="X695" s="82" t="str">
        <x:v>https://hotwheels.fandom.com/wiki/Ferrari_312P</x:v>
      </x:c>
    </x:row>
    <x:row r="696">
      <x:c r="A696" s="80" t="str">
        <x:v>Não</x:v>
      </x:c>
      <x:c r="B696" s="80" t="str">
        <x:v>2 — Completar aos poucos</x:v>
      </x:c>
      <x:c r="C696" s="81" t="n">
        <x:v>1970</x:v>
      </x:c>
      <x:c r="D696" s="80" t="str">
        <x:v>Ferrari 312P</x:v>
      </x:c>
      <x:c r="E696" s="80" t="str">
        <x:v>Ferrari 312P</x:v>
      </x:c>
      <x:c r="F696" s="82" t="str">
        <x:v>Grand Prix</x:v>
      </x:c>
      <x:c r="G696" s="80" t="str"/>
      <x:c r="H696" s="80" t="str"/>
      <x:c r="I696" s="83" t="str">
        <x:v>6417</x:v>
      </x:c>
      <x:c r="J696" s="80" t="str">
        <x:v>Spectraflame Light Green</x:v>
      </x:c>
      <x:c r="K696" s="82" t="str"/>
      <x:c r="L696" s="82" t="str">
        <x:v>RL</x:v>
      </x:c>
      <x:c r="M696" s="82" t="str">
        <x:v>Unpainted / / / Metal</x:v>
      </x:c>
      <x:c r="N696" s="82" t="str">
        <x:v>Clear</x:v>
      </x:c>
      <x:c r="O696" s="82" t="str">
        <x:v>Black</x:v>
      </x:c>
      <x:c r="P696" s="82" t="str">
        <x:v>USA</x:v>
      </x:c>
      <x:c r="Q696" s="82" t="str"/>
      <x:c r="R696" s="82" t="str">
        <x:v>Outra linha</x:v>
      </x:c>
      <x:c r="S696" s="82" t="str">
        <x:v>Rara</x:v>
      </x:c>
      <x:c r="T696" s="82" t="str">
        <x:v>Lançado</x:v>
      </x:c>
      <x:c r="U696" s="82" t="str"/>
      <x:c r="V696" s="80" t="str">
        <x:v>Coleção principal (~1:64)</x:v>
      </x:c>
      <x:c r="W696" s="82" t="str">
        <x:v>https://hotwheels.fandom.com/wiki/Ferrari_312P</x:v>
      </x:c>
      <x:c r="X696" s="82" t="str">
        <x:v>https://hotwheels.fandom.com/wiki/Ferrari_312P</x:v>
      </x:c>
    </x:row>
    <x:row r="697">
      <x:c r="A697" s="80" t="str">
        <x:v>Não</x:v>
      </x:c>
      <x:c r="B697" s="80" t="str">
        <x:v>2 — Completar aos poucos</x:v>
      </x:c>
      <x:c r="C697" s="81" t="n">
        <x:v>1970</x:v>
      </x:c>
      <x:c r="D697" s="80" t="str">
        <x:v>Ferrari 312P</x:v>
      </x:c>
      <x:c r="E697" s="80" t="str">
        <x:v>Ferrari 312P</x:v>
      </x:c>
      <x:c r="F697" s="82" t="str">
        <x:v>Grand Prix</x:v>
      </x:c>
      <x:c r="G697" s="80" t="str"/>
      <x:c r="H697" s="80" t="str"/>
      <x:c r="I697" s="83" t="str">
        <x:v>6417</x:v>
      </x:c>
      <x:c r="J697" s="80" t="str">
        <x:v>Spectraflame Lime Green</x:v>
      </x:c>
      <x:c r="K697" s="82" t="str"/>
      <x:c r="L697" s="82" t="str">
        <x:v>RL</x:v>
      </x:c>
      <x:c r="M697" s="82" t="str">
        <x:v>Unpainted / / / Metal</x:v>
      </x:c>
      <x:c r="N697" s="82" t="str">
        <x:v>Clear</x:v>
      </x:c>
      <x:c r="O697" s="82" t="str">
        <x:v>Black</x:v>
      </x:c>
      <x:c r="P697" s="82" t="str">
        <x:v>USA</x:v>
      </x:c>
      <x:c r="Q697" s="82" t="str"/>
      <x:c r="R697" s="82" t="str">
        <x:v>Outra linha</x:v>
      </x:c>
      <x:c r="S697" s="82" t="str">
        <x:v>Rara</x:v>
      </x:c>
      <x:c r="T697" s="82" t="str">
        <x:v>Lançado</x:v>
      </x:c>
      <x:c r="U697" s="82" t="str"/>
      <x:c r="V697" s="80" t="str">
        <x:v>Coleção principal (~1:64)</x:v>
      </x:c>
      <x:c r="W697" s="82" t="str">
        <x:v>https://hotwheels.fandom.com/wiki/Ferrari_312P</x:v>
      </x:c>
      <x:c r="X697" s="82" t="str">
        <x:v>https://hotwheels.fandom.com/wiki/Ferrari_312P</x:v>
      </x:c>
    </x:row>
    <x:row r="698">
      <x:c r="A698" s="80" t="str">
        <x:v>Não</x:v>
      </x:c>
      <x:c r="B698" s="80" t="str">
        <x:v>2 — Completar aos poucos</x:v>
      </x:c>
      <x:c r="C698" s="81" t="n">
        <x:v>1970</x:v>
      </x:c>
      <x:c r="D698" s="80" t="str">
        <x:v>Ferrari 312P</x:v>
      </x:c>
      <x:c r="E698" s="80" t="str">
        <x:v>Ferrari 312P</x:v>
      </x:c>
      <x:c r="F698" s="82" t="str">
        <x:v>Grand Prix</x:v>
      </x:c>
      <x:c r="G698" s="80" t="str"/>
      <x:c r="H698" s="80" t="str"/>
      <x:c r="I698" s="83" t="str">
        <x:v>6417</x:v>
      </x:c>
      <x:c r="J698" s="80" t="str">
        <x:v>Spectraflame Magenta</x:v>
      </x:c>
      <x:c r="K698" s="82" t="str"/>
      <x:c r="L698" s="82" t="str">
        <x:v>RL</x:v>
      </x:c>
      <x:c r="M698" s="82" t="str">
        <x:v>Unpainted / / / Metal</x:v>
      </x:c>
      <x:c r="N698" s="82" t="str">
        <x:v>Clear</x:v>
      </x:c>
      <x:c r="O698" s="82" t="str">
        <x:v>Black</x:v>
      </x:c>
      <x:c r="P698" s="82" t="str">
        <x:v>USA</x:v>
      </x:c>
      <x:c r="Q698" s="82" t="str"/>
      <x:c r="R698" s="82" t="str">
        <x:v>Outra linha</x:v>
      </x:c>
      <x:c r="S698" s="82" t="str">
        <x:v>Rara</x:v>
      </x:c>
      <x:c r="T698" s="82" t="str">
        <x:v>Lançado</x:v>
      </x:c>
      <x:c r="U698" s="82" t="str"/>
      <x:c r="V698" s="80" t="str">
        <x:v>Coleção principal (~1:64)</x:v>
      </x:c>
      <x:c r="W698" s="82" t="str">
        <x:v>https://hotwheels.fandom.com/wiki/Ferrari_312P</x:v>
      </x:c>
      <x:c r="X698" s="82" t="str">
        <x:v>https://hotwheels.fandom.com/wiki/Ferrari_312P</x:v>
      </x:c>
    </x:row>
    <x:row r="699">
      <x:c r="A699" s="80" t="str">
        <x:v>Não</x:v>
      </x:c>
      <x:c r="B699" s="80" t="str">
        <x:v>2 — Completar aos poucos</x:v>
      </x:c>
      <x:c r="C699" s="81" t="n">
        <x:v>1970</x:v>
      </x:c>
      <x:c r="D699" s="80" t="str">
        <x:v>Ferrari 312P</x:v>
      </x:c>
      <x:c r="E699" s="80" t="str">
        <x:v>Ferrari 312P</x:v>
      </x:c>
      <x:c r="F699" s="82" t="str">
        <x:v>Grand Prix</x:v>
      </x:c>
      <x:c r="G699" s="80" t="str"/>
      <x:c r="H699" s="80" t="str"/>
      <x:c r="I699" s="83" t="str">
        <x:v>6417</x:v>
      </x:c>
      <x:c r="J699" s="80" t="str">
        <x:v>Spectraflame Olive</x:v>
      </x:c>
      <x:c r="K699" s="82" t="str"/>
      <x:c r="L699" s="82" t="str">
        <x:v>RL</x:v>
      </x:c>
      <x:c r="M699" s="82" t="str">
        <x:v>Unpainted / / / Metal</x:v>
      </x:c>
      <x:c r="N699" s="82" t="str">
        <x:v>Blue Tint</x:v>
      </x:c>
      <x:c r="O699" s="82" t="str">
        <x:v>Black</x:v>
      </x:c>
      <x:c r="P699" s="82" t="str">
        <x:v>Hong Kong</x:v>
      </x:c>
      <x:c r="Q699" s="82" t="str"/>
      <x:c r="R699" s="82" t="str">
        <x:v>Outra linha</x:v>
      </x:c>
      <x:c r="S699" s="82" t="str">
        <x:v>Rara</x:v>
      </x:c>
      <x:c r="T699" s="82" t="str">
        <x:v>Lançado</x:v>
      </x:c>
      <x:c r="U699" s="82" t="str"/>
      <x:c r="V699" s="80" t="str">
        <x:v>Coleção principal (~1:64)</x:v>
      </x:c>
      <x:c r="W699" s="82" t="str">
        <x:v>https://hotwheels.fandom.com/wiki/Ferrari_312P</x:v>
      </x:c>
      <x:c r="X699" s="82" t="str">
        <x:v>https://hotwheels.fandom.com/wiki/Ferrari_312P</x:v>
      </x:c>
    </x:row>
    <x:row r="700">
      <x:c r="A700" s="80" t="str">
        <x:v>Não</x:v>
      </x:c>
      <x:c r="B700" s="80" t="str">
        <x:v>2 — Completar aos poucos</x:v>
      </x:c>
      <x:c r="C700" s="81" t="n">
        <x:v>1970</x:v>
      </x:c>
      <x:c r="D700" s="80" t="str">
        <x:v>Ferrari 312P</x:v>
      </x:c>
      <x:c r="E700" s="80" t="str">
        <x:v>Ferrari 312P</x:v>
      </x:c>
      <x:c r="F700" s="82" t="str">
        <x:v>Grand Prix</x:v>
      </x:c>
      <x:c r="G700" s="80" t="str"/>
      <x:c r="H700" s="80" t="str"/>
      <x:c r="I700" s="83" t="str">
        <x:v>6417</x:v>
      </x:c>
      <x:c r="J700" s="80" t="str">
        <x:v>Spectraflame Orange</x:v>
      </x:c>
      <x:c r="K700" s="82" t="str"/>
      <x:c r="L700" s="82" t="str">
        <x:v>RL</x:v>
      </x:c>
      <x:c r="M700" s="82" t="str">
        <x:v>Unpainted / / / Metal</x:v>
      </x:c>
      <x:c r="N700" s="82" t="str">
        <x:v>Clear</x:v>
      </x:c>
      <x:c r="O700" s="82" t="str">
        <x:v>Black</x:v>
      </x:c>
      <x:c r="P700" s="82" t="str">
        <x:v>USA</x:v>
      </x:c>
      <x:c r="Q700" s="82" t="str"/>
      <x:c r="R700" s="82" t="str">
        <x:v>Outra linha</x:v>
      </x:c>
      <x:c r="S700" s="82" t="str">
        <x:v>Rara</x:v>
      </x:c>
      <x:c r="T700" s="82" t="str">
        <x:v>Lançado</x:v>
      </x:c>
      <x:c r="U700" s="82" t="str"/>
      <x:c r="V700" s="80" t="str">
        <x:v>Coleção principal (~1:64)</x:v>
      </x:c>
      <x:c r="W700" s="82" t="str">
        <x:v>https://hotwheels.fandom.com/wiki/Ferrari_312P</x:v>
      </x:c>
      <x:c r="X700" s="82" t="str">
        <x:v>https://hotwheels.fandom.com/wiki/Ferrari_312P</x:v>
      </x:c>
    </x:row>
    <x:row r="701">
      <x:c r="A701" s="80" t="str">
        <x:v>Não</x:v>
      </x:c>
      <x:c r="B701" s="80" t="str">
        <x:v>2 — Completar aos poucos</x:v>
      </x:c>
      <x:c r="C701" s="81" t="n">
        <x:v>1970</x:v>
      </x:c>
      <x:c r="D701" s="80" t="str">
        <x:v>Ferrari 312P</x:v>
      </x:c>
      <x:c r="E701" s="80" t="str">
        <x:v>Ferrari 312P</x:v>
      </x:c>
      <x:c r="F701" s="82" t="str">
        <x:v>Grand Prix</x:v>
      </x:c>
      <x:c r="G701" s="80" t="str"/>
      <x:c r="H701" s="80" t="str"/>
      <x:c r="I701" s="83" t="str">
        <x:v>6417</x:v>
      </x:c>
      <x:c r="J701" s="80" t="str">
        <x:v>Spectraflame Orange</x:v>
      </x:c>
      <x:c r="K701" s="82" t="str"/>
      <x:c r="L701" s="82" t="str">
        <x:v>RL</x:v>
      </x:c>
      <x:c r="M701" s="82" t="str">
        <x:v>Unpainted / / / Metal</x:v>
      </x:c>
      <x:c r="N701" s="82" t="str">
        <x:v>Blue Tint</x:v>
      </x:c>
      <x:c r="O701" s="82" t="str">
        <x:v>Black</x:v>
      </x:c>
      <x:c r="P701" s="82" t="str">
        <x:v>Hong Kong</x:v>
      </x:c>
      <x:c r="Q701" s="82" t="str"/>
      <x:c r="R701" s="82" t="str">
        <x:v>Outra linha</x:v>
      </x:c>
      <x:c r="S701" s="82" t="str">
        <x:v>Rara</x:v>
      </x:c>
      <x:c r="T701" s="82" t="str">
        <x:v>Lançado</x:v>
      </x:c>
      <x:c r="U701" s="82" t="str"/>
      <x:c r="V701" s="80" t="str">
        <x:v>Coleção principal (~1:64)</x:v>
      </x:c>
      <x:c r="W701" s="82" t="str">
        <x:v>https://hotwheels.fandom.com/wiki/Ferrari_312P</x:v>
      </x:c>
      <x:c r="X701" s="82" t="str">
        <x:v>https://hotwheels.fandom.com/wiki/Ferrari_312P</x:v>
      </x:c>
    </x:row>
    <x:row r="702">
      <x:c r="A702" s="80" t="str">
        <x:v>Não</x:v>
      </x:c>
      <x:c r="B702" s="80" t="str">
        <x:v>2 — Completar aos poucos</x:v>
      </x:c>
      <x:c r="C702" s="81" t="n">
        <x:v>1970</x:v>
      </x:c>
      <x:c r="D702" s="80" t="str">
        <x:v>Ferrari 312P</x:v>
      </x:c>
      <x:c r="E702" s="80" t="str">
        <x:v>Ferrari 312P</x:v>
      </x:c>
      <x:c r="F702" s="82" t="str">
        <x:v>Grand Prix</x:v>
      </x:c>
      <x:c r="G702" s="80" t="str"/>
      <x:c r="H702" s="80" t="str"/>
      <x:c r="I702" s="83" t="str">
        <x:v>6417</x:v>
      </x:c>
      <x:c r="J702" s="80" t="str">
        <x:v>Spectraflame Pink</x:v>
      </x:c>
      <x:c r="K702" s="82" t="str"/>
      <x:c r="L702" s="82" t="str">
        <x:v>RL</x:v>
      </x:c>
      <x:c r="M702" s="82" t="str">
        <x:v>Unpainted / / / Metal</x:v>
      </x:c>
      <x:c r="N702" s="82" t="str">
        <x:v>Clear</x:v>
      </x:c>
      <x:c r="O702" s="82" t="str">
        <x:v>Black</x:v>
      </x:c>
      <x:c r="P702" s="82" t="str">
        <x:v>USA</x:v>
      </x:c>
      <x:c r="Q702" s="82" t="str"/>
      <x:c r="R702" s="82" t="str">
        <x:v>Outra linha</x:v>
      </x:c>
      <x:c r="S702" s="82" t="str">
        <x:v>Rara</x:v>
      </x:c>
      <x:c r="T702" s="82" t="str">
        <x:v>Lançado</x:v>
      </x:c>
      <x:c r="U702" s="82" t="str"/>
      <x:c r="V702" s="80" t="str">
        <x:v>Coleção principal (~1:64)</x:v>
      </x:c>
      <x:c r="W702" s="82" t="str">
        <x:v>https://hotwheels.fandom.com/wiki/Ferrari_312P</x:v>
      </x:c>
      <x:c r="X702" s="82" t="str">
        <x:v>https://hotwheels.fandom.com/wiki/Ferrari_312P</x:v>
      </x:c>
    </x:row>
    <x:row r="703">
      <x:c r="A703" s="80" t="str">
        <x:v>Não</x:v>
      </x:c>
      <x:c r="B703" s="80" t="str">
        <x:v>2 — Completar aos poucos</x:v>
      </x:c>
      <x:c r="C703" s="81" t="n">
        <x:v>1970</x:v>
      </x:c>
      <x:c r="D703" s="80" t="str">
        <x:v>Ferrari 312P</x:v>
      </x:c>
      <x:c r="E703" s="80" t="str">
        <x:v>Ferrari 312P</x:v>
      </x:c>
      <x:c r="F703" s="82" t="str">
        <x:v>Grand Prix</x:v>
      </x:c>
      <x:c r="G703" s="80" t="str"/>
      <x:c r="H703" s="80" t="str"/>
      <x:c r="I703" s="83" t="str">
        <x:v>6417</x:v>
      </x:c>
      <x:c r="J703" s="80" t="str">
        <x:v>Spectraflame Pink</x:v>
      </x:c>
      <x:c r="K703" s="82" t="str"/>
      <x:c r="L703" s="82" t="str">
        <x:v>RL</x:v>
      </x:c>
      <x:c r="M703" s="82" t="str">
        <x:v>Unpainted / / / Metal</x:v>
      </x:c>
      <x:c r="N703" s="82" t="str">
        <x:v>Blue Tint</x:v>
      </x:c>
      <x:c r="O703" s="82" t="str">
        <x:v>Black</x:v>
      </x:c>
      <x:c r="P703" s="82" t="str">
        <x:v>Hong Kong</x:v>
      </x:c>
      <x:c r="Q703" s="82" t="str"/>
      <x:c r="R703" s="82" t="str">
        <x:v>Outra linha</x:v>
      </x:c>
      <x:c r="S703" s="82" t="str">
        <x:v>Rara</x:v>
      </x:c>
      <x:c r="T703" s="82" t="str">
        <x:v>Lançado</x:v>
      </x:c>
      <x:c r="U703" s="82" t="str"/>
      <x:c r="V703" s="80" t="str">
        <x:v>Coleção principal (~1:64)</x:v>
      </x:c>
      <x:c r="W703" s="82" t="str">
        <x:v>https://hotwheels.fandom.com/wiki/Ferrari_312P</x:v>
      </x:c>
      <x:c r="X703" s="82" t="str">
        <x:v>https://hotwheels.fandom.com/wiki/Ferrari_312P</x:v>
      </x:c>
    </x:row>
    <x:row r="704">
      <x:c r="A704" s="80" t="str">
        <x:v>Não</x:v>
      </x:c>
      <x:c r="B704" s="80" t="str">
        <x:v>2 — Completar aos poucos</x:v>
      </x:c>
      <x:c r="C704" s="81" t="n">
        <x:v>1970</x:v>
      </x:c>
      <x:c r="D704" s="80" t="str">
        <x:v>Ferrari 312P</x:v>
      </x:c>
      <x:c r="E704" s="80" t="str">
        <x:v>Ferrari 312P</x:v>
      </x:c>
      <x:c r="F704" s="82" t="str">
        <x:v>Grand Prix</x:v>
      </x:c>
      <x:c r="G704" s="80" t="str"/>
      <x:c r="H704" s="80" t="str"/>
      <x:c r="I704" s="83" t="str">
        <x:v>6417</x:v>
      </x:c>
      <x:c r="J704" s="80" t="str">
        <x:v>Spectraflame Purple</x:v>
      </x:c>
      <x:c r="K704" s="82" t="str"/>
      <x:c r="L704" s="82" t="str">
        <x:v>RL</x:v>
      </x:c>
      <x:c r="M704" s="82" t="str">
        <x:v>Unpainted / / / Metal</x:v>
      </x:c>
      <x:c r="N704" s="82" t="str">
        <x:v>Clear</x:v>
      </x:c>
      <x:c r="O704" s="82" t="str">
        <x:v>Black</x:v>
      </x:c>
      <x:c r="P704" s="82" t="str">
        <x:v>USA</x:v>
      </x:c>
      <x:c r="Q704" s="82" t="str"/>
      <x:c r="R704" s="82" t="str">
        <x:v>Outra linha</x:v>
      </x:c>
      <x:c r="S704" s="82" t="str">
        <x:v>Rara</x:v>
      </x:c>
      <x:c r="T704" s="82" t="str">
        <x:v>Lançado</x:v>
      </x:c>
      <x:c r="U704" s="82" t="str"/>
      <x:c r="V704" s="80" t="str">
        <x:v>Coleção principal (~1:64)</x:v>
      </x:c>
      <x:c r="W704" s="82" t="str">
        <x:v>https://hotwheels.fandom.com/wiki/Ferrari_312P</x:v>
      </x:c>
      <x:c r="X704" s="82" t="str">
        <x:v>https://hotwheels.fandom.com/wiki/Ferrari_312P</x:v>
      </x:c>
    </x:row>
    <x:row r="705">
      <x:c r="A705" s="80" t="str">
        <x:v>Não</x:v>
      </x:c>
      <x:c r="B705" s="80" t="str">
        <x:v>2 — Completar aos poucos</x:v>
      </x:c>
      <x:c r="C705" s="81" t="n">
        <x:v>1970</x:v>
      </x:c>
      <x:c r="D705" s="80" t="str">
        <x:v>Ferrari 312P</x:v>
      </x:c>
      <x:c r="E705" s="80" t="str">
        <x:v>Ferrari 312P</x:v>
      </x:c>
      <x:c r="F705" s="82" t="str">
        <x:v>Grand Prix</x:v>
      </x:c>
      <x:c r="G705" s="80" t="str"/>
      <x:c r="H705" s="80" t="str"/>
      <x:c r="I705" s="83" t="str">
        <x:v>6417</x:v>
      </x:c>
      <x:c r="J705" s="80" t="str">
        <x:v>Spectraflame Purple</x:v>
      </x:c>
      <x:c r="K705" s="82" t="str"/>
      <x:c r="L705" s="82" t="str">
        <x:v>RL</x:v>
      </x:c>
      <x:c r="M705" s="82" t="str">
        <x:v>Unpainted / / / Metal</x:v>
      </x:c>
      <x:c r="N705" s="82" t="str">
        <x:v>Blue Tint</x:v>
      </x:c>
      <x:c r="O705" s="82" t="str">
        <x:v>Black</x:v>
      </x:c>
      <x:c r="P705" s="82" t="str">
        <x:v>Hong Kong</x:v>
      </x:c>
      <x:c r="Q705" s="82" t="str"/>
      <x:c r="R705" s="82" t="str">
        <x:v>Outra linha</x:v>
      </x:c>
      <x:c r="S705" s="82" t="str">
        <x:v>Rara</x:v>
      </x:c>
      <x:c r="T705" s="82" t="str">
        <x:v>Lançado</x:v>
      </x:c>
      <x:c r="U705" s="82" t="str"/>
      <x:c r="V705" s="80" t="str">
        <x:v>Coleção principal (~1:64)</x:v>
      </x:c>
      <x:c r="W705" s="82" t="str">
        <x:v>https://hotwheels.fandom.com/wiki/Ferrari_312P</x:v>
      </x:c>
      <x:c r="X705" s="82" t="str">
        <x:v>https://hotwheels.fandom.com/wiki/Ferrari_312P</x:v>
      </x:c>
    </x:row>
    <x:row r="706">
      <x:c r="A706" s="80" t="str">
        <x:v>Não</x:v>
      </x:c>
      <x:c r="B706" s="80" t="str">
        <x:v>2 — Completar aos poucos</x:v>
      </x:c>
      <x:c r="C706" s="81" t="n">
        <x:v>1970</x:v>
      </x:c>
      <x:c r="D706" s="80" t="str">
        <x:v>Ferrari 312P</x:v>
      </x:c>
      <x:c r="E706" s="80" t="str">
        <x:v>Ferrari 312P</x:v>
      </x:c>
      <x:c r="F706" s="82" t="str">
        <x:v>Grand Prix</x:v>
      </x:c>
      <x:c r="G706" s="80" t="str"/>
      <x:c r="H706" s="80" t="str"/>
      <x:c r="I706" s="83" t="str">
        <x:v>6417</x:v>
      </x:c>
      <x:c r="J706" s="80" t="str">
        <x:v>Spectraflame Red</x:v>
      </x:c>
      <x:c r="K706" s="82" t="str"/>
      <x:c r="L706" s="82" t="str">
        <x:v>RL</x:v>
      </x:c>
      <x:c r="M706" s="82" t="str">
        <x:v>Unpainted / / / Metal</x:v>
      </x:c>
      <x:c r="N706" s="82" t="str">
        <x:v>Clear</x:v>
      </x:c>
      <x:c r="O706" s="82" t="str">
        <x:v>Black</x:v>
      </x:c>
      <x:c r="P706" s="82" t="str">
        <x:v>USA</x:v>
      </x:c>
      <x:c r="Q706" s="82" t="str"/>
      <x:c r="R706" s="82" t="str">
        <x:v>Outra linha</x:v>
      </x:c>
      <x:c r="S706" s="82" t="str">
        <x:v>Rara</x:v>
      </x:c>
      <x:c r="T706" s="82" t="str">
        <x:v>Lançado</x:v>
      </x:c>
      <x:c r="U706" s="82" t="str"/>
      <x:c r="V706" s="80" t="str">
        <x:v>Coleção principal (~1:64)</x:v>
      </x:c>
      <x:c r="W706" s="82" t="str">
        <x:v>https://hotwheels.fandom.com/wiki/Ferrari_312P</x:v>
      </x:c>
      <x:c r="X706" s="82" t="str">
        <x:v>https://hotwheels.fandom.com/wiki/Ferrari_312P</x:v>
      </x:c>
    </x:row>
    <x:row r="707">
      <x:c r="A707" s="80" t="str">
        <x:v>Não</x:v>
      </x:c>
      <x:c r="B707" s="80" t="str">
        <x:v>2 — Completar aos poucos</x:v>
      </x:c>
      <x:c r="C707" s="81" t="n">
        <x:v>1970</x:v>
      </x:c>
      <x:c r="D707" s="80" t="str">
        <x:v>Ferrari 312P</x:v>
      </x:c>
      <x:c r="E707" s="80" t="str">
        <x:v>Ferrari 312P</x:v>
      </x:c>
      <x:c r="F707" s="82" t="str">
        <x:v>Grand Prix</x:v>
      </x:c>
      <x:c r="G707" s="80" t="str"/>
      <x:c r="H707" s="80" t="str"/>
      <x:c r="I707" s="83" t="str">
        <x:v>6417</x:v>
      </x:c>
      <x:c r="J707" s="80" t="str">
        <x:v>Spectraflame Red</x:v>
      </x:c>
      <x:c r="K707" s="82" t="str"/>
      <x:c r="L707" s="82" t="str">
        <x:v>RL</x:v>
      </x:c>
      <x:c r="M707" s="82" t="str">
        <x:v>Unpainted / / / Metal</x:v>
      </x:c>
      <x:c r="N707" s="82" t="str">
        <x:v>Blue Tint</x:v>
      </x:c>
      <x:c r="O707" s="82" t="str">
        <x:v>Black</x:v>
      </x:c>
      <x:c r="P707" s="82" t="str">
        <x:v>Hong Kong</x:v>
      </x:c>
      <x:c r="Q707" s="82" t="str"/>
      <x:c r="R707" s="82" t="str">
        <x:v>Outra linha</x:v>
      </x:c>
      <x:c r="S707" s="82" t="str">
        <x:v>Rara</x:v>
      </x:c>
      <x:c r="T707" s="82" t="str">
        <x:v>Lançado</x:v>
      </x:c>
      <x:c r="U707" s="82" t="str"/>
      <x:c r="V707" s="80" t="str">
        <x:v>Coleção principal (~1:64)</x:v>
      </x:c>
      <x:c r="W707" s="82" t="str">
        <x:v>https://hotwheels.fandom.com/wiki/Ferrari_312P</x:v>
      </x:c>
      <x:c r="X707" s="82" t="str">
        <x:v>https://hotwheels.fandom.com/wiki/Ferrari_312P</x:v>
      </x:c>
    </x:row>
    <x:row r="708">
      <x:c r="A708" s="80" t="str">
        <x:v>Não</x:v>
      </x:c>
      <x:c r="B708" s="80" t="str">
        <x:v>2 — Completar aos poucos</x:v>
      </x:c>
      <x:c r="C708" s="81" t="n">
        <x:v>1970</x:v>
      </x:c>
      <x:c r="D708" s="80" t="str">
        <x:v>Ferrari 312P</x:v>
      </x:c>
      <x:c r="E708" s="80" t="str">
        <x:v>Ferrari 312P</x:v>
      </x:c>
      <x:c r="F708" s="82" t="str">
        <x:v>Grand Prix</x:v>
      </x:c>
      <x:c r="G708" s="80" t="str"/>
      <x:c r="H708" s="80" t="str"/>
      <x:c r="I708" s="83" t="str">
        <x:v>6417</x:v>
      </x:c>
      <x:c r="J708" s="80" t="str">
        <x:v>Spectraflame Red</x:v>
      </x:c>
      <x:c r="K708" s="82" t="str"/>
      <x:c r="L708" s="82" t="str">
        <x:v>RL</x:v>
      </x:c>
      <x:c r="M708" s="82" t="str">
        <x:v>Unpainted / / / Metal</x:v>
      </x:c>
      <x:c r="N708" s="82" t="str">
        <x:v>Blue Tint</x:v>
      </x:c>
      <x:c r="O708" s="82" t="str">
        <x:v>White</x:v>
      </x:c>
      <x:c r="P708" s="82" t="str">
        <x:v>Hong Kong</x:v>
      </x:c>
      <x:c r="Q708" s="82" t="str"/>
      <x:c r="R708" s="82" t="str">
        <x:v>Outra linha</x:v>
      </x:c>
      <x:c r="S708" s="82" t="str">
        <x:v>Rara</x:v>
      </x:c>
      <x:c r="T708" s="82" t="str">
        <x:v>Lançado</x:v>
      </x:c>
      <x:c r="U708" s="82" t="str"/>
      <x:c r="V708" s="80" t="str">
        <x:v>Coleção principal (~1:64)</x:v>
      </x:c>
      <x:c r="W708" s="82" t="str">
        <x:v>https://hotwheels.fandom.com/wiki/Ferrari_312P</x:v>
      </x:c>
      <x:c r="X708" s="82" t="str">
        <x:v>https://hotwheels.fandom.com/wiki/Ferrari_312P</x:v>
      </x:c>
    </x:row>
    <x:row r="709">
      <x:c r="A709" s="80" t="str">
        <x:v>Não</x:v>
      </x:c>
      <x:c r="B709" s="80" t="str">
        <x:v>2 — Completar aos poucos</x:v>
      </x:c>
      <x:c r="C709" s="81" t="n">
        <x:v>1970</x:v>
      </x:c>
      <x:c r="D709" s="80" t="str">
        <x:v>Ferrari 312P</x:v>
      </x:c>
      <x:c r="E709" s="80" t="str">
        <x:v>Ferrari 312P</x:v>
      </x:c>
      <x:c r="F709" s="82" t="str">
        <x:v>Grand Prix</x:v>
      </x:c>
      <x:c r="G709" s="80" t="str"/>
      <x:c r="H709" s="80" t="str"/>
      <x:c r="I709" s="83" t="str">
        <x:v>6417</x:v>
      </x:c>
      <x:c r="J709" s="80" t="str">
        <x:v>Spectraflame Rose</x:v>
      </x:c>
      <x:c r="K709" s="82" t="str"/>
      <x:c r="L709" s="82" t="str">
        <x:v>RL</x:v>
      </x:c>
      <x:c r="M709" s="82" t="str">
        <x:v>Unpainted / / / Metal</x:v>
      </x:c>
      <x:c r="N709" s="82" t="str">
        <x:v>Clear</x:v>
      </x:c>
      <x:c r="O709" s="82" t="str">
        <x:v>Black</x:v>
      </x:c>
      <x:c r="P709" s="82" t="str">
        <x:v>USA</x:v>
      </x:c>
      <x:c r="Q709" s="82" t="str"/>
      <x:c r="R709" s="82" t="str">
        <x:v>Outra linha</x:v>
      </x:c>
      <x:c r="S709" s="82" t="str">
        <x:v>Rara</x:v>
      </x:c>
      <x:c r="T709" s="82" t="str">
        <x:v>Lançado</x:v>
      </x:c>
      <x:c r="U709" s="82" t="str"/>
      <x:c r="V709" s="80" t="str">
        <x:v>Coleção principal (~1:64)</x:v>
      </x:c>
      <x:c r="W709" s="82" t="str">
        <x:v>https://hotwheels.fandom.com/wiki/Ferrari_312P</x:v>
      </x:c>
      <x:c r="X709" s="82" t="str">
        <x:v>https://hotwheels.fandom.com/wiki/Ferrari_312P</x:v>
      </x:c>
    </x:row>
    <x:row r="710">
      <x:c r="A710" s="80" t="str">
        <x:v>Não</x:v>
      </x:c>
      <x:c r="B710" s="80" t="str">
        <x:v>2 — Completar aos poucos</x:v>
      </x:c>
      <x:c r="C710" s="81" t="n">
        <x:v>1970</x:v>
      </x:c>
      <x:c r="D710" s="80" t="str">
        <x:v>Ferrari 312P</x:v>
      </x:c>
      <x:c r="E710" s="80" t="str">
        <x:v>Ferrari 312P</x:v>
      </x:c>
      <x:c r="F710" s="82" t="str">
        <x:v>Grand Prix</x:v>
      </x:c>
      <x:c r="G710" s="80" t="str"/>
      <x:c r="H710" s="80" t="str"/>
      <x:c r="I710" s="83" t="str">
        <x:v>6417</x:v>
      </x:c>
      <x:c r="J710" s="80" t="str">
        <x:v>Spectraflame Salmon</x:v>
      </x:c>
      <x:c r="K710" s="82" t="str"/>
      <x:c r="L710" s="82" t="str">
        <x:v>RL</x:v>
      </x:c>
      <x:c r="M710" s="82" t="str">
        <x:v>Unpainted / / / Metal</x:v>
      </x:c>
      <x:c r="N710" s="82" t="str">
        <x:v>Clear</x:v>
      </x:c>
      <x:c r="O710" s="82" t="str">
        <x:v>Black</x:v>
      </x:c>
      <x:c r="P710" s="82" t="str">
        <x:v>USA</x:v>
      </x:c>
      <x:c r="Q710" s="82" t="str"/>
      <x:c r="R710" s="82" t="str">
        <x:v>Outra linha</x:v>
      </x:c>
      <x:c r="S710" s="82" t="str">
        <x:v>Rara</x:v>
      </x:c>
      <x:c r="T710" s="82" t="str">
        <x:v>Lançado</x:v>
      </x:c>
      <x:c r="U710" s="82" t="str"/>
      <x:c r="V710" s="80" t="str">
        <x:v>Coleção principal (~1:64)</x:v>
      </x:c>
      <x:c r="W710" s="82" t="str">
        <x:v>https://hotwheels.fandom.com/wiki/Ferrari_312P</x:v>
      </x:c>
      <x:c r="X710" s="82" t="str">
        <x:v>https://hotwheels.fandom.com/wiki/Ferrari_312P</x:v>
      </x:c>
    </x:row>
    <x:row r="711">
      <x:c r="A711" s="80" t="str">
        <x:v>Não</x:v>
      </x:c>
      <x:c r="B711" s="80" t="str">
        <x:v>2 — Completar aos poucos</x:v>
      </x:c>
      <x:c r="C711" s="81" t="n">
        <x:v>1970</x:v>
      </x:c>
      <x:c r="D711" s="80" t="str">
        <x:v>Ferrari 312P</x:v>
      </x:c>
      <x:c r="E711" s="80" t="str">
        <x:v>Ferrari 312P</x:v>
      </x:c>
      <x:c r="F711" s="82" t="str">
        <x:v>Grand Prix</x:v>
      </x:c>
      <x:c r="G711" s="80" t="str"/>
      <x:c r="H711" s="80" t="str"/>
      <x:c r="I711" s="83" t="str">
        <x:v>6417</x:v>
      </x:c>
      <x:c r="J711" s="80" t="str">
        <x:v>Spectraflame Watermelon</x:v>
      </x:c>
      <x:c r="K711" s="82" t="str"/>
      <x:c r="L711" s="82" t="str">
        <x:v>RL</x:v>
      </x:c>
      <x:c r="M711" s="82" t="str">
        <x:v>Unpainted / / / Metal</x:v>
      </x:c>
      <x:c r="N711" s="82" t="str">
        <x:v>Blue Tint</x:v>
      </x:c>
      <x:c r="O711" s="82" t="str">
        <x:v>Black</x:v>
      </x:c>
      <x:c r="P711" s="82" t="str">
        <x:v>Hong Kong</x:v>
      </x:c>
      <x:c r="Q711" s="82" t="str"/>
      <x:c r="R711" s="82" t="str">
        <x:v>Outra linha</x:v>
      </x:c>
      <x:c r="S711" s="82" t="str">
        <x:v>Rara</x:v>
      </x:c>
      <x:c r="T711" s="82" t="str">
        <x:v>Lançado</x:v>
      </x:c>
      <x:c r="U711" s="82" t="str"/>
      <x:c r="V711" s="80" t="str">
        <x:v>Coleção principal (~1:64)</x:v>
      </x:c>
      <x:c r="W711" s="82" t="str">
        <x:v>https://hotwheels.fandom.com/wiki/Ferrari_312P</x:v>
      </x:c>
      <x:c r="X711" s="82" t="str">
        <x:v>https://hotwheels.fandom.com/wiki/Ferrari_312P</x:v>
      </x:c>
    </x:row>
    <x:row r="712">
      <x:c r="A712" s="80" t="str">
        <x:v>Não</x:v>
      </x:c>
      <x:c r="B712" s="80" t="str">
        <x:v>2 — Completar aos poucos</x:v>
      </x:c>
      <x:c r="C712" s="81" t="n">
        <x:v>1970</x:v>
      </x:c>
      <x:c r="D712" s="80" t="str">
        <x:v>Ferrari 312P</x:v>
      </x:c>
      <x:c r="E712" s="80" t="str">
        <x:v>Ferrari 312P</x:v>
      </x:c>
      <x:c r="F712" s="82" t="str">
        <x:v>Grand Prix</x:v>
      </x:c>
      <x:c r="G712" s="80" t="str"/>
      <x:c r="H712" s="80" t="str"/>
      <x:c r="I712" s="83" t="str">
        <x:v>6417</x:v>
      </x:c>
      <x:c r="J712" s="80" t="str">
        <x:v>Spectraflame Yellow</x:v>
      </x:c>
      <x:c r="K712" s="82" t="str"/>
      <x:c r="L712" s="82" t="str">
        <x:v>RL</x:v>
      </x:c>
      <x:c r="M712" s="82" t="str">
        <x:v>Unpainted / / / Metal</x:v>
      </x:c>
      <x:c r="N712" s="82" t="str">
        <x:v>Clear</x:v>
      </x:c>
      <x:c r="O712" s="82" t="str">
        <x:v>Black</x:v>
      </x:c>
      <x:c r="P712" s="82" t="str">
        <x:v>USA</x:v>
      </x:c>
      <x:c r="Q712" s="82" t="str"/>
      <x:c r="R712" s="82" t="str">
        <x:v>Outra linha</x:v>
      </x:c>
      <x:c r="S712" s="82" t="str">
        <x:v>Rara</x:v>
      </x:c>
      <x:c r="T712" s="82" t="str">
        <x:v>Lançado</x:v>
      </x:c>
      <x:c r="U712" s="82" t="str"/>
      <x:c r="V712" s="80" t="str">
        <x:v>Coleção principal (~1:64)</x:v>
      </x:c>
      <x:c r="W712" s="82" t="str">
        <x:v>https://hotwheels.fandom.com/wiki/Ferrari_312P</x:v>
      </x:c>
      <x:c r="X712" s="82" t="str">
        <x:v>https://hotwheels.fandom.com/wiki/Ferrari_312P</x:v>
      </x:c>
    </x:row>
    <x:row r="713">
      <x:c r="A713" s="80" t="str">
        <x:v>Não</x:v>
      </x:c>
      <x:c r="B713" s="80" t="str">
        <x:v>2 — Completar aos poucos</x:v>
      </x:c>
      <x:c r="C713" s="81" t="str"/>
      <x:c r="D713" s="80" t="str">
        <x:v>Ferrari Testarossa (1987)</x:v>
      </x:c>
      <x:c r="E713" s="80" t="str">
        <x:v>Ferrari Testarossa</x:v>
      </x:c>
      <x:c r="F713" s="82" t="str">
        <x:v>Leo Hot Wheels</x:v>
      </x:c>
      <x:c r="G713" s="80" t="str"/>
      <x:c r="H713" s="80" t="str"/>
      <x:c r="I713" s="83" t="str">
        <x:v>N/A</x:v>
      </x:c>
      <x:c r="J713" s="80" t="str">
        <x:v>Black</x:v>
      </x:c>
      <x:c r="K713" s="82" t="str">
        <x:v>"McDonald's" logo on hood</x:v>
      </x:c>
      <x:c r="L713" s="82" t="str">
        <x:v>BW</x:v>
      </x:c>
      <x:c r="M713" s="82" t="str">
        <x:v>Black / / / Metal</x:v>
      </x:c>
      <x:c r="N713" s="82" t="str">
        <x:v>Clear</x:v>
      </x:c>
      <x:c r="O713" s="82" t="str">
        <x:v>Tan &amp; Black</x:v>
      </x:c>
      <x:c r="P713" s="82" t="str">
        <x:v>India</x:v>
      </x:c>
      <x:c r="Q713" s="82" t="str"/>
      <x:c r="R713" s="82" t="str">
        <x:v>Outra linha</x:v>
      </x:c>
      <x:c r="S713" s="82" t="str">
        <x:v>Comum / atual</x:v>
      </x:c>
      <x:c r="T713" s="82" t="str">
        <x:v>Ano não documentado</x:v>
      </x:c>
      <x:c r="U713" s="82" t="str">
        <x:v>exclusive for India's Happy Meal toys</x:v>
      </x:c>
      <x:c r="V713" s="80" t="str">
        <x:v>Coleção principal (~1:64)</x:v>
      </x:c>
      <x:c r="W713" s="82" t="str">
        <x:v>https://hotwheels.fandom.com/wiki/Ferrari_Testarossa_(1987)</x:v>
      </x:c>
      <x:c r="X713" s="82" t="str">
        <x:v>https://hotwheels.fandom.com/wiki/Ferrari_Testarossa_(1987)</x:v>
      </x:c>
    </x:row>
    <x:row r="714">
      <x:c r="A714" s="80" t="str">
        <x:v>Não</x:v>
      </x:c>
      <x:c r="B714" s="80" t="str">
        <x:v>3 — Caça de longo prazo</x:v>
      </x:c>
      <x:c r="C714" s="81" t="n">
        <x:v>2026</x:v>
      </x:c>
      <x:c r="D714" s="80" t="str">
        <x:v>Ferrari F40 (RLC)</x:v>
      </x:c>
      <x:c r="E714" s="80" t="str">
        <x:v>Ferrari F40</x:v>
      </x:c>
      <x:c r="F714" s="82" t="str">
        <x:v>RLC Exclusive</x:v>
      </x:c>
      <x:c r="G714" s="80" t="str"/>
      <x:c r="H714" s="80" t="str"/>
      <x:c r="I714" s="83" t="str">
        <x:v>JJY72</x:v>
      </x:c>
      <x:c r="J714" s="80" t="str"/>
      <x:c r="K714" s="82" t="str"/>
      <x:c r="L714" s="82" t="str"/>
      <x:c r="M714" s="82" t="str"/>
      <x:c r="N714" s="82" t="str"/>
      <x:c r="O714" s="82" t="str"/>
      <x:c r="P714" s="82" t="str"/>
      <x:c r="Q714" s="82" t="str">
        <x:v>RLC / HWC</x:v>
      </x:c>
      <x:c r="R714" s="82" t="str">
        <x:v>RLC / HWC</x:v>
      </x:c>
      <x:c r="S714" s="82" t="str">
        <x:v>Muito rara</x:v>
      </x:c>
      <x:c r="T714" s="82" t="str">
        <x:v>2026 — listado; confirmar disponibilidade</x:v>
      </x:c>
      <x:c r="U714" s="82" t="str"/>
      <x:c r="V714" s="80" t="str">
        <x:v>Coleção principal (~1:64)</x:v>
      </x:c>
      <x:c r="W714" s="82" t="str">
        <x:v>https://hotwheels.fandom.com/wiki/Ferrari</x:v>
      </x:c>
      <x:c r="X714" s="82" t="str">
        <x:v>https://hotwheels.fandom.com/wiki/Ferrari_F40_(RLC)</x:v>
      </x:c>
    </x:row>
    <x:row r="715">
      <x:c r="A715" s="80" t="str">
        <x:v>Não</x:v>
      </x:c>
      <x:c r="B715" s="80" t="str">
        <x:v>3 — Caça de longo prazo</x:v>
      </x:c>
      <x:c r="C715" s="81" t="n">
        <x:v>2026</x:v>
      </x:c>
      <x:c r="D715" s="80" t="str">
        <x:v>Ferrari F40 Competizione</x:v>
      </x:c>
      <x:c r="E715" s="80" t="str">
        <x:v>Ferrari F40 Competizione</x:v>
      </x:c>
      <x:c r="F715" s="82" t="str">
        <x:v>Ferrari / 3/5</x:v>
      </x:c>
      <x:c r="G715" s="80" t="str"/>
      <x:c r="H715" s="80" t="str">
        <x:v>063/250</x:v>
      </x:c>
      <x:c r="I715" s="83" t="str">
        <x:v>JJM17</x:v>
      </x:c>
      <x:c r="J715" s="80" t="str">
        <x:v>Spectraflame Black</x:v>
      </x:c>
      <x:c r="K715" s="82" t="str">
        <x:v>Detailed badging, TH logo on sides</x:v>
      </x:c>
      <x:c r="L715" s="82" t="str">
        <x:v>RRE</x:v>
      </x:c>
      <x:c r="M715" s="82" t="str">
        <x:v>Black / / / Plastic</x:v>
      </x:c>
      <x:c r="N715" s="82" t="str">
        <x:v>Clear</x:v>
      </x:c>
      <x:c r="O715" s="82" t="str">
        <x:v>Black</x:v>
      </x:c>
      <x:c r="P715" s="82" t="str">
        <x:v>Malaysia</x:v>
      </x:c>
      <x:c r="Q715" s="82" t="str">
        <x:v>Super Treasure Hunt</x:v>
      </x:c>
      <x:c r="R715" s="82" t="str">
        <x:v>Mainline especial</x:v>
      </x:c>
      <x:c r="S715" s="82" t="str">
        <x:v>Muito rara</x:v>
      </x:c>
      <x:c r="T715" s="82" t="str">
        <x:v>2026 — listado; confirmar disponibilidade</x:v>
      </x:c>
      <x:c r="U715" s="82" t="str">
        <x:v>Super Treasure Hunt / Base code(s):</x:v>
      </x:c>
      <x:c r="V715" s="80" t="str">
        <x:v>Coleção principal (~1:64)</x:v>
      </x:c>
      <x:c r="W715" s="82" t="str">
        <x:v>https://hotwheels.fandom.com/wiki/Ferrari_F40_Competizione</x:v>
      </x:c>
      <x:c r="X715" s="82" t="str">
        <x:v>https://hotwheels.fandom.com/wiki/Ferrari_F40_Competizione</x:v>
      </x:c>
    </x:row>
    <x:row r="716">
      <x:c r="A716" s="80" t="str">
        <x:v>Não</x:v>
      </x:c>
      <x:c r="B716" s="80" t="str">
        <x:v>3 — Caça de longo prazo</x:v>
      </x:c>
      <x:c r="C716" s="81" t="n">
        <x:v>2025</x:v>
      </x:c>
      <x:c r="D716" s="80" t="str">
        <x:v>Ferrari 499P</x:v>
      </x:c>
      <x:c r="E716" s="80" t="str">
        <x:v>Ferrari 499P</x:v>
      </x:c>
      <x:c r="F716" s="82" t="str">
        <x:v>Car Culture: Circuit Legends / 0/5</x:v>
      </x:c>
      <x:c r="G716" s="80" t="str"/>
      <x:c r="H716" s="80" t="str"/>
      <x:c r="I716" s="83" t="str">
        <x:v>JBK66</x:v>
      </x:c>
      <x:c r="J716" s="80" t="str">
        <x:v>Nero</x:v>
      </x:c>
      <x:c r="K716" s="82" t="str">
        <x:v>Detailed headlights and taillights</x:v>
      </x:c>
      <x:c r="L716" s="82" t="str">
        <x:v>Black RR10SPM</x:v>
      </x:c>
      <x:c r="M716" s="82" t="str">
        <x:v>Black / / / Metal</x:v>
      </x:c>
      <x:c r="N716" s="82" t="str">
        <x:v>Smoke tint</x:v>
      </x:c>
      <x:c r="O716" s="82" t="str">
        <x:v>Black</x:v>
      </x:c>
      <x:c r="P716" s="82" t="str">
        <x:v>Thailand</x:v>
      </x:c>
      <x:c r="Q716" s="82" t="str">
        <x:v>Chase</x:v>
      </x:c>
      <x:c r="R716" s="82" t="str">
        <x:v>Premium</x:v>
      </x:c>
      <x:c r="S716" s="82" t="str">
        <x:v>Muito rara</x:v>
      </x:c>
      <x:c r="T716" s="82" t="str">
        <x:v>Lançado</x:v>
      </x:c>
      <x:c r="U716" s="82" t="str">
        <x:v>Chase / Base code(s): U17A, U20A</x:v>
      </x:c>
      <x:c r="V716" s="80" t="str">
        <x:v>Coleção principal (~1:64)</x:v>
      </x:c>
      <x:c r="W716" s="82" t="str">
        <x:v>https://hotwheels.fandom.com/wiki/Ferrari_499P</x:v>
      </x:c>
      <x:c r="X716" s="82" t="str">
        <x:v>https://hotwheels.fandom.com/wiki/Ferrari_499P</x:v>
      </x:c>
    </x:row>
    <x:row r="717">
      <x:c r="A717" s="80" t="str">
        <x:v>Não</x:v>
      </x:c>
      <x:c r="B717" s="80" t="str">
        <x:v>3 — Caça de longo prazo</x:v>
      </x:c>
      <x:c r="C717" s="81" t="n">
        <x:v>2015</x:v>
      </x:c>
      <x:c r="D717" s="80" t="str">
        <x:v>Ferrari 599XX</x:v>
      </x:c>
      <x:c r="E717" s="80" t="str">
        <x:v>Ferrari 599XX</x:v>
      </x:c>
      <x:c r="F717" s="82" t="str">
        <x:v>HW Workshop: Thrill Racers</x:v>
      </x:c>
      <x:c r="G717" s="80" t="str"/>
      <x:c r="H717" s="80" t="str">
        <x:v>188/250</x:v>
      </x:c>
      <x:c r="I717" s="83" t="str">
        <x:v>CFJ39</x:v>
      </x:c>
      <x:c r="J717" s="80" t="str">
        <x:v>Spectraflame Black</x:v>
      </x:c>
      <x:c r="K717" s="82" t="str">
        <x:v>Red stripes on sides &amp; hood, Ferrari emblem on sides &amp; front, detailed headlights</x:v>
      </x:c>
      <x:c r="L717" s="82" t="str">
        <x:v>Chrome Red &amp; Black RR10SP</x:v>
      </x:c>
      <x:c r="M717" s="82" t="str">
        <x:v>Black / / / Plastic</x:v>
      </x:c>
      <x:c r="N717" s="82" t="str">
        <x:v>Smoke tint</x:v>
      </x:c>
      <x:c r="O717" s="82" t="str">
        <x:v>Black</x:v>
      </x:c>
      <x:c r="P717" s="82" t="str">
        <x:v>Malaysia</x:v>
      </x:c>
      <x:c r="Q717" s="82" t="str">
        <x:v>Super Treasure Hunt</x:v>
      </x:c>
      <x:c r="R717" s="82" t="str">
        <x:v>Mainline especial</x:v>
      </x:c>
      <x:c r="S717" s="82" t="str">
        <x:v>Muito rara</x:v>
      </x:c>
      <x:c r="T717" s="82" t="str">
        <x:v>Lançado</x:v>
      </x:c>
      <x:c r="U717" s="82" t="str">
        <x:v>Super Treasure Hunt / Base code(s): G39</x:v>
      </x:c>
      <x:c r="V717" s="80" t="str">
        <x:v>Coleção principal (~1:64)</x:v>
      </x:c>
      <x:c r="W717" s="82" t="str">
        <x:v>https://hotwheels.fandom.com/wiki/Ferrari_599XX</x:v>
      </x:c>
      <x:c r="X717" s="82" t="str">
        <x:v>https://hotwheels.fandom.com/wiki/Ferrari_599XX</x:v>
      </x:c>
    </x:row>
    <x:row r="718">
      <x:c r="A718" s="80" t="str">
        <x:v>Não</x:v>
      </x:c>
      <x:c r="B718" s="80" t="str">
        <x:v>3 — Caça de longo prazo</x:v>
      </x:c>
      <x:c r="C718" s="81" t="n">
        <x:v>2012</x:v>
      </x:c>
      <x:c r="D718" s="80" t="str">
        <x:v>Ferrari 599XX</x:v>
      </x:c>
      <x:c r="E718" s="80" t="str">
        <x:v>Ferrari 599XX</x:v>
      </x:c>
      <x:c r="F718" s="82" t="str">
        <x:v>HW All Stars / 5/10</x:v>
      </x:c>
      <x:c r="G718" s="80" t="str"/>
      <x:c r="H718" s="80" t="str">
        <x:v>125/247</x:v>
      </x:c>
      <x:c r="I718" s="83" t="str">
        <x:v>V5379</x:v>
      </x:c>
      <x:c r="J718" s="80" t="str">
        <x:v>Spectraflame Red</x:v>
      </x:c>
      <x:c r="K718" s="82" t="str">
        <x:v>Ferrari emblems, Black stripes</x:v>
      </x:c>
      <x:c r="L718" s="82" t="str">
        <x:v>RREx</x:v>
      </x:c>
      <x:c r="M718" s="82" t="str">
        <x:v>Black / / / Plastic</x:v>
      </x:c>
      <x:c r="N718" s="82" t="str">
        <x:v>Clear</x:v>
      </x:c>
      <x:c r="O718" s="82" t="str">
        <x:v>Black</x:v>
      </x:c>
      <x:c r="P718" s="82" t="str">
        <x:v>Malaysia</x:v>
      </x:c>
      <x:c r="Q718" s="82" t="str">
        <x:v>Super Treasure Hunt</x:v>
      </x:c>
      <x:c r="R718" s="82" t="str">
        <x:v>Mainline especial</x:v>
      </x:c>
      <x:c r="S718" s="82" t="str">
        <x:v>Muito rara</x:v>
      </x:c>
      <x:c r="T718" s="82" t="str">
        <x:v>Lançado</x:v>
      </x:c>
      <x:c r="U718" s="82" t="str">
        <x:v>Super Treasure Hunt / Base code(s): E14</x:v>
      </x:c>
      <x:c r="V718" s="80" t="str">
        <x:v>Coleção principal (~1:64)</x:v>
      </x:c>
      <x:c r="W718" s="82" t="str">
        <x:v>https://hotwheels.fandom.com/wiki/Ferrari_599XX</x:v>
      </x:c>
      <x:c r="X718" s="82" t="str">
        <x:v>https://hotwheels.fandom.com/wiki/Ferrari_599XX</x:v>
      </x:c>
    </x:row>
    <x:row r="719">
      <x:c r="A719" s="80" t="str">
        <x:v>Não</x:v>
      </x:c>
      <x:c r="B719" s="80" t="str">
        <x:v>3 — Caça de longo prazo</x:v>
      </x:c>
      <x:c r="C719" s="81" t="n">
        <x:v>2003</x:v>
      </x:c>
      <x:c r="D719" s="80" t="str">
        <x:v>Ferrari 330 P4</x:v>
      </x:c>
      <x:c r="E719" s="80" t="str">
        <x:v>Ferrari 330 P4</x:v>
      </x:c>
      <x:c r="F719" s="82" t="str">
        <x:v>HWC.com Series 2: Super Chromes / 2/4</x:v>
      </x:c>
      <x:c r="G719" s="80" t="str"/>
      <x:c r="H719" s="80" t="str"/>
      <x:c r="I719" s="83" t="str">
        <x:v>B2197</x:v>
      </x:c>
      <x:c r="J719" s="80" t="str">
        <x:v>Chrome</x:v>
      </x:c>
      <x:c r="K719" s="82" t="str">
        <x:v>Red &amp; white stripes on hood &amp; top, and on rear panels &amp; sides with black stripes added, "Ferrari" logo on hood and sides, "Magneti Marelli" &amp; "Koni" logo on sides, painted taillights</x:v>
      </x:c>
      <x:c r="L719" s="82" t="str">
        <x:v>NCRL</x:v>
      </x:c>
      <x:c r="M719" s="82" t="str">
        <x:v>Chrome / / / Metal</x:v>
      </x:c>
      <x:c r="N719" s="82" t="str">
        <x:v>Clear</x:v>
      </x:c>
      <x:c r="O719" s="82" t="str">
        <x:v>Chrome</x:v>
      </x:c>
      <x:c r="P719" s="82" t="str">
        <x:v>China</x:v>
      </x:c>
      <x:c r="Q719" s="82" t="str">
        <x:v>RLC / HWC</x:v>
      </x:c>
      <x:c r="R719" s="82" t="str">
        <x:v>RLC / HWC</x:v>
      </x:c>
      <x:c r="S719" s="82" t="str">
        <x:v>Muito rara</x:v>
      </x:c>
      <x:c r="T719" s="82" t="str">
        <x:v>Lançado</x:v>
      </x:c>
      <x:c r="U719" s="82" t="str">
        <x:v>Named Ferrari P4 / 12,500 produced</x:v>
      </x:c>
      <x:c r="V719" s="80" t="str">
        <x:v>Coleção principal (~1:64)</x:v>
      </x:c>
      <x:c r="W719" s="82" t="str">
        <x:v>https://hotwheels.fandom.com/wiki/Ferrari_330_P4</x:v>
      </x:c>
      <x:c r="X719" s="82" t="str">
        <x:v>https://hotwheels.fandom.com/wiki/Ferrari_330_P4</x:v>
      </x:c>
    </x:row>
    <x:row r="720">
      <x:c r="A720" s="80" t="str">
        <x:v>Não</x:v>
      </x:c>
      <x:c r="B720" s="80" t="str">
        <x:v>3 — Caça de longo prazo</x:v>
      </x:c>
      <x:c r="C720" s="81" t="n">
        <x:v>1998</x:v>
      </x:c>
      <x:c r="D720" s="80" t="str">
        <x:v>Ferrari F40</x:v>
      </x:c>
      <x:c r="E720" s="80" t="str">
        <x:v>Ferrari F40</x:v>
      </x:c>
      <x:c r="F720" s="82" t="str">
        <x:v>12th Annual Hot Wheels Collectors Convention / Dash 4 Cash / 2/4</x:v>
      </x:c>
      <x:c r="G720" s="80" t="str"/>
      <x:c r="H720" s="80" t="str">
        <x:v>722</x:v>
      </x:c>
      <x:c r="I720" s="83" t="str">
        <x:v>18788</x:v>
      </x:c>
      <x:c r="J720" s="80" t="str">
        <x:v>Unpainted</x:v>
      </x:c>
      <x:c r="K720" s="82" t="str">
        <x:v>Black Hot Wheels Logo on Front</x:v>
      </x:c>
      <x:c r="L720" s="82" t="str">
        <x:v>LW</x:v>
      </x:c>
      <x:c r="M720" s="82" t="str">
        <x:v>ZAMAC</x:v>
      </x:c>
      <x:c r="N720" s="82" t="str">
        <x:v>Smoke tint</x:v>
      </x:c>
      <x:c r="O720" s="82" t="str">
        <x:v>Tan</x:v>
      </x:c>
      <x:c r="P720" s="82" t="str">
        <x:v>Malaysia</x:v>
      </x:c>
      <x:c r="Q720" s="82" t="str">
        <x:v>Convenção</x:v>
      </x:c>
      <x:c r="R720" s="82" t="str">
        <x:v>RLC / HWC</x:v>
      </x:c>
      <x:c r="S720" s="82" t="str">
        <x:v>Muito rara</x:v>
      </x:c>
      <x:c r="T720" s="82" t="str">
        <x:v>Lançado</x:v>
      </x:c>
      <x:c r="U720" s="82" t="str">
        <x:v>500 Produced</x:v>
      </x:c>
      <x:c r="V720" s="80" t="str">
        <x:v>Coleção principal (~1:64)</x:v>
      </x:c>
      <x:c r="W720" s="82" t="str">
        <x:v>https://hotwheels.fandom.com/wiki/Ferrari_F40</x:v>
      </x:c>
      <x:c r="X720" s="82" t="str">
        <x:v>https://hotwheels.fandom.com/wiki/Ferrari_F40</x:v>
      </x:c>
    </x:row>
    <x:row r="721">
      <x:c r="A721" s="80" t="str">
        <x:v>Não</x:v>
      </x:c>
      <x:c r="B721" s="80" t="str">
        <x:v>3 — Caça de longo prazo</x:v>
      </x:c>
      <x:c r="C721" s="81" t="n">
        <x:v>1989</x:v>
      </x:c>
      <x:c r="D721" s="80" t="str">
        <x:v>Racebait 308</x:v>
      </x:c>
      <x:c r="E721" s="80" t="str">
        <x:v>Racebait 308</x:v>
      </x:c>
      <x:c r="F721" s="82" t="str">
        <x:v>3rd Collectors Convention</x:v>
      </x:c>
      <x:c r="G721" s="80" t="str"/>
      <x:c r="H721" s="80" t="str"/>
      <x:c r="I721" s="83" t="str"/>
      <x:c r="J721" s="80" t="str">
        <x:v>Red</x:v>
      </x:c>
      <x:c r="K721" s="82" t="str">
        <x:v>'308' deco, Yellow Convention deco on hood, blue &amp; yellow stripes on sides</x:v>
      </x:c>
      <x:c r="L721" s="82" t="str">
        <x:v>Gold BW</x:v>
      </x:c>
      <x:c r="M721" s="82" t="str">
        <x:v>Black / / / Metal</x:v>
      </x:c>
      <x:c r="N721" s="82" t="str">
        <x:v>Solid Black</x:v>
      </x:c>
      <x:c r="O721" s="82" t="str">
        <x:v>Black</x:v>
      </x:c>
      <x:c r="P721" s="82" t="str">
        <x:v>Hong Kong</x:v>
      </x:c>
      <x:c r="Q721" s="82" t="str">
        <x:v>Convenção</x:v>
      </x:c>
      <x:c r="R721" s="82" t="str">
        <x:v>Convenção / evento</x:v>
      </x:c>
      <x:c r="S721" s="82" t="str">
        <x:v>Muito rara</x:v>
      </x:c>
      <x:c r="T721" s="82" t="str">
        <x:v>Lançado</x:v>
      </x:c>
      <x:c r="U721" s="82" t="str"/>
      <x:c r="V721" s="80" t="str">
        <x:v>Coleção principal (~1:64)</x:v>
      </x:c>
      <x:c r="W721" s="82" t="str">
        <x:v>https://hotwheels.fandom.com/wiki/Racebait_308</x:v>
      </x:c>
      <x:c r="X721" s="82" t="str">
        <x:v>https://hotwheels.fandom.com/wiki/Racebait_308</x:v>
      </x:c>
    </x:row>
  </x:sheetData>
  <x:mergeCells>
    <x:mergeCell ref="A1:X1"/>
    <x:mergeCell ref="A2:X2"/>
  </x:mergeCells>
  <x:conditionalFormatting sqref="A5:A721">
    <x:cfRule type="expression" dxfId="8" priority="1">
      <x:formula>$A5="Tenho"</x:formula>
    </x:cfRule>
    <x:cfRule type="expression" dxfId="9" priority="2">
      <x:formula>$A5="A caminho"</x:formula>
    </x:cfRule>
  </x:conditionalFormatting>
  <x:conditionalFormatting sqref="B5:B721">
    <x:cfRule type="expression" dxfId="10" priority="3">
      <x:formula>LEFT($B5,1)="1"</x:formula>
    </x:cfRule>
  </x:conditionalFormatting>
  <x:conditionalFormatting sqref="T5:T721">
    <x:cfRule type="expression" dxfId="11" priority="4">
      <x:formula>ISNUMBER(SEARCH("confirmar",$T5))</x:formula>
    </x:cfRule>
  </x:conditionalFormatting>
  <x:dataValidations count="1">
    <x:dataValidation type="list" sqref="A5:A721">
      <x:formula1>"Não,Tenho,A caminho"</x:formula1>
    </x:dataValidation>
  </x:dataValidations>
  <x:pageMargins left="0.7" right="0.7" top="0.75" bottom="0.75" header="0.3" footer="0.3"/>
  <x:tableParts count="1">
    <x:tablePart xmlns:r="http://schemas.openxmlformats.org/officeDocument/2006/relationships" r:id="R03621fb326aa408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8" hidden="0" customWidth="1"/>
    <x:col min="4" max="4" width="28" hidden="0" customWidth="1"/>
    <x:col min="5" max="5" width="25" hidden="0" customWidth="1"/>
    <x:col min="6" max="6" width="32" hidden="0" customWidth="1"/>
    <x:col min="7" max="7" width="11" hidden="0" customWidth="1"/>
    <x:col min="8" max="8" width="12" hidden="0" customWidth="1"/>
    <x:col min="9" max="9" width="16" hidden="0" customWidth="1"/>
    <x:col min="10" max="10" width="24" hidden="0" customWidth="1"/>
    <x:col min="11" max="11" width="38" hidden="0" customWidth="1"/>
    <x:col min="12" max="12" width="24" hidden="0" customWidth="1"/>
    <x:col min="13" max="13" width="24" hidden="0" customWidth="1"/>
    <x:col min="14" max="14" width="18" hidden="0" customWidth="1"/>
    <x:col min="15" max="15" width="18" hidden="0" customWidth="1"/>
    <x:col min="16" max="16" width="13" hidden="0" customWidth="1"/>
    <x:col min="17" max="17" width="27" hidden="0" customWidth="1"/>
    <x:col min="18" max="18" width="22" hidden="0" customWidth="1"/>
    <x:col min="19" max="19" width="20" hidden="0" customWidth="1"/>
    <x:col min="20" max="20" width="27" hidden="0" customWidth="1"/>
    <x:col min="21" max="21" width="38" hidden="0" customWidth="1"/>
    <x:col min="22" max="22" width="24" hidden="0" customWidth="1"/>
    <x:col min="23" max="23" width="45" hidden="0" customWidth="1"/>
    <x:col min="24" max="24" width="45" hidden="0" customWidth="1"/>
  </x:cols>
  <x:sheetData>
    <x:row r="1" ht="34" customHeight="1">
      <x:c r="A1" s="77" t="str">
        <x:v>Outras linhas BMW, Porsche e Ferrari</x:v>
      </x:c>
      <x:c r="B1" s="77"/>
      <x:c r="C1" s="77"/>
      <x:c r="D1" s="77"/>
      <x:c r="E1" s="77"/>
      <x:c r="F1" s="77"/>
      <x:c r="G1" s="77"/>
      <x:c r="H1" s="77"/>
      <x:c r="I1" s="77"/>
      <x:c r="J1" s="77"/>
      <x:c r="K1" s="77"/>
      <x:c r="L1" s="77"/>
      <x:c r="M1" s="77"/>
      <x:c r="N1" s="77"/>
      <x:c r="O1" s="77"/>
      <x:c r="P1" s="77"/>
      <x:c r="Q1" s="77"/>
      <x:c r="R1" s="77"/>
      <x:c r="S1" s="77"/>
      <x:c r="T1" s="77"/>
      <x:c r="U1" s="77"/>
      <x:c r="V1" s="77"/>
      <x:c r="W1" s="77"/>
      <x:c r="X1" s="77"/>
    </x:row>
    <x:row r="2" ht="30" customHeight="1">
      <x:c r="A2" s="86" t="str">
        <x:v>Escalas 1:18–1:87, Micro, Action Racers, Sizzlers/Scorchers, RC, Pull-Back, XL, motos e protótipos documentados. Use o campo Escopo / escala para filtrar.</x:v>
      </x:c>
      <x:c r="B2" s="86"/>
      <x:c r="C2" s="86"/>
      <x:c r="D2" s="86"/>
      <x:c r="E2" s="86"/>
      <x:c r="F2" s="86"/>
      <x:c r="G2" s="86"/>
      <x:c r="H2" s="86"/>
      <x:c r="I2" s="86"/>
      <x:c r="J2" s="86"/>
      <x:c r="K2" s="86"/>
      <x:c r="L2" s="86"/>
      <x:c r="M2" s="86"/>
      <x:c r="N2" s="86"/>
      <x:c r="O2" s="86"/>
      <x:c r="P2" s="86"/>
      <x:c r="Q2" s="86"/>
      <x:c r="R2" s="86"/>
      <x:c r="S2" s="86"/>
      <x:c r="T2" s="86"/>
      <x:c r="U2" s="86"/>
      <x:c r="V2" s="86"/>
      <x:c r="W2" s="86"/>
      <x:c r="X2" s="86"/>
    </x:row>
    <x:row r="3">
      <x:c r="A3" s="58"/>
      <x:c r="B3" s="58"/>
      <x:c r="C3" s="58"/>
      <x:c r="D3" s="58"/>
      <x:c r="E3" s="58"/>
      <x:c r="F3" s="58"/>
      <x:c r="G3" s="58"/>
      <x:c r="H3" s="58"/>
      <x:c r="I3" s="58"/>
      <x:c r="J3" s="58"/>
      <x:c r="K3" s="58"/>
      <x:c r="L3" s="58"/>
      <x:c r="M3" s="58"/>
      <x:c r="N3" s="58"/>
      <x:c r="O3" s="58"/>
      <x:c r="P3" s="58"/>
      <x:c r="Q3" s="58"/>
      <x:c r="R3" s="58"/>
      <x:c r="S3" s="58"/>
      <x:c r="T3" s="58"/>
      <x:c r="U3" s="58"/>
      <x:c r="V3" s="58"/>
      <x:c r="W3" s="58"/>
      <x:c r="X3" s="58"/>
    </x:row>
    <x:row r="4" ht="38" customHeight="1">
      <x:c r="A4" s="79" t="str">
        <x:v>Tenho?</x:v>
      </x:c>
      <x:c r="B4" s="79" t="str">
        <x:v>Prioridade</x:v>
      </x:c>
      <x:c r="C4" s="79" t="str">
        <x:v>Ano</x:v>
      </x:c>
      <x:c r="D4" s="79" t="str">
        <x:v>Casting</x:v>
      </x:c>
      <x:c r="E4" s="79" t="str">
        <x:v>Modelo na embalagem</x:v>
      </x:c>
      <x:c r="F4" s="79" t="str">
        <x:v>Linha / série</x:v>
      </x:c>
      <x:c r="G4" s="79" t="str">
        <x:v>Nº série</x:v>
      </x:c>
      <x:c r="H4" s="79" t="str">
        <x:v>Nº coleção</x:v>
      </x:c>
      <x:c r="I4" s="79" t="str">
        <x:v>Toy # / SKU</x:v>
      </x:c>
      <x:c r="J4" s="79" t="str">
        <x:v>Cor</x:v>
      </x:c>
      <x:c r="K4" s="79" t="str">
        <x:v>Tampo / decoração</x:v>
      </x:c>
      <x:c r="L4" s="79" t="str">
        <x:v>Rodas</x:v>
      </x:c>
      <x:c r="M4" s="79" t="str">
        <x:v>Base</x:v>
      </x:c>
      <x:c r="N4" s="79" t="str">
        <x:v>Vidros</x:v>
      </x:c>
      <x:c r="O4" s="79" t="str">
        <x:v>Interior</x:v>
      </x:c>
      <x:c r="P4" s="79" t="str">
        <x:v>País</x:v>
      </x:c>
      <x:c r="Q4" s="79" t="str">
        <x:v>Exclusividade / variação</x:v>
      </x:c>
      <x:c r="R4" s="79" t="str">
        <x:v>Tipo</x:v>
      </x:c>
      <x:c r="S4" s="79" t="str">
        <x:v>Raridade estimada</x:v>
      </x:c>
      <x:c r="T4" s="79" t="str">
        <x:v>Situação do lançamento</x:v>
      </x:c>
      <x:c r="U4" s="79" t="str">
        <x:v>Notas</x:v>
      </x:c>
      <x:c r="V4" s="79" t="str">
        <x:v>Escopo / escala</x:v>
      </x:c>
      <x:c r="W4" s="79" t="str">
        <x:v>Fonte da versão</x:v>
      </x:c>
      <x:c r="X4" s="79" t="str">
        <x:v>Página do casting</x:v>
      </x:c>
    </x:row>
    <x:row r="5">
      <x:c r="A5" s="80" t="str">
        <x:v>Não</x:v>
      </x:c>
      <x:c r="B5" s="80" t="str">
        <x:v>2 — Completar aos poucos</x:v>
      </x:c>
      <x:c r="C5" s="81" t="n">
        <x:v>1983</x:v>
      </x:c>
      <x:c r="D5" s="80" t="str">
        <x:v>BMW 635</x:v>
      </x:c>
      <x:c r="E5" s="80" t="str">
        <x:v>BMW 635</x:v>
      </x:c>
      <x:c r="F5" s="82" t="str">
        <x:v>Super Hot Wheels</x:v>
      </x:c>
      <x:c r="G5" s="80" t="str"/>
      <x:c r="H5" s="80" t="str"/>
      <x:c r="I5" s="83" t="str">
        <x:v>6058</x:v>
      </x:c>
      <x:c r="J5" s="80" t="str"/>
      <x:c r="K5" s="82" t="str"/>
      <x:c r="L5" s="82" t="str"/>
      <x:c r="M5" s="82" t="str"/>
      <x:c r="N5" s="82" t="str"/>
      <x:c r="O5" s="82" t="str"/>
      <x:c r="P5" s="82" t="str"/>
      <x:c r="Q5" s="82" t="str"/>
      <x:c r="R5" s="82" t="str">
        <x:v>Outra linha</x:v>
      </x:c>
      <x:c r="S5" s="82" t="str">
        <x:v>Rara</x:v>
      </x:c>
      <x:c r="T5" s="82" t="str">
        <x:v>Lançado</x:v>
      </x:c>
      <x:c r="U5" s="82" t="str"/>
      <x:c r="V5" s="80" t="str">
        <x:v>Linha vintage / escala variável</x:v>
      </x:c>
      <x:c r="W5" s="82" t="str">
        <x:v>https://hotwheels.fandom.com/wiki/BMW</x:v>
      </x:c>
      <x:c r="X5" s="82" t="str">
        <x:v>https://hotwheels.fandom.com/wiki/BMW_635</x:v>
      </x:c>
    </x:row>
    <x:row r="6">
      <x:c r="A6" s="80" t="str">
        <x:v>Não</x:v>
      </x:c>
      <x:c r="B6" s="80" t="str">
        <x:v>2 — Completar aos poucos</x:v>
      </x:c>
      <x:c r="C6" s="81" t="n">
        <x:v>1983</x:v>
      </x:c>
      <x:c r="D6" s="80" t="str">
        <x:v>BMW 730</x:v>
      </x:c>
      <x:c r="E6" s="80" t="str">
        <x:v>BMW 730</x:v>
      </x:c>
      <x:c r="F6" s="82" t="str">
        <x:v>Super Hot Wheels</x:v>
      </x:c>
      <x:c r="G6" s="80" t="str"/>
      <x:c r="H6" s="80" t="str"/>
      <x:c r="I6" s="83" t="str">
        <x:v>6832</x:v>
      </x:c>
      <x:c r="J6" s="80" t="str"/>
      <x:c r="K6" s="82" t="str"/>
      <x:c r="L6" s="82" t="str"/>
      <x:c r="M6" s="82" t="str"/>
      <x:c r="N6" s="82" t="str"/>
      <x:c r="O6" s="82" t="str"/>
      <x:c r="P6" s="82" t="str"/>
      <x:c r="Q6" s="82" t="str"/>
      <x:c r="R6" s="82" t="str">
        <x:v>Outra linha</x:v>
      </x:c>
      <x:c r="S6" s="82" t="str">
        <x:v>Rara</x:v>
      </x:c>
      <x:c r="T6" s="82" t="str">
        <x:v>Lançado</x:v>
      </x:c>
      <x:c r="U6" s="82" t="str"/>
      <x:c r="V6" s="80" t="str">
        <x:v>Linha vintage / escala variável</x:v>
      </x:c>
      <x:c r="W6" s="82" t="str">
        <x:v>https://hotwheels.fandom.com/wiki/BMW</x:v>
      </x:c>
      <x:c r="X6" s="82" t="str"/>
    </x:row>
    <x:row r="7">
      <x:c r="A7" s="80" t="str">
        <x:v>Não</x:v>
      </x:c>
      <x:c r="B7" s="80" t="str">
        <x:v>2 — Completar aos poucos</x:v>
      </x:c>
      <x:c r="C7" s="81" t="n">
        <x:v>1978</x:v>
      </x:c>
      <x:c r="D7" s="80" t="str">
        <x:v>BMW 320 Rally</x:v>
      </x:c>
      <x:c r="E7" s="80" t="str">
        <x:v>BMW 320 Rally</x:v>
      </x:c>
      <x:c r="F7" s="82" t="str">
        <x:v>Mebetoys</x:v>
      </x:c>
      <x:c r="G7" s="80" t="str"/>
      <x:c r="H7" s="80" t="str"/>
      <x:c r="I7" s="83" t="str">
        <x:v>A 113</x:v>
      </x:c>
      <x:c r="J7" s="80" t="str"/>
      <x:c r="K7" s="82" t="str"/>
      <x:c r="L7" s="82" t="str"/>
      <x:c r="M7" s="82" t="str"/>
      <x:c r="N7" s="82" t="str"/>
      <x:c r="O7" s="82" t="str"/>
      <x:c r="P7" s="82" t="str"/>
      <x:c r="Q7" s="82" t="str"/>
      <x:c r="R7" s="82" t="str">
        <x:v>Outra linha</x:v>
      </x:c>
      <x:c r="S7" s="82" t="str">
        <x:v>Rara</x:v>
      </x:c>
      <x:c r="T7" s="82" t="str">
        <x:v>Lançado</x:v>
      </x:c>
      <x:c r="U7" s="82" t="str"/>
      <x:c r="V7" s="80" t="str">
        <x:v>Linha vintage / escala variável</x:v>
      </x:c>
      <x:c r="W7" s="82" t="str">
        <x:v>https://hotwheels.fandom.com/wiki/BMW</x:v>
      </x:c>
      <x:c r="X7" s="82" t="str"/>
    </x:row>
    <x:row r="8">
      <x:c r="A8" s="80" t="str">
        <x:v>Não</x:v>
      </x:c>
      <x:c r="B8" s="80" t="str">
        <x:v>2 — Completar aos poucos</x:v>
      </x:c>
      <x:c r="C8" s="81" t="str"/>
      <x:c r="D8" s="80" t="str">
        <x:v>BMW 635</x:v>
      </x:c>
      <x:c r="E8" s="80" t="str">
        <x:v>BMW 635</x:v>
      </x:c>
      <x:c r="F8" s="82" t="str">
        <x:v>Serie Avventura</x:v>
      </x:c>
      <x:c r="G8" s="80" t="str"/>
      <x:c r="H8" s="80" t="str"/>
      <x:c r="I8" s="83" t="str">
        <x:v>6109</x:v>
      </x:c>
      <x:c r="J8" s="80" t="str">
        <x:v>White</x:v>
      </x:c>
      <x:c r="K8" s="82" t="str">
        <x:v>Police logo, 345, &amp; "Traffic Control</x:v>
      </x:c>
      <x:c r="L8" s="82" t="str"/>
      <x:c r="M8" s="82" t="str">
        <x:v>Yellow / Plastic</x:v>
      </x:c>
      <x:c r="N8" s="82" t="str">
        <x:v>Clear</x:v>
      </x:c>
      <x:c r="O8" s="82" t="str">
        <x:v>Yellow</x:v>
      </x:c>
      <x:c r="P8" s="82" t="str"/>
      <x:c r="Q8" s="82" t="str"/>
      <x:c r="R8" s="82" t="str">
        <x:v>Outra linha</x:v>
      </x:c>
      <x:c r="S8" s="82" t="str">
        <x:v>Comum / atual</x:v>
      </x:c>
      <x:c r="T8" s="82" t="str">
        <x:v>Ano não documentado</x:v>
      </x:c>
      <x:c r="U8" s="82" t="str">
        <x:v>Named "Stop Police" set</x:v>
      </x:c>
      <x:c r="V8" s="80" t="str">
        <x:v>Linha vintage / escala variável</x:v>
      </x:c>
      <x:c r="W8" s="82" t="str">
        <x:v>https://hotwheels.fandom.com/wiki/BMW_635</x:v>
      </x:c>
      <x:c r="X8" s="82" t="str">
        <x:v>https://hotwheels.fandom.com/wiki/BMW_635</x:v>
      </x:c>
    </x:row>
    <x:row r="9">
      <x:c r="A9" s="80" t="str">
        <x:v>Não</x:v>
      </x:c>
      <x:c r="B9" s="80" t="str">
        <x:v>2 — Completar aos poucos</x:v>
      </x:c>
      <x:c r="C9" s="81" t="str"/>
      <x:c r="D9" s="80" t="str">
        <x:v>BMW 635</x:v>
      </x:c>
      <x:c r="E9" s="80" t="str">
        <x:v>BMW 635</x:v>
      </x:c>
      <x:c r="F9" s="82" t="str">
        <x:v>Super Hot Wheels Box set</x:v>
      </x:c>
      <x:c r="G9" s="80" t="str"/>
      <x:c r="H9" s="80" t="str"/>
      <x:c r="I9" s="83" t="str"/>
      <x:c r="J9" s="80" t="str">
        <x:v>Yellow</x:v>
      </x:c>
      <x:c r="K9" s="82" t="str">
        <x:v>Red stripes</x:v>
      </x:c>
      <x:c r="L9" s="82" t="str"/>
      <x:c r="M9" s="82" t="str">
        <x:v>Black / Plastic</x:v>
      </x:c>
      <x:c r="N9" s="82" t="str">
        <x:v>Clear</x:v>
      </x:c>
      <x:c r="O9" s="82" t="str">
        <x:v>Black</x:v>
      </x:c>
      <x:c r="P9" s="82" t="str"/>
      <x:c r="Q9" s="82" t="str"/>
      <x:c r="R9" s="82" t="str">
        <x:v>Outra linha</x:v>
      </x:c>
      <x:c r="S9" s="82" t="str">
        <x:v>Comum / atual</x:v>
      </x:c>
      <x:c r="T9" s="82" t="str">
        <x:v>Ano não documentado</x:v>
      </x:c>
      <x:c r="U9" s="82" t="str"/>
      <x:c r="V9" s="80" t="str">
        <x:v>Linha vintage / escala variável</x:v>
      </x:c>
      <x:c r="W9" s="82" t="str">
        <x:v>https://hotwheels.fandom.com/wiki/BMW_635</x:v>
      </x:c>
      <x:c r="X9" s="82" t="str">
        <x:v>https://hotwheels.fandom.com/wiki/BMW_635</x:v>
      </x:c>
    </x:row>
    <x:row r="10">
      <x:c r="A10" s="80" t="str">
        <x:v>Não</x:v>
      </x:c>
      <x:c r="B10" s="80" t="str">
        <x:v>2 — Completar aos poucos</x:v>
      </x:c>
      <x:c r="C10" s="81" t="str"/>
      <x:c r="D10" s="80" t="str">
        <x:v>BMW 635</x:v>
      </x:c>
      <x:c r="E10" s="80" t="str">
        <x:v>BMW 635</x:v>
      </x:c>
      <x:c r="F10" s="82" t="str">
        <x:v>Super Hot Wheels Box set?</x:v>
      </x:c>
      <x:c r="G10" s="80" t="str"/>
      <x:c r="H10" s="80" t="str"/>
      <x:c r="I10" s="83" t="str"/>
      <x:c r="J10" s="80" t="str">
        <x:v>Blue</x:v>
      </x:c>
      <x:c r="K10" s="82" t="str"/>
      <x:c r="L10" s="82" t="str"/>
      <x:c r="M10" s="82" t="str">
        <x:v>Black / Plastic</x:v>
      </x:c>
      <x:c r="N10" s="82" t="str">
        <x:v>Clear</x:v>
      </x:c>
      <x:c r="O10" s="82" t="str"/>
      <x:c r="P10" s="82" t="str"/>
      <x:c r="Q10" s="82" t="str"/>
      <x:c r="R10" s="82" t="str">
        <x:v>Outra linha</x:v>
      </x:c>
      <x:c r="S10" s="82" t="str">
        <x:v>Comum / atual</x:v>
      </x:c>
      <x:c r="T10" s="82" t="str">
        <x:v>Ano não documentado</x:v>
      </x:c>
      <x:c r="U10" s="82" t="str">
        <x:v>Need to find a sealed version</x:v>
      </x:c>
      <x:c r="V10" s="80" t="str">
        <x:v>Linha vintage / escala variável</x:v>
      </x:c>
      <x:c r="W10" s="82" t="str">
        <x:v>https://hotwheels.fandom.com/wiki/BMW_635</x:v>
      </x:c>
      <x:c r="X10" s="82" t="str">
        <x:v>https://hotwheels.fandom.com/wiki/BMW_635</x:v>
      </x:c>
    </x:row>
    <x:row r="11">
      <x:c r="A11" s="80" t="str">
        <x:v>Não</x:v>
      </x:c>
      <x:c r="B11" s="80" t="str">
        <x:v>2 — Completar aos poucos</x:v>
      </x:c>
      <x:c r="C11" s="81" t="str"/>
      <x:c r="D11" s="80" t="str">
        <x:v>BMW 635</x:v>
      </x:c>
      <x:c r="E11" s="80" t="str">
        <x:v>BMW 635</x:v>
      </x:c>
      <x:c r="F11" s="82" t="str">
        <x:v>Super Hot Wheels Single Pack</x:v>
      </x:c>
      <x:c r="G11" s="80" t="str"/>
      <x:c r="H11" s="80" t="str"/>
      <x:c r="I11" s="83" t="str">
        <x:v>6058</x:v>
      </x:c>
      <x:c r="J11" s="80" t="str">
        <x:v>Black</x:v>
      </x:c>
      <x:c r="K11" s="82" t="str">
        <x:v>White Street Map decals, "83"</x:v>
      </x:c>
      <x:c r="L11" s="82" t="str"/>
      <x:c r="M11" s="82" t="str">
        <x:v>Yellow / Plastic</x:v>
      </x:c>
      <x:c r="N11" s="82" t="str">
        <x:v>Clear</x:v>
      </x:c>
      <x:c r="O11" s="82" t="str">
        <x:v>Yellow</x:v>
      </x:c>
      <x:c r="P11" s="82" t="str"/>
      <x:c r="Q11" s="82" t="str"/>
      <x:c r="R11" s="82" t="str">
        <x:v>Outra linha</x:v>
      </x:c>
      <x:c r="S11" s="82" t="str">
        <x:v>Comum / atual</x:v>
      </x:c>
      <x:c r="T11" s="82" t="str">
        <x:v>Ano não documentado</x:v>
      </x:c>
      <x:c r="U11" s="82" t="str"/>
      <x:c r="V11" s="80" t="str">
        <x:v>Linha vintage / escala variável</x:v>
      </x:c>
      <x:c r="W11" s="82" t="str">
        <x:v>https://hotwheels.fandom.com/wiki/BMW_635</x:v>
      </x:c>
      <x:c r="X11" s="82" t="str">
        <x:v>https://hotwheels.fandom.com/wiki/BMW_635</x:v>
      </x:c>
    </x:row>
    <x:row r="12">
      <x:c r="A12" s="80" t="str">
        <x:v>Não</x:v>
      </x:c>
      <x:c r="B12" s="80" t="str">
        <x:v>2 — Completar aos poucos</x:v>
      </x:c>
      <x:c r="C12" s="81" t="str"/>
      <x:c r="D12" s="80" t="str">
        <x:v>BMW 635</x:v>
      </x:c>
      <x:c r="E12" s="80" t="str">
        <x:v>BMW 635</x:v>
      </x:c>
      <x:c r="F12" s="82" t="str">
        <x:v>Super Hot Wheels Single Pack</x:v>
      </x:c>
      <x:c r="G12" s="80" t="str"/>
      <x:c r="H12" s="80" t="str"/>
      <x:c r="I12" s="83" t="str">
        <x:v>6060</x:v>
      </x:c>
      <x:c r="J12" s="80" t="str">
        <x:v>White</x:v>
      </x:c>
      <x:c r="K12" s="82" t="str">
        <x:v>"23" &amp; HW logo</x:v>
      </x:c>
      <x:c r="L12" s="82" t="str"/>
      <x:c r="M12" s="82" t="str">
        <x:v>Red / Plastic</x:v>
      </x:c>
      <x:c r="N12" s="82" t="str">
        <x:v>Clear</x:v>
      </x:c>
      <x:c r="O12" s="82" t="str">
        <x:v>Red</x:v>
      </x:c>
      <x:c r="P12" s="82" t="str"/>
      <x:c r="Q12" s="82" t="str"/>
      <x:c r="R12" s="82" t="str">
        <x:v>Outra linha</x:v>
      </x:c>
      <x:c r="S12" s="82" t="str">
        <x:v>Comum / atual</x:v>
      </x:c>
      <x:c r="T12" s="82" t="str">
        <x:v>Ano não documentado</x:v>
      </x:c>
      <x:c r="U12" s="82" t="str">
        <x:v>Appears in a 2-Pack as well</x:v>
      </x:c>
      <x:c r="V12" s="80" t="str">
        <x:v>Linha vintage / escala variável</x:v>
      </x:c>
      <x:c r="W12" s="82" t="str">
        <x:v>https://hotwheels.fandom.com/wiki/BMW_635</x:v>
      </x:c>
      <x:c r="X12" s="82" t="str">
        <x:v>https://hotwheels.fandom.com/wiki/BMW_635</x:v>
      </x:c>
    </x:row>
    <x:row r="13">
      <x:c r="A13" s="80" t="str">
        <x:v>Não</x:v>
      </x:c>
      <x:c r="B13" s="80" t="str">
        <x:v>Fora da meta principal</x:v>
      </x:c>
      <x:c r="C13" s="81" t="n">
        <x:v>2026</x:v>
      </x:c>
      <x:c r="D13" s="80" t="str">
        <x:v>2022 BMW M4 GT3</x:v>
      </x:c>
      <x:c r="E13" s="80" t="str">
        <x:v>2022 BMW M4 GT3</x:v>
      </x:c>
      <x:c r="F13" s="82" t="str">
        <x:v>Pull-Back Speeders</x:v>
      </x:c>
      <x:c r="G13" s="80" t="str"/>
      <x:c r="H13" s="80" t="str"/>
      <x:c r="I13" s="83" t="str">
        <x:v>JKP98 / JKR38</x:v>
      </x:c>
      <x:c r="J13" s="80" t="str">
        <x:v>Dark Blue</x:v>
      </x:c>
      <x:c r="K13" s="82" t="str">
        <x:v>White, black, red and blue stripes, BMW M logo, "ANDRIEU, "R BENITEZ", "D V ", "HAN</x:v>
      </x:c>
      <x:c r="L13" s="82" t="str">
        <x:v>Red lip, white PR5</x:v>
      </x:c>
      <x:c r="M13" s="82" t="str">
        <x:v>Black / / / Plastic</x:v>
      </x:c>
      <x:c r="N13" s="82" t="str">
        <x:v>Smoke tint</x:v>
      </x:c>
      <x:c r="O13" s="82" t="str">
        <x:v>Black</x:v>
      </x:c>
      <x:c r="P13" s="82" t="str">
        <x:v>China</x:v>
      </x:c>
      <x:c r="Q13" s="82" t="str"/>
      <x:c r="R13" s="82" t="str">
        <x:v>Outra linha</x:v>
      </x:c>
      <x:c r="S13" s="82" t="str">
        <x:v>Comum / atual</x:v>
      </x:c>
      <x:c r="T13" s="82" t="str">
        <x:v>2026 — listado; confirmar disponibilidade</x:v>
      </x:c>
      <x:c r="U13" s="82" t="str">
        <x:v>Production code(s): 2585EAA</x:v>
      </x:c>
      <x:c r="V13" s="80" t="str">
        <x:v>Pull-Back</x:v>
      </x:c>
      <x:c r="W13" s="82" t="str">
        <x:v>https://hotwheels.fandom.com/wiki/2022_BMW_M4_GT3</x:v>
      </x:c>
      <x:c r="X13" s="82" t="str">
        <x:v>https://hotwheels.fandom.com/wiki/2022_BMW_M4_GT3</x:v>
      </x:c>
    </x:row>
    <x:row r="14">
      <x:c r="A14" s="80" t="str">
        <x:v>Não</x:v>
      </x:c>
      <x:c r="B14" s="80" t="str">
        <x:v>Fora da meta principal</x:v>
      </x:c>
      <x:c r="C14" s="81" t="n">
        <x:v>2026</x:v>
      </x:c>
      <x:c r="D14" s="80" t="str">
        <x:v>2022 BMW M4 GT3</x:v>
      </x:c>
      <x:c r="E14" s="80" t="str">
        <x:v>2022 BMW M4 GT3</x:v>
      </x:c>
      <x:c r="F14" s="82" t="str">
        <x:v>Pull-Back Speeders 4/32</x:v>
      </x:c>
      <x:c r="G14" s="80" t="str"/>
      <x:c r="H14" s="80" t="str"/>
      <x:c r="I14" s="83" t="str">
        <x:v>JKP98 JKR38</x:v>
      </x:c>
      <x:c r="J14" s="80" t="str">
        <x:v>Dark Blue</x:v>
      </x:c>
      <x:c r="K14" s="82" t="str">
        <x:v>White, black, red and blue stripes, BMW M logo, "ANDRIEU, "R BENITEZ", "DV", "HAN</x:v>
      </x:c>
      <x:c r="L14" s="82" t="str">
        <x:v>Red lip, white PR5</x:v>
      </x:c>
      <x:c r="M14" s="82" t="str">
        <x:v>Black / Plastic</x:v>
      </x:c>
      <x:c r="N14" s="82" t="str">
        <x:v>Smoke tint</x:v>
      </x:c>
      <x:c r="O14" s="82" t="str">
        <x:v>Black</x:v>
      </x:c>
      <x:c r="P14" s="82" t="str">
        <x:v>China</x:v>
      </x:c>
      <x:c r="Q14" s="82" t="str"/>
      <x:c r="R14" s="82" t="str">
        <x:v>Outra linha</x:v>
      </x:c>
      <x:c r="S14" s="82" t="str">
        <x:v>Comum / atual</x:v>
      </x:c>
      <x:c r="T14" s="82" t="str">
        <x:v>2026 — listado; confirmar disponibilidade</x:v>
      </x:c>
      <x:c r="U14" s="82" t="str">
        <x:v>Production code(s): 2585EAA</x:v>
      </x:c>
      <x:c r="V14" s="80" t="str">
        <x:v>Pull-Back</x:v>
      </x:c>
      <x:c r="W14" s="82" t="str">
        <x:v>https://hotwheels.fandom.com/wiki/2022_BMW_M4_GT3</x:v>
      </x:c>
      <x:c r="X14" s="82" t="str">
        <x:v>https://hotwheels.fandom.com/wiki/2022_BMW_M4_GT3</x:v>
      </x:c>
    </x:row>
    <x:row r="15">
      <x:c r="A15" s="80" t="str">
        <x:v>Não</x:v>
      </x:c>
      <x:c r="B15" s="80" t="str">
        <x:v>Fora da meta principal</x:v>
      </x:c>
      <x:c r="C15" s="81" t="n">
        <x:v>2026</x:v>
      </x:c>
      <x:c r="D15" s="80" t="str">
        <x:v>BMW M3 (1:43)</x:v>
      </x:c>
      <x:c r="E15" s="80" t="str">
        <x:v>BMW M3</x:v>
      </x:c>
      <x:c r="F15" s="82" t="str">
        <x:v>Car Culture / Power Trip (R)</x:v>
      </x:c>
      <x:c r="G15" s="80" t="str"/>
      <x:c r="H15" s="80" t="str">
        <x:v>0/5CHASE!</x:v>
      </x:c>
      <x:c r="I15" s="83" t="str"/>
      <x:c r="J15" s="80" t="str"/>
      <x:c r="K15" s="82" t="str"/>
      <x:c r="L15" s="82" t="str"/>
      <x:c r="M15" s="82" t="str"/>
      <x:c r="N15" s="82" t="str"/>
      <x:c r="O15" s="82" t="str"/>
      <x:c r="P15" s="82" t="str"/>
      <x:c r="Q15" s="82" t="str"/>
      <x:c r="R15" s="82" t="str">
        <x:v>Premium</x:v>
      </x:c>
      <x:c r="S15" s="82" t="str">
        <x:v>Incomum</x:v>
      </x:c>
      <x:c r="T15" s="82" t="str">
        <x:v>2026 — listado; confirmar disponibilidade</x:v>
      </x:c>
      <x:c r="U15" s="82" t="str"/>
      <x:c r="V15" s="80" t="str">
        <x:v>Escala 1:43</x:v>
      </x:c>
      <x:c r="W15" s="82" t="str">
        <x:v>https://orangetrackdiecast.com/2026-hot-wheels-master-list-of-all-lines/</x:v>
      </x:c>
      <x:c r="X15" s="82" t="str">
        <x:v>https://hotwheels.fandom.com/wiki/BMW_M3_(1:43)</x:v>
      </x:c>
    </x:row>
    <x:row r="16">
      <x:c r="A16" s="80" t="str">
        <x:v>Não</x:v>
      </x:c>
      <x:c r="B16" s="80" t="str">
        <x:v>Fora da meta principal</x:v>
      </x:c>
      <x:c r="C16" s="81" t="n">
        <x:v>2026</x:v>
      </x:c>
      <x:c r="D16" s="80" t="str">
        <x:v>BMW M3 (1:43)</x:v>
      </x:c>
      <x:c r="E16" s="80" t="str">
        <x:v>BMW M3</x:v>
      </x:c>
      <x:c r="F16" s="82" t="str">
        <x:v>HWC / RLC</x:v>
      </x:c>
      <x:c r="G16" s="80" t="str"/>
      <x:c r="H16" s="80" t="str"/>
      <x:c r="I16" s="83" t="str"/>
      <x:c r="J16" s="80" t="str">
        <x:v>Spectraflame Olive</x:v>
      </x:c>
      <x:c r="K16" s="82" t="str"/>
      <x:c r="L16" s="82" t="str"/>
      <x:c r="M16" s="82" t="str"/>
      <x:c r="N16" s="82" t="str"/>
      <x:c r="O16" s="82" t="str"/>
      <x:c r="P16" s="82" t="str"/>
      <x:c r="Q16" s="82" t="str">
        <x:v>RLC / HWC</x:v>
      </x:c>
      <x:c r="R16" s="82" t="str">
        <x:v>RLC / HWC</x:v>
      </x:c>
      <x:c r="S16" s="82" t="str">
        <x:v>Muito rara</x:v>
      </x:c>
      <x:c r="T16" s="82" t="str">
        <x:v>2026 — listado; confirmar disponibilidade</x:v>
      </x:c>
      <x:c r="U16" s="82" t="str">
        <x:v>May 19, 2026</x:v>
      </x:c>
      <x:c r="V16" s="80" t="str">
        <x:v>Escala 1:43</x:v>
      </x:c>
      <x:c r="W16" s="82" t="str">
        <x:v>https://orangetrackdiecast.com/2026-hot-wheels-master-list-of-all-lines/</x:v>
      </x:c>
      <x:c r="X16" s="82" t="str">
        <x:v>https://hotwheels.fandom.com/wiki/BMW_M3_(1:43)</x:v>
      </x:c>
    </x:row>
    <x:row r="17">
      <x:c r="A17" s="80" t="str">
        <x:v>Não</x:v>
      </x:c>
      <x:c r="B17" s="80" t="str">
        <x:v>Fora da meta principal</x:v>
      </x:c>
      <x:c r="C17" s="81" t="n">
        <x:v>2026</x:v>
      </x:c>
      <x:c r="D17" s="80" t="str">
        <x:v>BMW M3 Wagon (Hot Wheels XL)</x:v>
      </x:c>
      <x:c r="E17" s="80" t="str">
        <x:v>BMW M3 Wagon</x:v>
      </x:c>
      <x:c r="F17" s="82" t="str">
        <x:v>Hot Wheels XL</x:v>
      </x:c>
      <x:c r="G17" s="80" t="str"/>
      <x:c r="H17" s="80" t="str">
        <x:v>7/24</x:v>
      </x:c>
      <x:c r="I17" s="83" t="str">
        <x:v>JKL04</x:v>
      </x:c>
      <x:c r="J17" s="80" t="str">
        <x:v>Metalflake blue</x:v>
      </x:c>
      <x:c r="K17" s="82" t="str">
        <x:v>Artistic depiction of BMW M logos, "90" on hood and sides, Goodyear, Bilstein, Motul, "AA" logos on sides</x:v>
      </x:c>
      <x:c r="L17" s="82" t="str">
        <x:v>Y5</x:v>
      </x:c>
      <x:c r="M17" s="82" t="str">
        <x:v>Ice blue / Plastic</x:v>
      </x:c>
      <x:c r="N17" s="82" t="str">
        <x:v>Smoke tint</x:v>
      </x:c>
      <x:c r="O17" s="82" t="str">
        <x:v>White</x:v>
      </x:c>
      <x:c r="P17" s="82" t="str">
        <x:v>China</x:v>
      </x:c>
      <x:c r="Q17" s="82" t="str"/>
      <x:c r="R17" s="82" t="str">
        <x:v>Mainline</x:v>
      </x:c>
      <x:c r="S17" s="82" t="str">
        <x:v>Comum / atual</x:v>
      </x:c>
      <x:c r="T17" s="82" t="str">
        <x:v>2026 — listado; confirmar disponibilidade</x:v>
      </x:c>
      <x:c r="U17" s="82" t="str"/>
      <x:c r="V17" s="80" t="str">
        <x:v>Hot Wheels XL</x:v>
      </x:c>
      <x:c r="W17" s="82" t="str">
        <x:v>https://hotwheels.fandom.com/wiki/BMW_M3_Wagon_(Hot_Wheels_XL)</x:v>
      </x:c>
      <x:c r="X17" s="82" t="str">
        <x:v>https://hotwheels.fandom.com/wiki/BMW_M3_Wagon_(Hot_Wheels_XL)</x:v>
      </x:c>
    </x:row>
    <x:row r="18">
      <x:c r="A18" s="80" t="str">
        <x:v>Não</x:v>
      </x:c>
      <x:c r="B18" s="80" t="str">
        <x:v>Fora da meta principal</x:v>
      </x:c>
      <x:c r="C18" s="81" t="n">
        <x:v>2026</x:v>
      </x:c>
      <x:c r="D18" s="80" t="str">
        <x:v>BMW M3 Wagon (Hot Wheels XL)</x:v>
      </x:c>
      <x:c r="E18" s="80" t="str">
        <x:v>BMW M3 Wagon</x:v>
      </x:c>
      <x:c r="F18" s="82" t="str">
        <x:v>Hot Wheels XL</x:v>
      </x:c>
      <x:c r="G18" s="80" t="str"/>
      <x:c r="H18" s="80" t="str">
        <x:v>7/24</x:v>
      </x:c>
      <x:c r="I18" s="83" t="str">
        <x:v>JKL04</x:v>
      </x:c>
      <x:c r="J18" s="80" t="str">
        <x:v>Metalflake blue</x:v>
      </x:c>
      <x:c r="K18" s="82" t="str">
        <x:v>Artistic depiction of BMW M logos, "90" on hood and sides, Goodyear, Bilstein, Motul, "A A " logos on sides</x:v>
      </x:c>
      <x:c r="L18" s="82" t="str">
        <x:v>Y5</x:v>
      </x:c>
      <x:c r="M18" s="82" t="str">
        <x:v>Ice blue / Plastic</x:v>
      </x:c>
      <x:c r="N18" s="82" t="str">
        <x:v>Smoke tint</x:v>
      </x:c>
      <x:c r="O18" s="82" t="str">
        <x:v>Black</x:v>
      </x:c>
      <x:c r="P18" s="82" t="str">
        <x:v>China</x:v>
      </x:c>
      <x:c r="Q18" s="82" t="str"/>
      <x:c r="R18" s="82" t="str">
        <x:v>Mainline</x:v>
      </x:c>
      <x:c r="S18" s="82" t="str">
        <x:v>Comum / atual</x:v>
      </x:c>
      <x:c r="T18" s="82" t="str">
        <x:v>2026 — listado; confirmar disponibilidade</x:v>
      </x:c>
      <x:c r="U18" s="82" t="str"/>
      <x:c r="V18" s="80" t="str">
        <x:v>Hot Wheels XL</x:v>
      </x:c>
      <x:c r="W18" s="82" t="str">
        <x:v>https://hotwheels.fandom.com/wiki/BMW_M3_Wagon_(Hot_Wheels_XL)</x:v>
      </x:c>
      <x:c r="X18" s="82" t="str">
        <x:v>https://hotwheels.fandom.com/wiki/BMW_M3_Wagon_(Hot_Wheels_XL)</x:v>
      </x:c>
    </x:row>
    <x:row r="19">
      <x:c r="A19" s="80" t="str">
        <x:v>Não</x:v>
      </x:c>
      <x:c r="B19" s="80" t="str">
        <x:v>Fora da meta principal</x:v>
      </x:c>
      <x:c r="C19" s="81" t="n">
        <x:v>2026</x:v>
      </x:c>
      <x:c r="D19" s="80" t="str">
        <x:v>BMW M3 Wagon (Hot Wheels XL)</x:v>
      </x:c>
      <x:c r="E19" s="80" t="str">
        <x:v>BMW M3 Wagon</x:v>
      </x:c>
      <x:c r="F19" s="82" t="str">
        <x:v>Themed Assortments / 58th Anniversary / Blue and Chrome – Mix 2</x:v>
      </x:c>
      <x:c r="G19" s="80" t="str"/>
      <x:c r="H19" s="80" t="str">
        <x:v>1/6</x:v>
      </x:c>
      <x:c r="I19" s="83" t="str"/>
      <x:c r="J19" s="80" t="str"/>
      <x:c r="K19" s="82" t="str"/>
      <x:c r="L19" s="82" t="str"/>
      <x:c r="M19" s="82" t="str"/>
      <x:c r="N19" s="82" t="str"/>
      <x:c r="O19" s="82" t="str"/>
      <x:c r="P19" s="82" t="str"/>
      <x:c r="Q19" s="82" t="str"/>
      <x:c r="R19" s="82" t="str">
        <x:v>Temática / multipack</x:v>
      </x:c>
      <x:c r="S19" s="82" t="str">
        <x:v>Comum / atual</x:v>
      </x:c>
      <x:c r="T19" s="82" t="str">
        <x:v>2026 — listado; confirmar disponibilidade</x:v>
      </x:c>
      <x:c r="U19" s="82" t="str"/>
      <x:c r="V19" s="80" t="str">
        <x:v>Hot Wheels XL</x:v>
      </x:c>
      <x:c r="W19" s="82" t="str">
        <x:v>https://orangetrackdiecast.com/2026-hot-wheels-master-list-of-all-lines/</x:v>
      </x:c>
      <x:c r="X19" s="82" t="str">
        <x:v>https://hotwheels.fandom.com/wiki/BMW_M3_Wagon_(Hot_Wheels_XL)</x:v>
      </x:c>
    </x:row>
    <x:row r="20">
      <x:c r="A20" s="80" t="str">
        <x:v>Não</x:v>
      </x:c>
      <x:c r="B20" s="80" t="str">
        <x:v>Fora da meta principal</x:v>
      </x:c>
      <x:c r="C20" s="81" t="n">
        <x:v>2025</x:v>
      </x:c>
      <x:c r="D20" s="80" t="str">
        <x:v>2022 BMW M4 GT3</x:v>
      </x:c>
      <x:c r="E20" s="80" t="str">
        <x:v>2022 BMW M4 GT3</x:v>
      </x:c>
      <x:c r="F20" s="82" t="str">
        <x:v>Pull-Back Speeders: HW Torque 1/6</x:v>
      </x:c>
      <x:c r="G20" s="80" t="str"/>
      <x:c r="H20" s="80" t="str"/>
      <x:c r="I20" s="83" t="str">
        <x:v>HWH42</x:v>
      </x:c>
      <x:c r="J20" s="80" t="str">
        <x:v>White</x:v>
      </x:c>
      <x:c r="K20" s="82" t="str">
        <x:v>BMW M racing livery, "87 HAN RACING" on doors, "KEVG", "TANCHAN", "DV", "AA", "AH", "RBENITEZ" on sides</x:v>
      </x:c>
      <x:c r="L20" s="82" t="str">
        <x:v>PR5</x:v>
      </x:c>
      <x:c r="M20" s="82" t="str">
        <x:v>Black / Plastic</x:v>
      </x:c>
      <x:c r="N20" s="82" t="str">
        <x:v>Smoke tint</x:v>
      </x:c>
      <x:c r="O20" s="82" t="str">
        <x:v>Black</x:v>
      </x:c>
      <x:c r="P20" s="82" t="str">
        <x:v>Thailand</x:v>
      </x:c>
      <x:c r="Q20" s="82" t="str"/>
      <x:c r="R20" s="82" t="str">
        <x:v>Mainline</x:v>
      </x:c>
      <x:c r="S20" s="82" t="str">
        <x:v>Comum / atual</x:v>
      </x:c>
      <x:c r="T20" s="82" t="str">
        <x:v>Lançado</x:v>
      </x:c>
      <x:c r="U20" s="82" t="str">
        <x:v>Base code(s):</x:v>
      </x:c>
      <x:c r="V20" s="80" t="str">
        <x:v>Pull-Back</x:v>
      </x:c>
      <x:c r="W20" s="82" t="str">
        <x:v>https://hotwheels.fandom.com/wiki/2022_BMW_M4_GT3</x:v>
      </x:c>
      <x:c r="X20" s="82" t="str">
        <x:v>https://hotwheels.fandom.com/wiki/2022_BMW_M4_GT3</x:v>
      </x:c>
    </x:row>
    <x:row r="21">
      <x:c r="A21" s="80" t="str">
        <x:v>Não</x:v>
      </x:c>
      <x:c r="B21" s="80" t="str">
        <x:v>Fora da meta principal</x:v>
      </x:c>
      <x:c r="C21" s="81" t="n">
        <x:v>2025</x:v>
      </x:c>
      <x:c r="D21" s="80" t="str">
        <x:v>BMW M3 (1:43)</x:v>
      </x:c>
      <x:c r="E21" s="80" t="str">
        <x:v>BMW M3</x:v>
      </x:c>
      <x:c r="F21" s="82" t="str">
        <x:v>1:43 / #28</x:v>
      </x:c>
      <x:c r="G21" s="80" t="str"/>
      <x:c r="H21" s="80" t="str"/>
      <x:c r="I21" s="83" t="str">
        <x:v>HWT14</x:v>
      </x:c>
      <x:c r="J21" s="80" t="str">
        <x:v>Metalflake silver</x:v>
      </x:c>
      <x:c r="K21" s="82" t="str">
        <x:v>Detailed trim, "HOT WHEELS" license plate</x:v>
      </x:c>
      <x:c r="L21" s="82" t="str"/>
      <x:c r="M21" s="82" t="str">
        <x:v>Black / / / Metal</x:v>
      </x:c>
      <x:c r="N21" s="82" t="str">
        <x:v>Blue tint</x:v>
      </x:c>
      <x:c r="O21" s="82" t="str">
        <x:v>Black</x:v>
      </x:c>
      <x:c r="P21" s="82" t="str">
        <x:v>China</x:v>
      </x:c>
      <x:c r="Q21" s="82" t="str"/>
      <x:c r="R21" s="82" t="str">
        <x:v>Outra linha</x:v>
      </x:c>
      <x:c r="S21" s="82" t="str">
        <x:v>Comum / atual</x:v>
      </x:c>
      <x:c r="T21" s="82" t="str">
        <x:v>Lançado</x:v>
      </x:c>
      <x:c r="U21" s="82" t="str">
        <x:v>Production code(s): 1635YY</x:v>
      </x:c>
      <x:c r="V21" s="80" t="str">
        <x:v>Escala 1:43</x:v>
      </x:c>
      <x:c r="W21" s="82" t="str">
        <x:v>https://hotwheels.fandom.com/wiki/BMW_M3_(1:43)</x:v>
      </x:c>
      <x:c r="X21" s="82" t="str">
        <x:v>https://hotwheels.fandom.com/wiki/BMW_M3_(1:43)</x:v>
      </x:c>
    </x:row>
    <x:row r="22">
      <x:c r="A22" s="80" t="str">
        <x:v>Não</x:v>
      </x:c>
      <x:c r="B22" s="80" t="str">
        <x:v>Fora da meta principal</x:v>
      </x:c>
      <x:c r="C22" s="81" t="n">
        <x:v>2024</x:v>
      </x:c>
      <x:c r="D22" s="80" t="str">
        <x:v>BMW K 1300 R</x:v>
      </x:c>
      <x:c r="E22" s="80" t="str">
        <x:v>BMW K 1300 R</x:v>
      </x:c>
      <x:c r="F22" s="82" t="str">
        <x:v>Hot Wheels Motorcycle Club / 2/5</x:v>
      </x:c>
      <x:c r="G22" s="80" t="str"/>
      <x:c r="H22" s="80" t="str"/>
      <x:c r="I22" s="83" t="str">
        <x:v>HRR91</x:v>
      </x:c>
      <x:c r="J22" s="80" t="str"/>
      <x:c r="K22" s="82" t="str">
        <x:v>Detailed headlight, BMW badging on fairing</x:v>
      </x:c>
      <x:c r="L22" s="82" t="str">
        <x:v>MC3</x:v>
      </x:c>
      <x:c r="M22" s="82" t="str">
        <x:v>Black / / / Metal</x:v>
      </x:c>
      <x:c r="N22" s="82" t="str"/>
      <x:c r="O22" s="82" t="str"/>
      <x:c r="P22" s="82" t="str">
        <x:v>Malaysia</x:v>
      </x:c>
      <x:c r="Q22" s="82" t="str"/>
      <x:c r="R22" s="82" t="str">
        <x:v>Outra linha</x:v>
      </x:c>
      <x:c r="S22" s="82" t="str">
        <x:v>Comum / atual</x:v>
      </x:c>
      <x:c r="T22" s="82" t="str">
        <x:v>Lançado</x:v>
      </x:c>
      <x:c r="U22" s="82" t="str"/>
      <x:c r="V22" s="80" t="str">
        <x:v>Motocicleta</x:v>
      </x:c>
      <x:c r="W22" s="82" t="str">
        <x:v>https://hotwheels.fandom.com/wiki/BMW_K_1300_R</x:v>
      </x:c>
      <x:c r="X22" s="82" t="str">
        <x:v>https://hotwheels.fandom.com/wiki/BMW_K_1300_R</x:v>
      </x:c>
    </x:row>
    <x:row r="23">
      <x:c r="A23" s="80" t="str">
        <x:v>Não</x:v>
      </x:c>
      <x:c r="B23" s="80" t="str">
        <x:v>Fora da meta principal</x:v>
      </x:c>
      <x:c r="C23" s="81" t="n">
        <x:v>2024</x:v>
      </x:c>
      <x:c r="D23" s="80" t="str">
        <x:v>BMW K 1300 R</x:v>
      </x:c>
      <x:c r="E23" s="80" t="str">
        <x:v>BMW K 1300 R</x:v>
      </x:c>
      <x:c r="F23" s="82" t="str">
        <x:v>Hot Wheels Motorcycle Club 2/5</x:v>
      </x:c>
      <x:c r="G23" s="80" t="str"/>
      <x:c r="H23" s="80" t="str"/>
      <x:c r="I23" s="83" t="str">
        <x:v>HRR91</x:v>
      </x:c>
      <x:c r="J23" s="80" t="str"/>
      <x:c r="K23" s="82" t="str">
        <x:v>Detailed headlight, BMW badging on fairing</x:v>
      </x:c>
      <x:c r="L23" s="82" t="str">
        <x:v>Black MC3</x:v>
      </x:c>
      <x:c r="M23" s="82" t="str">
        <x:v>Black / Metal</x:v>
      </x:c>
      <x:c r="N23" s="82" t="str"/>
      <x:c r="O23" s="82" t="str"/>
      <x:c r="P23" s="82" t="str">
        <x:v>Malaysia</x:v>
      </x:c>
      <x:c r="Q23" s="82" t="str"/>
      <x:c r="R23" s="82" t="str">
        <x:v>Outra linha</x:v>
      </x:c>
      <x:c r="S23" s="82" t="str">
        <x:v>Comum / atual</x:v>
      </x:c>
      <x:c r="T23" s="82" t="str">
        <x:v>Lançado</x:v>
      </x:c>
      <x:c r="U23" s="82" t="str"/>
      <x:c r="V23" s="80" t="str">
        <x:v>Motocicleta</x:v>
      </x:c>
      <x:c r="W23" s="82" t="str">
        <x:v>https://hotwheels.fandom.com/wiki/BMW_K_1300_R</x:v>
      </x:c>
      <x:c r="X23" s="82" t="str">
        <x:v>https://hotwheels.fandom.com/wiki/BMW_K_1300_R</x:v>
      </x:c>
    </x:row>
    <x:row r="24">
      <x:c r="A24" s="80" t="str">
        <x:v>Não</x:v>
      </x:c>
      <x:c r="B24" s="80" t="str">
        <x:v>Fora da meta principal</x:v>
      </x:c>
      <x:c r="C24" s="81" t="n">
        <x:v>2024</x:v>
      </x:c>
      <x:c r="D24" s="80" t="str">
        <x:v>BMW R nineT Racer</x:v>
      </x:c>
      <x:c r="E24" s="80" t="str">
        <x:v>BMW R nineT Racer</x:v>
      </x:c>
      <x:c r="F24" s="82" t="str">
        <x:v>Hot Wheels Motorcycle Club 3/5</x:v>
      </x:c>
      <x:c r="G24" s="80" t="str"/>
      <x:c r="H24" s="80" t="str"/>
      <x:c r="I24" s="83" t="str">
        <x:v>HRR92</x:v>
      </x:c>
      <x:c r="J24" s="80" t="str">
        <x:v>Aurum</x:v>
      </x:c>
      <x:c r="K24" s="82" t="str">
        <x:v>Detailed headlight, BMW badging on fairing, detailed frame</x:v>
      </x:c>
      <x:c r="L24" s="82" t="str">
        <x:v>ORMC</x:v>
      </x:c>
      <x:c r="M24" s="82" t="str">
        <x:v>Black / Metal</x:v>
      </x:c>
      <x:c r="N24" s="82" t="str"/>
      <x:c r="O24" s="82" t="str"/>
      <x:c r="P24" s="82" t="str">
        <x:v>Malaysia</x:v>
      </x:c>
      <x:c r="Q24" s="82" t="str"/>
      <x:c r="R24" s="82" t="str">
        <x:v>Outra linha</x:v>
      </x:c>
      <x:c r="S24" s="82" t="str">
        <x:v>Comum / atual</x:v>
      </x:c>
      <x:c r="T24" s="82" t="str">
        <x:v>Lançado</x:v>
      </x:c>
      <x:c r="U24" s="82" t="str"/>
      <x:c r="V24" s="80" t="str">
        <x:v>Motocicleta</x:v>
      </x:c>
      <x:c r="W24" s="82" t="str">
        <x:v>https://hotwheels.fandom.com/wiki/BMW_R_nineT_Racer</x:v>
      </x:c>
      <x:c r="X24" s="82" t="str">
        <x:v>https://hotwheels.fandom.com/wiki/BMW_R_nineT_Racer</x:v>
      </x:c>
    </x:row>
    <x:row r="25">
      <x:c r="A25" s="80" t="str">
        <x:v>Não</x:v>
      </x:c>
      <x:c r="B25" s="80" t="str">
        <x:v>Fora da meta principal</x:v>
      </x:c>
      <x:c r="C25" s="81" t="n">
        <x:v>2023</x:v>
      </x:c>
      <x:c r="D25" s="80" t="str">
        <x:v>BMW R nineT Racer</x:v>
      </x:c>
      <x:c r="E25" s="80" t="str">
        <x:v>BMW R nineT Racer</x:v>
      </x:c>
      <x:c r="F25" s="82" t="str">
        <x:v>HW Moto 2/5</x:v>
      </x:c>
      <x:c r="G25" s="80" t="str"/>
      <x:c r="H25" s="80" t="str">
        <x:v>068/250</x:v>
      </x:c>
      <x:c r="I25" s="83" t="str">
        <x:v>HKL01</x:v>
      </x:c>
      <x:c r="J25" s="80" t="str">
        <x:v>Atomic Blue</x:v>
      </x:c>
      <x:c r="K25" s="82" t="str">
        <x:v>Detailed headlamp, Treasure Hunt flame logo on sides</x:v>
      </x:c>
      <x:c r="L25" s="82" t="str">
        <x:v>Chrome ORMC</x:v>
      </x:c>
      <x:c r="M25" s="82" t="str">
        <x:v>Black / Metal</x:v>
      </x:c>
      <x:c r="N25" s="82" t="str"/>
      <x:c r="O25" s="82" t="str"/>
      <x:c r="P25" s="82" t="str">
        <x:v>Malaysia</x:v>
      </x:c>
      <x:c r="Q25" s="82" t="str"/>
      <x:c r="R25" s="82" t="str">
        <x:v>Mainline</x:v>
      </x:c>
      <x:c r="S25" s="82" t="str">
        <x:v>Comum / atual</x:v>
      </x:c>
      <x:c r="T25" s="82" t="str">
        <x:v>Lançado</x:v>
      </x:c>
      <x:c r="U25" s="82" t="str"/>
      <x:c r="V25" s="80" t="str">
        <x:v>Motocicleta</x:v>
      </x:c>
      <x:c r="W25" s="82" t="str">
        <x:v>https://hotwheels.fandom.com/wiki/BMW_R_nineT_Racer</x:v>
      </x:c>
      <x:c r="X25" s="82" t="str">
        <x:v>https://hotwheels.fandom.com/wiki/BMW_R_nineT_Racer</x:v>
      </x:c>
    </x:row>
    <x:row r="26">
      <x:c r="A26" s="80" t="str">
        <x:v>Não</x:v>
      </x:c>
      <x:c r="B26" s="80" t="str">
        <x:v>Fora da meta principal</x:v>
      </x:c>
      <x:c r="C26" s="81" t="n">
        <x:v>2022</x:v>
      </x:c>
      <x:c r="D26" s="80" t="str">
        <x:v>BMW R nineT Racer</x:v>
      </x:c>
      <x:c r="E26" s="80" t="str">
        <x:v>BMW R nineT Racer</x:v>
      </x:c>
      <x:c r="F26" s="82" t="str">
        <x:v>Retro Racers 10/10</x:v>
      </x:c>
      <x:c r="G26" s="80" t="str"/>
      <x:c r="H26" s="80" t="str">
        <x:v>153/250</x:v>
      </x:c>
      <x:c r="I26" s="83" t="str">
        <x:v>HCX31</x:v>
      </x:c>
      <x:c r="J26" s="80" t="str">
        <x:v>Black Storm Metallic</x:v>
      </x:c>
      <x:c r="K26" s="82" t="str">
        <x:v>Detailed headlamp, BMW stripes and badge on sides</x:v>
      </x:c>
      <x:c r="L26" s="82" t="str">
        <x:v>Chrome ORMC</x:v>
      </x:c>
      <x:c r="M26" s="82" t="str">
        <x:v>Matte Black / Metal</x:v>
      </x:c>
      <x:c r="N26" s="82" t="str"/>
      <x:c r="O26" s="82" t="str"/>
      <x:c r="P26" s="82" t="str">
        <x:v>Malaysia</x:v>
      </x:c>
      <x:c r="Q26" s="82" t="str"/>
      <x:c r="R26" s="82" t="str">
        <x:v>Mainline</x:v>
      </x:c>
      <x:c r="S26" s="82" t="str">
        <x:v>Comum / atual</x:v>
      </x:c>
      <x:c r="T26" s="82" t="str">
        <x:v>Lançado</x:v>
      </x:c>
      <x:c r="U26" s="82" t="str"/>
      <x:c r="V26" s="80" t="str">
        <x:v>Motocicleta</x:v>
      </x:c>
      <x:c r="W26" s="82" t="str">
        <x:v>https://hotwheels.fandom.com/wiki/BMW_R_nineT_Racer</x:v>
      </x:c>
      <x:c r="X26" s="82" t="str">
        <x:v>https://hotwheels.fandom.com/wiki/BMW_R_nineT_Racer</x:v>
      </x:c>
    </x:row>
    <x:row r="27">
      <x:c r="A27" s="80" t="str">
        <x:v>Não</x:v>
      </x:c>
      <x:c r="B27" s="80" t="str">
        <x:v>Fora da meta principal</x:v>
      </x:c>
      <x:c r="C27" s="81" t="n">
        <x:v>2022</x:v>
      </x:c>
      <x:c r="D27" s="80" t="str">
        <x:v>BMW R nineT Racer</x:v>
      </x:c>
      <x:c r="E27" s="80" t="str">
        <x:v>BMW R nineT Racer</x:v>
      </x:c>
      <x:c r="F27" s="82" t="str">
        <x:v>Retro Racers 10/10</x:v>
      </x:c>
      <x:c r="G27" s="80" t="str"/>
      <x:c r="H27" s="80" t="str">
        <x:v>153/250</x:v>
      </x:c>
      <x:c r="I27" s="83" t="str">
        <x:v>HCT47</x:v>
      </x:c>
      <x:c r="J27" s="80" t="str">
        <x:v>Lightwhite</x:v>
      </x:c>
      <x:c r="K27" s="82" t="str">
        <x:v>Detailed headlamp, BMW stripes and badge on sides</x:v>
      </x:c>
      <x:c r="L27" s="82" t="str">
        <x:v>Black ORMC</x:v>
      </x:c>
      <x:c r="M27" s="82" t="str">
        <x:v>Matte Black / Metal</x:v>
      </x:c>
      <x:c r="N27" s="82" t="str"/>
      <x:c r="O27" s="82" t="str"/>
      <x:c r="P27" s="82" t="str">
        <x:v>Malaysia</x:v>
      </x:c>
      <x:c r="Q27" s="82" t="str"/>
      <x:c r="R27" s="82" t="str">
        <x:v>Mainline</x:v>
      </x:c>
      <x:c r="S27" s="82" t="str">
        <x:v>Comum / atual</x:v>
      </x:c>
      <x:c r="T27" s="82" t="str">
        <x:v>Lançado</x:v>
      </x:c>
      <x:c r="U27" s="82" t="str"/>
      <x:c r="V27" s="80" t="str">
        <x:v>Motocicleta</x:v>
      </x:c>
      <x:c r="W27" s="82" t="str">
        <x:v>https://hotwheels.fandom.com/wiki/BMW_R_nineT_Racer</x:v>
      </x:c>
      <x:c r="X27" s="82" t="str">
        <x:v>https://hotwheels.fandom.com/wiki/BMW_R_nineT_Racer</x:v>
      </x:c>
    </x:row>
    <x:row r="28">
      <x:c r="A28" s="80" t="str">
        <x:v>Não</x:v>
      </x:c>
      <x:c r="B28" s="80" t="str">
        <x:v>Fora da meta principal</x:v>
      </x:c>
      <x:c r="C28" s="81" t="n">
        <x:v>2022</x:v>
      </x:c>
      <x:c r="D28" s="80" t="str">
        <x:v>BMW R nineT Racer</x:v>
      </x:c>
      <x:c r="E28" s="80" t="str">
        <x:v>BMW R nineT Racer</x:v>
      </x:c>
      <x:c r="F28" s="82" t="str">
        <x:v>Retro Racers 10/10</x:v>
      </x:c>
      <x:c r="G28" s="80" t="str"/>
      <x:c r="H28" s="80" t="str">
        <x:v>153/250</x:v>
      </x:c>
      <x:c r="I28" s="83" t="str">
        <x:v>HCT47</x:v>
      </x:c>
      <x:c r="J28" s="80" t="str">
        <x:v>Lightwhite</x:v>
      </x:c>
      <x:c r="K28" s="82" t="str">
        <x:v>Detailed headlamp, BMW stripes and badge on sides</x:v>
      </x:c>
      <x:c r="L28" s="82" t="str">
        <x:v>Chrome ORMC</x:v>
      </x:c>
      <x:c r="M28" s="82" t="str">
        <x:v>Matte Black / Metal</x:v>
      </x:c>
      <x:c r="N28" s="82" t="str"/>
      <x:c r="O28" s="82" t="str"/>
      <x:c r="P28" s="82" t="str">
        <x:v>Malaysia</x:v>
      </x:c>
      <x:c r="Q28" s="82" t="str"/>
      <x:c r="R28" s="82" t="str">
        <x:v>Mainline</x:v>
      </x:c>
      <x:c r="S28" s="82" t="str">
        <x:v>Comum / atual</x:v>
      </x:c>
      <x:c r="T28" s="82" t="str">
        <x:v>Lançado</x:v>
      </x:c>
      <x:c r="U28" s="82" t="str"/>
      <x:c r="V28" s="80" t="str">
        <x:v>Motocicleta</x:v>
      </x:c>
      <x:c r="W28" s="82" t="str">
        <x:v>https://hotwheels.fandom.com/wiki/BMW_R_nineT_Racer</x:v>
      </x:c>
      <x:c r="X28" s="82" t="str">
        <x:v>https://hotwheels.fandom.com/wiki/BMW_R_nineT_Racer</x:v>
      </x:c>
    </x:row>
    <x:row r="29">
      <x:c r="A29" s="80" t="str">
        <x:v>Não</x:v>
      </x:c>
      <x:c r="B29" s="80" t="str">
        <x:v>Fora da meta principal</x:v>
      </x:c>
      <x:c r="C29" s="81" t="n">
        <x:v>2020</x:v>
      </x:c>
      <x:c r="D29" s="80" t="str">
        <x:v>BMW K 1300 R</x:v>
      </x:c>
      <x:c r="E29" s="80" t="str">
        <x:v>BMW K 1300 R</x:v>
      </x:c>
      <x:c r="F29" s="82" t="str">
        <x:v>Factory Fresh 8/10</x:v>
      </x:c>
      <x:c r="G29" s="80" t="str"/>
      <x:c r="H29" s="80" t="str">
        <x:v>065/250</x:v>
      </x:c>
      <x:c r="I29" s="83" t="str">
        <x:v>GHC04</x:v>
      </x:c>
      <x:c r="J29" s="80" t="str"/>
      <x:c r="K29" s="82" t="str">
        <x:v>BMW emblem &amp; 'K 1300 R' on sides</x:v>
      </x:c>
      <x:c r="L29" s="82" t="str">
        <x:v>Black MC3</x:v>
      </x:c>
      <x:c r="M29" s="82" t="str">
        <x:v>Black / Metal</x:v>
      </x:c>
      <x:c r="N29" s="82" t="str"/>
      <x:c r="O29" s="82" t="str"/>
      <x:c r="P29" s="82" t="str">
        <x:v>Malaysia</x:v>
      </x:c>
      <x:c r="Q29" s="82" t="str"/>
      <x:c r="R29" s="82" t="str">
        <x:v>Mainline</x:v>
      </x:c>
      <x:c r="S29" s="82" t="str">
        <x:v>Comum / atual</x:v>
      </x:c>
      <x:c r="T29" s="82" t="str">
        <x:v>Lançado</x:v>
      </x:c>
      <x:c r="U29" s="82" t="str"/>
      <x:c r="V29" s="80" t="str">
        <x:v>Motocicleta</x:v>
      </x:c>
      <x:c r="W29" s="82" t="str">
        <x:v>https://hotwheels.fandom.com/wiki/BMW_K_1300_R</x:v>
      </x:c>
      <x:c r="X29" s="82" t="str">
        <x:v>https://hotwheels.fandom.com/wiki/BMW_K_1300_R</x:v>
      </x:c>
    </x:row>
    <x:row r="30">
      <x:c r="A30" s="80" t="str">
        <x:v>Não</x:v>
      </x:c>
      <x:c r="B30" s="80" t="str">
        <x:v>Fora da meta principal</x:v>
      </x:c>
      <x:c r="C30" s="81" t="n">
        <x:v>2020</x:v>
      </x:c>
      <x:c r="D30" s="80" t="str">
        <x:v>BMW K 1300 R</x:v>
      </x:c>
      <x:c r="E30" s="80" t="str">
        <x:v>BMW K 1300 R</x:v>
      </x:c>
      <x:c r="F30" s="82" t="str">
        <x:v>Factory Fresh 8/10</x:v>
      </x:c>
      <x:c r="G30" s="80" t="str"/>
      <x:c r="H30" s="80" t="str">
        <x:v>065/250</x:v>
      </x:c>
      <x:c r="I30" s="83" t="str">
        <x:v>GHF94</x:v>
      </x:c>
      <x:c r="J30" s="80" t="str"/>
      <x:c r="K30" s="82" t="str">
        <x:v>BMW emblem &amp; ‘K 1300 R’ on sides</x:v>
      </x:c>
      <x:c r="L30" s="82" t="str">
        <x:v>Black MC3</x:v>
      </x:c>
      <x:c r="M30" s="82" t="str">
        <x:v>Black / Metal</x:v>
      </x:c>
      <x:c r="N30" s="82" t="str"/>
      <x:c r="O30" s="82" t="str"/>
      <x:c r="P30" s="82" t="str">
        <x:v>Malaysia</x:v>
      </x:c>
      <x:c r="Q30" s="82" t="str"/>
      <x:c r="R30" s="82" t="str">
        <x:v>Mainline</x:v>
      </x:c>
      <x:c r="S30" s="82" t="str">
        <x:v>Comum / atual</x:v>
      </x:c>
      <x:c r="T30" s="82" t="str">
        <x:v>Lançado</x:v>
      </x:c>
      <x:c r="U30" s="82" t="str"/>
      <x:c r="V30" s="80" t="str">
        <x:v>Motocicleta</x:v>
      </x:c>
      <x:c r="W30" s="82" t="str">
        <x:v>https://hotwheels.fandom.com/wiki/BMW_K_1300_R</x:v>
      </x:c>
      <x:c r="X30" s="82" t="str">
        <x:v>https://hotwheels.fandom.com/wiki/BMW_K_1300_R</x:v>
      </x:c>
    </x:row>
    <x:row r="31">
      <x:c r="A31" s="80" t="str">
        <x:v>Não</x:v>
      </x:c>
      <x:c r="B31" s="80" t="str">
        <x:v>Fora da meta principal</x:v>
      </x:c>
      <x:c r="C31" s="81" t="n">
        <x:v>2018</x:v>
      </x:c>
      <x:c r="D31" s="80" t="str">
        <x:v>BMW K 1300 R</x:v>
      </x:c>
      <x:c r="E31" s="80" t="str">
        <x:v>BMW K 1300 R</x:v>
      </x:c>
      <x:c r="F31" s="82" t="str">
        <x:v>HW Moto / 4/5​</x:v>
      </x:c>
      <x:c r="G31" s="80" t="str"/>
      <x:c r="H31" s="80" t="str">
        <x:v>356/365</x:v>
      </x:c>
      <x:c r="I31" s="83" t="str">
        <x:v>FJX10</x:v>
      </x:c>
      <x:c r="J31" s="80" t="str"/>
      <x:c r="K31" s="82" t="str">
        <x:v>BMW emblem &amp; 'K 1300 R' on sides</x:v>
      </x:c>
      <x:c r="L31" s="82" t="str">
        <x:v>Black / MC3</x:v>
      </x:c>
      <x:c r="M31" s="82" t="str">
        <x:v>Black / / / Metal</x:v>
      </x:c>
      <x:c r="N31" s="82" t="str"/>
      <x:c r="O31" s="82" t="str"/>
      <x:c r="P31" s="82" t="str">
        <x:v>Malaysia</x:v>
      </x:c>
      <x:c r="Q31" s="82" t="str"/>
      <x:c r="R31" s="82" t="str">
        <x:v>Mainline</x:v>
      </x:c>
      <x:c r="S31" s="82" t="str">
        <x:v>Comum / atual</x:v>
      </x:c>
      <x:c r="T31" s="82" t="str">
        <x:v>Lançado</x:v>
      </x:c>
      <x:c r="U31" s="82" t="str"/>
      <x:c r="V31" s="80" t="str">
        <x:v>Motocicleta</x:v>
      </x:c>
      <x:c r="W31" s="82" t="str">
        <x:v>https://hotwheels.fandom.com/wiki/BMW_K_1300_R</x:v>
      </x:c>
      <x:c r="X31" s="82" t="str">
        <x:v>https://hotwheels.fandom.com/wiki/BMW_K_1300_R</x:v>
      </x:c>
    </x:row>
    <x:row r="32">
      <x:c r="A32" s="80" t="str">
        <x:v>Não</x:v>
      </x:c>
      <x:c r="B32" s="80" t="str">
        <x:v>Fora da meta principal</x:v>
      </x:c>
      <x:c r="C32" s="81" t="n">
        <x:v>2018</x:v>
      </x:c>
      <x:c r="D32" s="80" t="str">
        <x:v>BMW K 1300 R</x:v>
      </x:c>
      <x:c r="E32" s="80" t="str">
        <x:v>BMW K 1300 R</x:v>
      </x:c>
      <x:c r="F32" s="82" t="str">
        <x:v>HW Moto 4/5​</x:v>
      </x:c>
      <x:c r="G32" s="80" t="str"/>
      <x:c r="H32" s="80" t="str">
        <x:v>356/365</x:v>
      </x:c>
      <x:c r="I32" s="83" t="str">
        <x:v>FJX10</x:v>
      </x:c>
      <x:c r="J32" s="80" t="str"/>
      <x:c r="K32" s="82" t="str">
        <x:v>BMW emblem &amp; 'K 1300 R' on sides</x:v>
      </x:c>
      <x:c r="L32" s="82" t="str">
        <x:v>BlackMC3</x:v>
      </x:c>
      <x:c r="M32" s="82" t="str">
        <x:v>Black / Metal</x:v>
      </x:c>
      <x:c r="N32" s="82" t="str"/>
      <x:c r="O32" s="82" t="str"/>
      <x:c r="P32" s="82" t="str">
        <x:v>Malaysia</x:v>
      </x:c>
      <x:c r="Q32" s="82" t="str"/>
      <x:c r="R32" s="82" t="str">
        <x:v>Mainline</x:v>
      </x:c>
      <x:c r="S32" s="82" t="str">
        <x:v>Comum / atual</x:v>
      </x:c>
      <x:c r="T32" s="82" t="str">
        <x:v>Lançado</x:v>
      </x:c>
      <x:c r="U32" s="82" t="str"/>
      <x:c r="V32" s="80" t="str">
        <x:v>Motocicleta</x:v>
      </x:c>
      <x:c r="W32" s="82" t="str">
        <x:v>https://hotwheels.fandom.com/wiki/BMW_K_1300_R</x:v>
      </x:c>
      <x:c r="X32" s="82" t="str">
        <x:v>https://hotwheels.fandom.com/wiki/BMW_K_1300_R</x:v>
      </x:c>
    </x:row>
    <x:row r="33">
      <x:c r="A33" s="80" t="str">
        <x:v>Não</x:v>
      </x:c>
      <x:c r="B33" s="80" t="str">
        <x:v>Fora da meta principal</x:v>
      </x:c>
      <x:c r="C33" s="81" t="n">
        <x:v>2016</x:v>
      </x:c>
      <x:c r="D33" s="80" t="str">
        <x:v>BMW K 1300 R</x:v>
      </x:c>
      <x:c r="E33" s="80" t="str">
        <x:v>BMW K 1300 R</x:v>
      </x:c>
      <x:c r="F33" s="82" t="str">
        <x:v>BMW 2/5</x:v>
      </x:c>
      <x:c r="G33" s="80" t="str"/>
      <x:c r="H33" s="80" t="str">
        <x:v>187/250</x:v>
      </x:c>
      <x:c r="I33" s="83" t="str">
        <x:v>DHR81</x:v>
      </x:c>
      <x:c r="J33" s="80" t="str"/>
      <x:c r="K33" s="82" t="str">
        <x:v>BMW emblem &amp; 'K 1300 R' on sides</x:v>
      </x:c>
      <x:c r="L33" s="82" t="str">
        <x:v>Black MC3</x:v>
      </x:c>
      <x:c r="M33" s="82" t="str">
        <x:v>Black / Metal</x:v>
      </x:c>
      <x:c r="N33" s="82" t="str"/>
      <x:c r="O33" s="82" t="str"/>
      <x:c r="P33" s="82" t="str">
        <x:v>Malaysia</x:v>
      </x:c>
      <x:c r="Q33" s="82" t="str"/>
      <x:c r="R33" s="82" t="str">
        <x:v>Mainline</x:v>
      </x:c>
      <x:c r="S33" s="82" t="str">
        <x:v>Comum / atual</x:v>
      </x:c>
      <x:c r="T33" s="82" t="str">
        <x:v>Lançado</x:v>
      </x:c>
      <x:c r="U33" s="82" t="str"/>
      <x:c r="V33" s="80" t="str">
        <x:v>Motocicleta</x:v>
      </x:c>
      <x:c r="W33" s="82" t="str">
        <x:v>https://hotwheels.fandom.com/wiki/BMW_K_1300_R</x:v>
      </x:c>
      <x:c r="X33" s="82" t="str">
        <x:v>https://hotwheels.fandom.com/wiki/BMW_K_1300_R</x:v>
      </x:c>
    </x:row>
    <x:row r="34">
      <x:c r="A34" s="80" t="str">
        <x:v>Não</x:v>
      </x:c>
      <x:c r="B34" s="80" t="str">
        <x:v>Fora da meta principal</x:v>
      </x:c>
      <x:c r="C34" s="81" t="n">
        <x:v>2016</x:v>
      </x:c>
      <x:c r="D34" s="80" t="str">
        <x:v>BMW K 1300 R</x:v>
      </x:c>
      <x:c r="E34" s="80" t="str">
        <x:v>BMW K 1300 R</x:v>
      </x:c>
      <x:c r="F34" s="82" t="str">
        <x:v>BMW 2/5</x:v>
      </x:c>
      <x:c r="G34" s="80" t="str"/>
      <x:c r="H34" s="80" t="str">
        <x:v>187/250</x:v>
      </x:c>
      <x:c r="I34" s="83" t="str">
        <x:v>DHX61</x:v>
      </x:c>
      <x:c r="J34" s="80" t="str"/>
      <x:c r="K34" s="82" t="str">
        <x:v>BMW emblem, "K 1300 R" on sides, Grey Exhaust &amp; Forks</x:v>
      </x:c>
      <x:c r="L34" s="82" t="str">
        <x:v>Black MC3</x:v>
      </x:c>
      <x:c r="M34" s="82" t="str">
        <x:v>Gloss Black / Metal</x:v>
      </x:c>
      <x:c r="N34" s="82" t="str"/>
      <x:c r="O34" s="82" t="str"/>
      <x:c r="P34" s="82" t="str">
        <x:v>Malaysia</x:v>
      </x:c>
      <x:c r="Q34" s="82" t="str"/>
      <x:c r="R34" s="82" t="str">
        <x:v>Mainline</x:v>
      </x:c>
      <x:c r="S34" s="82" t="str">
        <x:v>Comum / atual</x:v>
      </x:c>
      <x:c r="T34" s="82" t="str">
        <x:v>Lançado</x:v>
      </x:c>
      <x:c r="U34" s="82" t="str"/>
      <x:c r="V34" s="80" t="str">
        <x:v>Motocicleta</x:v>
      </x:c>
      <x:c r="W34" s="82" t="str">
        <x:v>https://hotwheels.fandom.com/wiki/BMW_K_1300_R</x:v>
      </x:c>
      <x:c r="X34" s="82" t="str">
        <x:v>https://hotwheels.fandom.com/wiki/BMW_K_1300_R</x:v>
      </x:c>
    </x:row>
    <x:row r="35">
      <x:c r="A35" s="80" t="str">
        <x:v>Não</x:v>
      </x:c>
      <x:c r="B35" s="80" t="str">
        <x:v>Fora da meta principal</x:v>
      </x:c>
      <x:c r="C35" s="81" t="n">
        <x:v>2016</x:v>
      </x:c>
      <x:c r="D35" s="80" t="str">
        <x:v>BMW K 1300 R</x:v>
      </x:c>
      <x:c r="E35" s="80" t="str">
        <x:v>BMW K 1300 R</x:v>
      </x:c>
      <x:c r="F35" s="82" t="str">
        <x:v>BMW 8/8</x:v>
      </x:c>
      <x:c r="G35" s="80" t="str"/>
      <x:c r="H35" s="80" t="str"/>
      <x:c r="I35" s="83" t="str">
        <x:v>DJM85</x:v>
      </x:c>
      <x:c r="J35" s="80" t="str"/>
      <x:c r="K35" s="82" t="str">
        <x:v>BMW emblem &amp; 'K 1300 R' on sides</x:v>
      </x:c>
      <x:c r="L35" s="82" t="str">
        <x:v>Black MC3</x:v>
      </x:c>
      <x:c r="M35" s="82" t="str">
        <x:v>Black / Metal</x:v>
      </x:c>
      <x:c r="N35" s="82" t="str"/>
      <x:c r="O35" s="82" t="str"/>
      <x:c r="P35" s="82" t="str">
        <x:v>Thailand</x:v>
      </x:c>
      <x:c r="Q35" s="82" t="str"/>
      <x:c r="R35" s="82" t="str">
        <x:v>Outra linha</x:v>
      </x:c>
      <x:c r="S35" s="82" t="str">
        <x:v>Comum / atual</x:v>
      </x:c>
      <x:c r="T35" s="82" t="str">
        <x:v>Lançado</x:v>
      </x:c>
      <x:c r="U35" s="82" t="str"/>
      <x:c r="V35" s="80" t="str">
        <x:v>Motocicleta</x:v>
      </x:c>
      <x:c r="W35" s="82" t="str">
        <x:v>https://hotwheels.fandom.com/wiki/BMW_K_1300_R</x:v>
      </x:c>
      <x:c r="X35" s="82" t="str">
        <x:v>https://hotwheels.fandom.com/wiki/BMW_K_1300_R</x:v>
      </x:c>
    </x:row>
    <x:row r="36">
      <x:c r="A36" s="80" t="str">
        <x:v>Não</x:v>
      </x:c>
      <x:c r="B36" s="80" t="str">
        <x:v>Fora da meta principal</x:v>
      </x:c>
      <x:c r="C36" s="81" t="n">
        <x:v>2015</x:v>
      </x:c>
      <x:c r="D36" s="80" t="str">
        <x:v>BMW K 1300 R</x:v>
      </x:c>
      <x:c r="E36" s="80" t="str">
        <x:v>BMW K 1300 R</x:v>
      </x:c>
      <x:c r="F36" s="82" t="str">
        <x:v>HW Workshop: Thrill Racers</x:v>
      </x:c>
      <x:c r="G36" s="80" t="str"/>
      <x:c r="H36" s="80" t="str">
        <x:v>190/250</x:v>
      </x:c>
      <x:c r="I36" s="83" t="str">
        <x:v>CFK38</x:v>
      </x:c>
      <x:c r="J36" s="80" t="str"/>
      <x:c r="K36" s="82" t="str">
        <x:v>BMW emblem &amp; 'K 1300 R' on sides</x:v>
      </x:c>
      <x:c r="L36" s="82" t="str">
        <x:v>Black MC3</x:v>
      </x:c>
      <x:c r="M36" s="82" t="str">
        <x:v>Black / Metal</x:v>
      </x:c>
      <x:c r="N36" s="82" t="str"/>
      <x:c r="O36" s="82" t="str"/>
      <x:c r="P36" s="82" t="str">
        <x:v>Malaysia</x:v>
      </x:c>
      <x:c r="Q36" s="82" t="str"/>
      <x:c r="R36" s="82" t="str">
        <x:v>Mainline</x:v>
      </x:c>
      <x:c r="S36" s="82" t="str">
        <x:v>Incomum</x:v>
      </x:c>
      <x:c r="T36" s="82" t="str">
        <x:v>Lançado</x:v>
      </x:c>
      <x:c r="U36" s="82" t="str"/>
      <x:c r="V36" s="80" t="str">
        <x:v>Motocicleta</x:v>
      </x:c>
      <x:c r="W36" s="82" t="str">
        <x:v>https://hotwheels.fandom.com/wiki/BMW_K_1300_R</x:v>
      </x:c>
      <x:c r="X36" s="82" t="str">
        <x:v>https://hotwheels.fandom.com/wiki/BMW_K_1300_R</x:v>
      </x:c>
    </x:row>
    <x:row r="37">
      <x:c r="A37" s="80" t="str">
        <x:v>Não</x:v>
      </x:c>
      <x:c r="B37" s="80" t="str">
        <x:v>Fora da meta principal</x:v>
      </x:c>
      <x:c r="C37" s="81" t="n">
        <x:v>2014</x:v>
      </x:c>
      <x:c r="D37" s="80" t="str">
        <x:v>BMW K 1300 R</x:v>
      </x:c>
      <x:c r="E37" s="80" t="str">
        <x:v>BMW K 1300 R</x:v>
      </x:c>
      <x:c r="F37" s="82" t="str">
        <x:v>HW Off-Road: Moto</x:v>
      </x:c>
      <x:c r="G37" s="80" t="str"/>
      <x:c r="H37" s="80" t="str">
        <x:v>127/250</x:v>
      </x:c>
      <x:c r="I37" s="83" t="str">
        <x:v>BFD13</x:v>
      </x:c>
      <x:c r="J37" s="80" t="str"/>
      <x:c r="K37" s="82" t="str">
        <x:v>BMW emblem &amp; 'K 1300 R' on sides</x:v>
      </x:c>
      <x:c r="L37" s="82" t="str">
        <x:v>Black MC3</x:v>
      </x:c>
      <x:c r="M37" s="82" t="str">
        <x:v>Black / Metal</x:v>
      </x:c>
      <x:c r="N37" s="82" t="str"/>
      <x:c r="O37" s="82" t="str"/>
      <x:c r="P37" s="82" t="str">
        <x:v>Malaysia</x:v>
      </x:c>
      <x:c r="Q37" s="82" t="str"/>
      <x:c r="R37" s="82" t="str">
        <x:v>Mainline</x:v>
      </x:c>
      <x:c r="S37" s="82" t="str">
        <x:v>Incomum</x:v>
      </x:c>
      <x:c r="T37" s="82" t="str">
        <x:v>Lançado</x:v>
      </x:c>
      <x:c r="U37" s="82" t="str"/>
      <x:c r="V37" s="80" t="str">
        <x:v>Motocicleta</x:v>
      </x:c>
      <x:c r="W37" s="82" t="str">
        <x:v>https://hotwheels.fandom.com/wiki/BMW_K_1300_R</x:v>
      </x:c>
      <x:c r="X37" s="82" t="str">
        <x:v>https://hotwheels.fandom.com/wiki/BMW_K_1300_R</x:v>
      </x:c>
    </x:row>
    <x:row r="38">
      <x:c r="A38" s="80" t="str">
        <x:v>Não</x:v>
      </x:c>
      <x:c r="B38" s="80" t="str">
        <x:v>Fora da meta principal</x:v>
      </x:c>
      <x:c r="C38" s="81" t="n">
        <x:v>2014</x:v>
      </x:c>
      <x:c r="D38" s="80" t="str">
        <x:v>BMW K 1300 R</x:v>
      </x:c>
      <x:c r="E38" s="80" t="str">
        <x:v>BMW K 1300 R</x:v>
      </x:c>
      <x:c r="F38" s="82" t="str">
        <x:v>HW Off-Road: Moto</x:v>
      </x:c>
      <x:c r="G38" s="80" t="str"/>
      <x:c r="H38" s="80" t="str">
        <x:v>127/250</x:v>
      </x:c>
      <x:c r="I38" s="83" t="str">
        <x:v>BFG41</x:v>
      </x:c>
      <x:c r="J38" s="80" t="str"/>
      <x:c r="K38" s="82" t="str">
        <x:v>BMW emblem &amp; 'K 1300 R' on sides</x:v>
      </x:c>
      <x:c r="L38" s="82" t="str">
        <x:v>Black MC3</x:v>
      </x:c>
      <x:c r="M38" s="82" t="str">
        <x:v>Black / Metal</x:v>
      </x:c>
      <x:c r="N38" s="82" t="str"/>
      <x:c r="O38" s="82" t="str"/>
      <x:c r="P38" s="82" t="str">
        <x:v>Malaysia</x:v>
      </x:c>
      <x:c r="Q38" s="82" t="str"/>
      <x:c r="R38" s="82" t="str">
        <x:v>Mainline</x:v>
      </x:c>
      <x:c r="S38" s="82" t="str">
        <x:v>Incomum</x:v>
      </x:c>
      <x:c r="T38" s="82" t="str">
        <x:v>Lançado</x:v>
      </x:c>
      <x:c r="U38" s="82" t="str"/>
      <x:c r="V38" s="80" t="str">
        <x:v>Motocicleta</x:v>
      </x:c>
      <x:c r="W38" s="82" t="str">
        <x:v>https://hotwheels.fandom.com/wiki/BMW_K_1300_R</x:v>
      </x:c>
      <x:c r="X38" s="82" t="str">
        <x:v>https://hotwheels.fandom.com/wiki/BMW_K_1300_R</x:v>
      </x:c>
    </x:row>
    <x:row r="39">
      <x:c r="A39" s="80" t="str">
        <x:v>Não</x:v>
      </x:c>
      <x:c r="B39" s="80" t="str">
        <x:v>Fora da meta principal</x:v>
      </x:c>
      <x:c r="C39" s="81" t="n">
        <x:v>2013</x:v>
      </x:c>
      <x:c r="D39" s="80" t="str">
        <x:v>BMW K 1300 R</x:v>
      </x:c>
      <x:c r="E39" s="80" t="str">
        <x:v>BMW K 1300 R</x:v>
      </x:c>
      <x:c r="F39" s="82" t="str">
        <x:v>Dhoom 3</x:v>
      </x:c>
      <x:c r="G39" s="80" t="str"/>
      <x:c r="H39" s="80" t="str"/>
      <x:c r="I39" s="83" t="str">
        <x:v>BFD13</x:v>
      </x:c>
      <x:c r="J39" s="80" t="str"/>
      <x:c r="K39" s="82" t="str"/>
      <x:c r="L39" s="82" t="str"/>
      <x:c r="M39" s="82" t="str"/>
      <x:c r="N39" s="82" t="str"/>
      <x:c r="O39" s="82" t="str"/>
      <x:c r="P39" s="82" t="str"/>
      <x:c r="Q39" s="82" t="str"/>
      <x:c r="R39" s="82" t="str">
        <x:v>Outra linha</x:v>
      </x:c>
      <x:c r="S39" s="82" t="str">
        <x:v>Incomum</x:v>
      </x:c>
      <x:c r="T39" s="82" t="str">
        <x:v>Lançado</x:v>
      </x:c>
      <x:c r="U39" s="82" t="str"/>
      <x:c r="V39" s="80" t="str">
        <x:v>Motocicleta</x:v>
      </x:c>
      <x:c r="W39" s="82" t="str">
        <x:v>https://hotwheels.fandom.com/wiki/BMW</x:v>
      </x:c>
      <x:c r="X39" s="82" t="str">
        <x:v>https://hotwheels.fandom.com/wiki/BMW_K_1300_R</x:v>
      </x:c>
    </x:row>
    <x:row r="40">
      <x:c r="A40" s="80" t="str">
        <x:v>Não</x:v>
      </x:c>
      <x:c r="B40" s="80" t="str">
        <x:v>Fora da meta principal</x:v>
      </x:c>
      <x:c r="C40" s="81" t="n">
        <x:v>2013</x:v>
      </x:c>
      <x:c r="D40" s="80" t="str">
        <x:v>BMW K 1300 R</x:v>
      </x:c>
      <x:c r="E40" s="80" t="str">
        <x:v>BMW K 1300 R</x:v>
      </x:c>
      <x:c r="F40" s="82" t="str">
        <x:v>Dhoom 3</x:v>
      </x:c>
      <x:c r="G40" s="80" t="str"/>
      <x:c r="H40" s="80" t="str"/>
      <x:c r="I40" s="83" t="str">
        <x:v>CBX96</x:v>
      </x:c>
      <x:c r="J40" s="80" t="str"/>
      <x:c r="K40" s="82" t="str">
        <x:v>BMW emblem &amp; 'K 1300 R' on sides</x:v>
      </x:c>
      <x:c r="L40" s="82" t="str">
        <x:v>Black MC3</x:v>
      </x:c>
      <x:c r="M40" s="82" t="str">
        <x:v>Black / Metal</x:v>
      </x:c>
      <x:c r="N40" s="82" t="str"/>
      <x:c r="O40" s="82" t="str"/>
      <x:c r="P40" s="82" t="str">
        <x:v>Malaysia</x:v>
      </x:c>
      <x:c r="Q40" s="82" t="str"/>
      <x:c r="R40" s="82" t="str">
        <x:v>Outra linha</x:v>
      </x:c>
      <x:c r="S40" s="82" t="str">
        <x:v>Incomum</x:v>
      </x:c>
      <x:c r="T40" s="82" t="str">
        <x:v>Lançado</x:v>
      </x:c>
      <x:c r="U40" s="82" t="str"/>
      <x:c r="V40" s="80" t="str">
        <x:v>Motocicleta</x:v>
      </x:c>
      <x:c r="W40" s="82" t="str">
        <x:v>https://hotwheels.fandom.com/wiki/BMW_K_1300_R</x:v>
      </x:c>
      <x:c r="X40" s="82" t="str">
        <x:v>https://hotwheels.fandom.com/wiki/BMW_K_1300_R</x:v>
      </x:c>
    </x:row>
    <x:row r="41">
      <x:c r="A41" s="80" t="str">
        <x:v>Não</x:v>
      </x:c>
      <x:c r="B41" s="80" t="str">
        <x:v>Fora da meta principal</x:v>
      </x:c>
      <x:c r="C41" s="81" t="n">
        <x:v>2006</x:v>
      </x:c>
      <x:c r="D41" s="80" t="str">
        <x:v>AC Schnitzer ACS7</x:v>
      </x:c>
      <x:c r="E41" s="80" t="str">
        <x:v>AC Schnitzer ACS7</x:v>
      </x:c>
      <x:c r="F41" s="82" t="str">
        <x:v>Dropstars 1:50 Scale (Mix K) 1/6</x:v>
      </x:c>
      <x:c r="G41" s="80" t="str"/>
      <x:c r="H41" s="80" t="str"/>
      <x:c r="I41" s="83" t="str"/>
      <x:c r="J41" s="80" t="str">
        <x:v>Black</x:v>
      </x:c>
      <x:c r="K41" s="82" t="str">
        <x:v>details, Trim, BMW badge, Dropstars &amp; "760Li"</x:v>
      </x:c>
      <x:c r="L41" s="82" t="str">
        <x:v>RR</x:v>
      </x:c>
      <x:c r="M41" s="82" t="str">
        <x:v>Black / Plastic</x:v>
      </x:c>
      <x:c r="N41" s="82" t="str"/>
      <x:c r="O41" s="82" t="str">
        <x:v>Ivory</x:v>
      </x:c>
      <x:c r="P41" s="82" t="str">
        <x:v>China</x:v>
      </x:c>
      <x:c r="Q41" s="82" t="str"/>
      <x:c r="R41" s="82" t="str">
        <x:v>Outra linha</x:v>
      </x:c>
      <x:c r="S41" s="82" t="str">
        <x:v>Incomum</x:v>
      </x:c>
      <x:c r="T41" s="82" t="str">
        <x:v>Lançado</x:v>
      </x:c>
      <x:c r="U41" s="82" t="str"/>
      <x:c r="V41" s="80" t="str">
        <x:v>Escala 1:50</x:v>
      </x:c>
      <x:c r="W41" s="82" t="str">
        <x:v>https://hotwheels.fandom.com/wiki/AC_Schnitzer_ACS7</x:v>
      </x:c>
      <x:c r="X41" s="82" t="str">
        <x:v>https://hotwheels.fandom.com/wiki/AC_Schnitzer_ACS7</x:v>
      </x:c>
    </x:row>
    <x:row r="42">
      <x:c r="A42" s="80" t="str">
        <x:v>Não</x:v>
      </x:c>
      <x:c r="B42" s="80" t="str">
        <x:v>Fora da meta principal</x:v>
      </x:c>
      <x:c r="C42" s="81" t="n">
        <x:v>2006</x:v>
      </x:c>
      <x:c r="D42" s="80" t="str">
        <x:v>AC Schnitzer ACS7</x:v>
      </x:c>
      <x:c r="E42" s="80" t="str">
        <x:v>AC Schnitzer ACS7</x:v>
      </x:c>
      <x:c r="F42" s="82" t="str">
        <x:v>Dropstars 1:50 Scale (Mix L) 1/6</x:v>
      </x:c>
      <x:c r="G42" s="80" t="str"/>
      <x:c r="H42" s="80" t="str"/>
      <x:c r="I42" s="83" t="str"/>
      <x:c r="J42" s="80" t="str">
        <x:v>Blue</x:v>
      </x:c>
      <x:c r="K42" s="82" t="str"/>
      <x:c r="L42" s="82" t="str">
        <x:v>RR</x:v>
      </x:c>
      <x:c r="M42" s="82" t="str">
        <x:v>Black / Plastic</x:v>
      </x:c>
      <x:c r="N42" s="82" t="str">
        <x:v>Clear</x:v>
      </x:c>
      <x:c r="O42" s="82" t="str"/>
      <x:c r="P42" s="82" t="str">
        <x:v>China</x:v>
      </x:c>
      <x:c r="Q42" s="82" t="str"/>
      <x:c r="R42" s="82" t="str">
        <x:v>Outra linha</x:v>
      </x:c>
      <x:c r="S42" s="82" t="str">
        <x:v>Incomum</x:v>
      </x:c>
      <x:c r="T42" s="82" t="str">
        <x:v>Lançado</x:v>
      </x:c>
      <x:c r="U42" s="82" t="str"/>
      <x:c r="V42" s="80" t="str">
        <x:v>Escala 1:50</x:v>
      </x:c>
      <x:c r="W42" s="82" t="str">
        <x:v>https://hotwheels.fandom.com/wiki/AC_Schnitzer_ACS7</x:v>
      </x:c>
      <x:c r="X42" s="82" t="str">
        <x:v>https://hotwheels.fandom.com/wiki/AC_Schnitzer_ACS7</x:v>
      </x:c>
    </x:row>
    <x:row r="43">
      <x:c r="A43" s="80" t="str">
        <x:v>Não</x:v>
      </x:c>
      <x:c r="B43" s="80" t="str">
        <x:v>Fora da meta principal</x:v>
      </x:c>
      <x:c r="C43" s="81" t="n">
        <x:v>2005</x:v>
      </x:c>
      <x:c r="D43" s="80" t="str">
        <x:v>AC Schnitzer ACS7</x:v>
      </x:c>
      <x:c r="E43" s="80" t="str">
        <x:v>AC Schnitzer ACS7</x:v>
      </x:c>
      <x:c r="F43" s="82" t="str">
        <x:v>Dropstars</x:v>
      </x:c>
      <x:c r="G43" s="80" t="str"/>
      <x:c r="H43" s="80" t="str"/>
      <x:c r="I43" s="83" t="str">
        <x:v>G7063</x:v>
      </x:c>
      <x:c r="J43" s="80" t="str"/>
      <x:c r="K43" s="82" t="str"/>
      <x:c r="L43" s="82" t="str"/>
      <x:c r="M43" s="82" t="str"/>
      <x:c r="N43" s="82" t="str"/>
      <x:c r="O43" s="82" t="str"/>
      <x:c r="P43" s="82" t="str"/>
      <x:c r="Q43" s="82" t="str"/>
      <x:c r="R43" s="82" t="str">
        <x:v>Outra linha</x:v>
      </x:c>
      <x:c r="S43" s="82" t="str">
        <x:v>Incomum</x:v>
      </x:c>
      <x:c r="T43" s="82" t="str">
        <x:v>Lançado</x:v>
      </x:c>
      <x:c r="U43" s="82" t="str"/>
      <x:c r="V43" s="80" t="str">
        <x:v>Escala 1:50</x:v>
      </x:c>
      <x:c r="W43" s="82" t="str">
        <x:v>https://hotwheels.fandom.com/wiki/BMW</x:v>
      </x:c>
      <x:c r="X43" s="82" t="str">
        <x:v>https://hotwheels.fandom.com/wiki/AC_Schnitzer_ACS7</x:v>
      </x:c>
    </x:row>
    <x:row r="44">
      <x:c r="A44" s="80" t="str">
        <x:v>Não</x:v>
      </x:c>
      <x:c r="B44" s="80" t="str">
        <x:v>Fora da meta principal</x:v>
      </x:c>
      <x:c r="C44" s="81" t="n">
        <x:v>1997</x:v>
      </x:c>
      <x:c r="D44" s="80" t="str">
        <x:v>BMW M Roadster</x:v>
      </x:c>
      <x:c r="E44" s="80" t="str">
        <x:v>BMW M Roadster</x:v>
      </x:c>
      <x:c r="F44" s="82" t="str">
        <x:v>Planet Micro</x:v>
      </x:c>
      <x:c r="G44" s="80" t="str"/>
      <x:c r="H44" s="80" t="str"/>
      <x:c r="I44" s="83" t="str">
        <x:v>15438</x:v>
      </x:c>
      <x:c r="J44" s="80" t="str"/>
      <x:c r="K44" s="82" t="str"/>
      <x:c r="L44" s="82" t="str"/>
      <x:c r="M44" s="82" t="str"/>
      <x:c r="N44" s="82" t="str"/>
      <x:c r="O44" s="82" t="str"/>
      <x:c r="P44" s="82" t="str"/>
      <x:c r="Q44" s="82" t="str"/>
      <x:c r="R44" s="82" t="str">
        <x:v>Outra linha</x:v>
      </x:c>
      <x:c r="S44" s="82" t="str">
        <x:v>Rara</x:v>
      </x:c>
      <x:c r="T44" s="82" t="str">
        <x:v>Lançado</x:v>
      </x:c>
      <x:c r="U44" s="82" t="str"/>
      <x:c r="V44" s="80" t="str">
        <x:v>Micro</x:v>
      </x:c>
      <x:c r="W44" s="82" t="str">
        <x:v>https://hotwheels.fandom.com/wiki/BMW</x:v>
      </x:c>
      <x:c r="X44" s="82" t="str"/>
    </x:row>
    <x:row r="45">
      <x:c r="A45" s="80" t="str">
        <x:v>Não</x:v>
      </x:c>
      <x:c r="B45" s="80" t="str">
        <x:v>Fora da meta principal</x:v>
      </x:c>
      <x:c r="C45" s="81" t="n">
        <x:v>1996</x:v>
      </x:c>
      <x:c r="D45" s="80" t="str">
        <x:v>BMW 850i (1:43 Turbos Collection)</x:v>
      </x:c>
      <x:c r="E45" s="80" t="str">
        <x:v>BMW 850i</x:v>
      </x:c>
      <x:c r="F45" s="82" t="str">
        <x:v>1:43 Turbos Collection</x:v>
      </x:c>
      <x:c r="G45" s="80" t="str"/>
      <x:c r="H45" s="80" t="str"/>
      <x:c r="I45" s="83" t="str">
        <x:v>94210</x:v>
      </x:c>
      <x:c r="J45" s="80" t="str">
        <x:v>Blue</x:v>
      </x:c>
      <x:c r="K45" s="82" t="str">
        <x:v>BMW logo</x:v>
      </x:c>
      <x:c r="L45" s="82" t="str">
        <x:v>Corgi6</x:v>
      </x:c>
      <x:c r="M45" s="82" t="str">
        <x:v>Black / / / Plastic</x:v>
      </x:c>
      <x:c r="N45" s="82" t="str">
        <x:v>Clear</x:v>
      </x:c>
      <x:c r="O45" s="82" t="str">
        <x:v>Black</x:v>
      </x:c>
      <x:c r="P45" s="82" t="str">
        <x:v>China</x:v>
      </x:c>
      <x:c r="Q45" s="82" t="str"/>
      <x:c r="R45" s="82" t="str">
        <x:v>Outra linha</x:v>
      </x:c>
      <x:c r="S45" s="82" t="str">
        <x:v>Rara</x:v>
      </x:c>
      <x:c r="T45" s="82" t="str">
        <x:v>Lançado</x:v>
      </x:c>
      <x:c r="U45" s="82" t="str">
        <x:v>Corgi logo on base</x:v>
      </x:c>
      <x:c r="V45" s="80" t="str">
        <x:v>Escala 1:43</x:v>
      </x:c>
      <x:c r="W45" s="82" t="str">
        <x:v>https://hotwheels.fandom.com/wiki/BMW_850i_(1:43_Turbos_Collection)</x:v>
      </x:c>
      <x:c r="X45" s="82" t="str">
        <x:v>https://hotwheels.fandom.com/wiki/BMW_850i_(1:43_Turbos_Collection)</x:v>
      </x:c>
    </x:row>
    <x:row r="46">
      <x:c r="A46" s="80" t="str">
        <x:v>Não</x:v>
      </x:c>
      <x:c r="B46" s="80" t="str">
        <x:v>Fora da meta principal</x:v>
      </x:c>
      <x:c r="C46" s="81" t="n">
        <x:v>1988</x:v>
      </x:c>
      <x:c r="D46" s="80" t="str">
        <x:v>BMW M3 (Action Racers)</x:v>
      </x:c>
      <x:c r="E46" s="80" t="str">
        <x:v>BMW M3</x:v>
      </x:c>
      <x:c r="F46" s="82" t="str">
        <x:v>Action Racers</x:v>
      </x:c>
      <x:c r="G46" s="80" t="str"/>
      <x:c r="H46" s="80" t="str"/>
      <x:c r="I46" s="83" t="str">
        <x:v>2415</x:v>
      </x:c>
      <x:c r="J46" s="80" t="str"/>
      <x:c r="K46" s="82" t="str"/>
      <x:c r="L46" s="82" t="str"/>
      <x:c r="M46" s="82" t="str"/>
      <x:c r="N46" s="82" t="str"/>
      <x:c r="O46" s="82" t="str"/>
      <x:c r="P46" s="82" t="str"/>
      <x:c r="Q46" s="82" t="str"/>
      <x:c r="R46" s="82" t="str">
        <x:v>Outra linha</x:v>
      </x:c>
      <x:c r="S46" s="82" t="str">
        <x:v>Rara</x:v>
      </x:c>
      <x:c r="T46" s="82" t="str">
        <x:v>Lançado</x:v>
      </x:c>
      <x:c r="U46" s="82" t="str"/>
      <x:c r="V46" s="80" t="str">
        <x:v>Action Racers</x:v>
      </x:c>
      <x:c r="W46" s="82" t="str">
        <x:v>https://hotwheels.fandom.com/wiki/BMW</x:v>
      </x:c>
      <x:c r="X46" s="82" t="str">
        <x:v>https://hotwheels.fandom.com/wiki/BMW_M3_(Action_Racers)</x:v>
      </x:c>
    </x:row>
    <x:row r="47">
      <x:c r="A47" s="80" t="str">
        <x:v>Não</x:v>
      </x:c>
      <x:c r="B47" s="80" t="str">
        <x:v>Fora da meta principal</x:v>
      </x:c>
      <x:c r="C47" s="81" t="str"/>
      <x:c r="D47" s="80" t="str">
        <x:v>Bike 4 (BMW)</x:v>
      </x:c>
      <x:c r="E47" s="80" t="str">
        <x:v>Bike 4 (BMW)</x:v>
      </x:c>
      <x:c r="F47" s="82" t="str">
        <x:v>Motorcycles/Action Cycles</x:v>
      </x:c>
      <x:c r="G47" s="80" t="str"/>
      <x:c r="H47" s="80" t="str"/>
      <x:c r="I47" s="83" t="str">
        <x:v>2455</x:v>
      </x:c>
      <x:c r="J47" s="80" t="str"/>
      <x:c r="K47" s="82" t="str"/>
      <x:c r="L47" s="82" t="str"/>
      <x:c r="M47" s="82" t="str"/>
      <x:c r="N47" s="82" t="str"/>
      <x:c r="O47" s="82" t="str"/>
      <x:c r="P47" s="82" t="str"/>
      <x:c r="Q47" s="82" t="str"/>
      <x:c r="R47" s="82" t="str">
        <x:v>Outra linha</x:v>
      </x:c>
      <x:c r="S47" s="82" t="str">
        <x:v>Comum / atual</x:v>
      </x:c>
      <x:c r="T47" s="82" t="str">
        <x:v>Ano não documentado</x:v>
      </x:c>
      <x:c r="U47" s="82" t="str"/>
      <x:c r="V47" s="80" t="str">
        <x:v>Motocicleta</x:v>
      </x:c>
      <x:c r="W47" s="82" t="str">
        <x:v>https://hotwheels.fandom.com/wiki/BMW</x:v>
      </x:c>
      <x:c r="X47" s="82" t="str"/>
    </x:row>
    <x:row r="48">
      <x:c r="A48" s="80" t="str">
        <x:v>Não</x:v>
      </x:c>
      <x:c r="B48" s="80" t="str">
        <x:v>Fora da meta principal</x:v>
      </x:c>
      <x:c r="C48" s="81" t="str"/>
      <x:c r="D48" s="80" t="str">
        <x:v>BMW M3 (Action Racers)</x:v>
      </x:c>
      <x:c r="E48" s="80" t="str">
        <x:v>BMW M3</x:v>
      </x:c>
      <x:c r="F48" s="82" t="str">
        <x:v>Action Racers</x:v>
      </x:c>
      <x:c r="G48" s="80" t="str"/>
      <x:c r="H48" s="80" t="str"/>
      <x:c r="I48" s="83" t="str"/>
      <x:c r="J48" s="80" t="str">
        <x:v>Jackfruit</x:v>
      </x:c>
      <x:c r="K48" s="82" t="str"/>
      <x:c r="L48" s="82" t="str"/>
      <x:c r="M48" s="82" t="str">
        <x:v>Black / / / Plastic</x:v>
      </x:c>
      <x:c r="N48" s="82" t="str">
        <x:v>Black</x:v>
      </x:c>
      <x:c r="O48" s="82" t="str"/>
      <x:c r="P48" s="82" t="str"/>
      <x:c r="Q48" s="82" t="str"/>
      <x:c r="R48" s="82" t="str">
        <x:v>Outra linha</x:v>
      </x:c>
      <x:c r="S48" s="82" t="str">
        <x:v>Comum / atual</x:v>
      </x:c>
      <x:c r="T48" s="82" t="str">
        <x:v>Ano não documentado</x:v>
      </x:c>
      <x:c r="U48" s="82" t="str"/>
      <x:c r="V48" s="80" t="str">
        <x:v>Action Racers</x:v>
      </x:c>
      <x:c r="W48" s="82" t="str">
        <x:v>https://hotwheels.fandom.com/wiki/BMW_M3_(Action_Racers)</x:v>
      </x:c>
      <x:c r="X48" s="82" t="str">
        <x:v>https://hotwheels.fandom.com/wiki/BMW_M3_(Action_Racers)</x:v>
      </x:c>
    </x:row>
    <x:row r="49">
      <x:c r="A49" s="80" t="str">
        <x:v>Não</x:v>
      </x:c>
      <x:c r="B49" s="80" t="str">
        <x:v>Fora da meta principal</x:v>
      </x:c>
      <x:c r="C49" s="81" t="str"/>
      <x:c r="D49" s="80" t="str">
        <x:v>BMW M3 (Action Racers)</x:v>
      </x:c>
      <x:c r="E49" s="80" t="str">
        <x:v>BMW M3</x:v>
      </x:c>
      <x:c r="F49" s="82" t="str">
        <x:v>Giants Action Racers</x:v>
      </x:c>
      <x:c r="G49" s="80" t="str"/>
      <x:c r="H49" s="80" t="str"/>
      <x:c r="I49" s="83" t="str">
        <x:v>No. 2415</x:v>
      </x:c>
      <x:c r="J49" s="80" t="str">
        <x:v>Red</x:v>
      </x:c>
      <x:c r="K49" s="82" t="str"/>
      <x:c r="L49" s="82" t="str"/>
      <x:c r="M49" s="82" t="str">
        <x:v>Black / / / Plastic</x:v>
      </x:c>
      <x:c r="N49" s="82" t="str"/>
      <x:c r="O49" s="82" t="str"/>
      <x:c r="P49" s="82" t="str">
        <x:v>China</x:v>
      </x:c>
      <x:c r="Q49" s="82" t="str"/>
      <x:c r="R49" s="82" t="str">
        <x:v>Outra linha</x:v>
      </x:c>
      <x:c r="S49" s="82" t="str">
        <x:v>Comum / atual</x:v>
      </x:c>
      <x:c r="T49" s="82" t="str">
        <x:v>Ano não documentado</x:v>
      </x:c>
      <x:c r="U49" s="82" t="str"/>
      <x:c r="V49" s="80" t="str">
        <x:v>Action Racers</x:v>
      </x:c>
      <x:c r="W49" s="82" t="str">
        <x:v>https://hotwheels.fandom.com/wiki/BMW_M3_(Action_Racers)</x:v>
      </x:c>
      <x:c r="X49" s="82" t="str">
        <x:v>https://hotwheels.fandom.com/wiki/BMW_M3_(Action_Racers)</x:v>
      </x:c>
    </x:row>
    <x:row r="50">
      <x:c r="A50" s="80" t="str">
        <x:v>Não</x:v>
      </x:c>
      <x:c r="B50" s="80" t="str">
        <x:v>Fora da meta principal</x:v>
      </x:c>
      <x:c r="C50" s="81" t="str"/>
      <x:c r="D50" s="80" t="str">
        <x:v>BMW M3 (Action Racers)</x:v>
      </x:c>
      <x:c r="E50" s="80" t="str">
        <x:v>BMW M3</x:v>
      </x:c>
      <x:c r="F50" s="82" t="str">
        <x:v>Neon Bright Action Racers</x:v>
      </x:c>
      <x:c r="G50" s="80" t="str"/>
      <x:c r="H50" s="80" t="str"/>
      <x:c r="I50" s="83" t="str"/>
      <x:c r="J50" s="80" t="str">
        <x:v>Neon White, lime &amp; green</x:v>
      </x:c>
      <x:c r="K50" s="82" t="str">
        <x:v>Black, Blue &amp; Yellow graphics on sides and hood.</x:v>
      </x:c>
      <x:c r="L50" s="82" t="str"/>
      <x:c r="M50" s="82" t="str">
        <x:v>Black / / / Plastic</x:v>
      </x:c>
      <x:c r="N50" s="82" t="str">
        <x:v>Black solid</x:v>
      </x:c>
      <x:c r="O50" s="82" t="str">
        <x:v>N/A</x:v>
      </x:c>
      <x:c r="P50" s="82" t="str">
        <x:v>China</x:v>
      </x:c>
      <x:c r="Q50" s="82" t="str"/>
      <x:c r="R50" s="82" t="str">
        <x:v>Outra linha</x:v>
      </x:c>
      <x:c r="S50" s="82" t="str">
        <x:v>Comum / atual</x:v>
      </x:c>
      <x:c r="T50" s="82" t="str">
        <x:v>Ano não documentado</x:v>
      </x:c>
      <x:c r="U50" s="82" t="str">
        <x:v>from a multi pack card , cut-lines on back of card ONLY 1 of the cars has a TOY Number or barcode</x:v>
      </x:c>
      <x:c r="V50" s="80" t="str">
        <x:v>Action Racers</x:v>
      </x:c>
      <x:c r="W50" s="82" t="str">
        <x:v>https://hotwheels.fandom.com/wiki/BMW_M3_(Action_Racers)</x:v>
      </x:c>
      <x:c r="X50" s="82" t="str">
        <x:v>https://hotwheels.fandom.com/wiki/BMW_M3_(Action_Racers)</x:v>
      </x:c>
    </x:row>
    <x:row r="51">
      <x:c r="A51" s="80" t="str">
        <x:v>Não</x:v>
      </x:c>
      <x:c r="B51" s="80" t="str">
        <x:v>2 — Completar aos poucos</x:v>
      </x:c>
      <x:c r="C51" s="81" t="n">
        <x:v>1979</x:v>
      </x:c>
      <x:c r="D51" s="80" t="str">
        <x:v>Ferrari 208 Turbo</x:v>
      </x:c>
      <x:c r="E51" s="80" t="str">
        <x:v>Ferrari 208 Turbo</x:v>
      </x:c>
      <x:c r="F51" s="82" t="str">
        <x:v>Super Hot Wheels</x:v>
      </x:c>
      <x:c r="G51" s="80" t="str"/>
      <x:c r="H51" s="80" t="str"/>
      <x:c r="I51" s="83" t="str">
        <x:v>6910</x:v>
      </x:c>
      <x:c r="J51" s="80" t="str"/>
      <x:c r="K51" s="82" t="str"/>
      <x:c r="L51" s="82" t="str"/>
      <x:c r="M51" s="82" t="str"/>
      <x:c r="N51" s="82" t="str"/>
      <x:c r="O51" s="82" t="str"/>
      <x:c r="P51" s="82" t="str"/>
      <x:c r="Q51" s="82" t="str"/>
      <x:c r="R51" s="82" t="str">
        <x:v>Outra linha</x:v>
      </x:c>
      <x:c r="S51" s="82" t="str">
        <x:v>Rara</x:v>
      </x:c>
      <x:c r="T51" s="82" t="str">
        <x:v>Lançado</x:v>
      </x:c>
      <x:c r="U51" s="82" t="str"/>
      <x:c r="V51" s="80" t="str">
        <x:v>Linha vintage / escala variável</x:v>
      </x:c>
      <x:c r="W51" s="82" t="str">
        <x:v>https://hotwheels.fandom.com/wiki/Ferrari</x:v>
      </x:c>
      <x:c r="X51" s="82" t="str">
        <x:v>https://hotwheels.fandom.com/wiki/Ferrari_208_Turbo</x:v>
      </x:c>
    </x:row>
    <x:row r="52">
      <x:c r="A52" s="80" t="str">
        <x:v>Não</x:v>
      </x:c>
      <x:c r="B52" s="80" t="str">
        <x:v>2 — Completar aos poucos</x:v>
      </x:c>
      <x:c r="C52" s="81" t="n">
        <x:v>1972</x:v>
      </x:c>
      <x:c r="D52" s="80" t="str">
        <x:v>Ferrari 512S Pininfarina</x:v>
      </x:c>
      <x:c r="E52" s="80" t="str">
        <x:v>Ferrari 512S Pininfarina</x:v>
      </x:c>
      <x:c r="F52" s="82" t="str">
        <x:v>Gran Toros</x:v>
      </x:c>
      <x:c r="G52" s="80" t="str"/>
      <x:c r="H52" s="80" t="str"/>
      <x:c r="I52" s="83" t="str">
        <x:v>6621</x:v>
      </x:c>
      <x:c r="J52" s="80" t="str"/>
      <x:c r="K52" s="82" t="str"/>
      <x:c r="L52" s="82" t="str"/>
      <x:c r="M52" s="82" t="str"/>
      <x:c r="N52" s="82" t="str"/>
      <x:c r="O52" s="82" t="str"/>
      <x:c r="P52" s="82" t="str"/>
      <x:c r="Q52" s="82" t="str"/>
      <x:c r="R52" s="82" t="str">
        <x:v>Outra linha</x:v>
      </x:c>
      <x:c r="S52" s="82" t="str">
        <x:v>Rara</x:v>
      </x:c>
      <x:c r="T52" s="82" t="str">
        <x:v>Lançado</x:v>
      </x:c>
      <x:c r="U52" s="82" t="str"/>
      <x:c r="V52" s="80" t="str">
        <x:v>Linha vintage / escala variável</x:v>
      </x:c>
      <x:c r="W52" s="82" t="str">
        <x:v>https://hotwheels.fandom.com/wiki/Ferrari</x:v>
      </x:c>
      <x:c r="X52" s="82" t="str">
        <x:v>https://hotwheels.fandom.com/wiki/Ferrari_512S_Pininfarina</x:v>
      </x:c>
    </x:row>
    <x:row r="53">
      <x:c r="A53" s="80" t="str">
        <x:v>Não</x:v>
      </x:c>
      <x:c r="B53" s="80" t="str">
        <x:v>2 — Completar aos poucos</x:v>
      </x:c>
      <x:c r="C53" s="81" t="n">
        <x:v>1971</x:v>
      </x:c>
      <x:c r="D53" s="80" t="str">
        <x:v>Ferrari Can-Am</x:v>
      </x:c>
      <x:c r="E53" s="80" t="str">
        <x:v>Ferrari Can-Am</x:v>
      </x:c>
      <x:c r="F53" s="82" t="str">
        <x:v>Sizzlers</x:v>
      </x:c>
      <x:c r="G53" s="80" t="str"/>
      <x:c r="H53" s="80" t="str"/>
      <x:c r="I53" s="83" t="str">
        <x:v>6538</x:v>
      </x:c>
      <x:c r="J53" s="80" t="str">
        <x:v>Red</x:v>
      </x:c>
      <x:c r="K53" s="82" t="str"/>
      <x:c r="L53" s="82" t="str">
        <x:v>RCRL</x:v>
      </x:c>
      <x:c r="M53" s="82" t="str">
        <x:v>Black / Plastic</x:v>
      </x:c>
      <x:c r="N53" s="82" t="str">
        <x:v>Clear</x:v>
      </x:c>
      <x:c r="O53" s="82" t="str">
        <x:v>White</x:v>
      </x:c>
      <x:c r="P53" s="82" t="str">
        <x:v>Mexico</x:v>
      </x:c>
      <x:c r="Q53" s="82" t="str"/>
      <x:c r="R53" s="82" t="str">
        <x:v>Outra linha</x:v>
      </x:c>
      <x:c r="S53" s="82" t="str">
        <x:v>Rara</x:v>
      </x:c>
      <x:c r="T53" s="82" t="str">
        <x:v>Lançado</x:v>
      </x:c>
      <x:c r="U53" s="82" t="str"/>
      <x:c r="V53" s="80" t="str">
        <x:v>Sizzlers/Scorchers</x:v>
      </x:c>
      <x:c r="W53" s="82" t="str">
        <x:v>https://hotwheels.fandom.com/wiki/Ferrari_Can-Am</x:v>
      </x:c>
      <x:c r="X53" s="82" t="str">
        <x:v>https://hotwheels.fandom.com/wiki/Ferrari_Can-Am</x:v>
      </x:c>
    </x:row>
    <x:row r="54">
      <x:c r="A54" s="80" t="str">
        <x:v>Não</x:v>
      </x:c>
      <x:c r="B54" s="80" t="str">
        <x:v>2 — Completar aos poucos</x:v>
      </x:c>
      <x:c r="C54" s="81" t="n">
        <x:v>1971</x:v>
      </x:c>
      <x:c r="D54" s="80" t="str">
        <x:v>Ferrari Can-Am</x:v>
      </x:c>
      <x:c r="E54" s="80" t="str">
        <x:v>Ferrari Can-Am</x:v>
      </x:c>
      <x:c r="F54" s="82" t="str">
        <x:v>Sizzlers</x:v>
      </x:c>
      <x:c r="G54" s="80" t="str"/>
      <x:c r="H54" s="80" t="str"/>
      <x:c r="I54" s="83" t="str">
        <x:v>6538</x:v>
      </x:c>
      <x:c r="J54" s="80" t="str">
        <x:v>Spectraflame red</x:v>
      </x:c>
      <x:c r="K54" s="82" t="str">
        <x:v>"21" stickers on side and hood</x:v>
      </x:c>
      <x:c r="L54" s="82" t="str">
        <x:v>RL</x:v>
      </x:c>
      <x:c r="M54" s="82" t="str">
        <x:v>Black / Plastic</x:v>
      </x:c>
      <x:c r="N54" s="82" t="str">
        <x:v>Clear</x:v>
      </x:c>
      <x:c r="O54" s="82" t="str">
        <x:v>Black</x:v>
      </x:c>
      <x:c r="P54" s="82" t="str">
        <x:v>US</x:v>
      </x:c>
      <x:c r="Q54" s="82" t="str"/>
      <x:c r="R54" s="82" t="str">
        <x:v>Outra linha</x:v>
      </x:c>
      <x:c r="S54" s="82" t="str">
        <x:v>Rara</x:v>
      </x:c>
      <x:c r="T54" s="82" t="str">
        <x:v>Lançado</x:v>
      </x:c>
      <x:c r="U54" s="82" t="str"/>
      <x:c r="V54" s="80" t="str">
        <x:v>Sizzlers/Scorchers</x:v>
      </x:c>
      <x:c r="W54" s="82" t="str">
        <x:v>https://hotwheels.fandom.com/wiki/Ferrari_Can-Am</x:v>
      </x:c>
      <x:c r="X54" s="82" t="str">
        <x:v>https://hotwheels.fandom.com/wiki/Ferrari_Can-Am</x:v>
      </x:c>
    </x:row>
    <x:row r="55">
      <x:c r="A55" s="80" t="str">
        <x:v>Não</x:v>
      </x:c>
      <x:c r="B55" s="80" t="str">
        <x:v>2 — Completar aos poucos</x:v>
      </x:c>
      <x:c r="C55" s="81" t="n">
        <x:v>1970</x:v>
      </x:c>
      <x:c r="D55" s="80" t="str">
        <x:v>Ferrari 512S Pininfarina</x:v>
      </x:c>
      <x:c r="E55" s="80" t="str">
        <x:v>Ferrari 512S Pininfarina</x:v>
      </x:c>
      <x:c r="F55" s="82" t="str">
        <x:v>Gran Toros</x:v>
      </x:c>
      <x:c r="G55" s="80" t="str"/>
      <x:c r="H55" s="80" t="str"/>
      <x:c r="I55" s="83" t="str">
        <x:v>6621</x:v>
      </x:c>
      <x:c r="J55" s="80" t="str">
        <x:v>Blue</x:v>
      </x:c>
      <x:c r="K55" s="82" t="str">
        <x:v>Ferrari badging, red taillamp cluster</x:v>
      </x:c>
      <x:c r="L55" s="82" t="str">
        <x:v>GT5SP</x:v>
      </x:c>
      <x:c r="M55" s="82" t="str"/>
      <x:c r="N55" s="82" t="str">
        <x:v>Clear</x:v>
      </x:c>
      <x:c r="O55" s="82" t="str">
        <x:v>Black</x:v>
      </x:c>
      <x:c r="P55" s="82" t="str">
        <x:v>Italy</x:v>
      </x:c>
      <x:c r="Q55" s="82" t="str"/>
      <x:c r="R55" s="82" t="str">
        <x:v>Outra linha</x:v>
      </x:c>
      <x:c r="S55" s="82" t="str">
        <x:v>Rara</x:v>
      </x:c>
      <x:c r="T55" s="82" t="str">
        <x:v>Lançado</x:v>
      </x:c>
      <x:c r="U55" s="82" t="str"/>
      <x:c r="V55" s="80" t="str">
        <x:v>Linha vintage / escala variável</x:v>
      </x:c>
      <x:c r="W55" s="82" t="str">
        <x:v>https://hotwheels.fandom.com/wiki/Ferrari_512S_Pininfarina</x:v>
      </x:c>
      <x:c r="X55" s="82" t="str">
        <x:v>https://hotwheels.fandom.com/wiki/Ferrari_512S_Pininfarina</x:v>
      </x:c>
    </x:row>
    <x:row r="56">
      <x:c r="A56" s="80" t="str">
        <x:v>Não</x:v>
      </x:c>
      <x:c r="B56" s="80" t="str">
        <x:v>2 — Completar aos poucos</x:v>
      </x:c>
      <x:c r="C56" s="81" t="n">
        <x:v>1970</x:v>
      </x:c>
      <x:c r="D56" s="80" t="str">
        <x:v>Ferrari 512S Pininfarina</x:v>
      </x:c>
      <x:c r="E56" s="80" t="str">
        <x:v>Ferrari 512S Pininfarina</x:v>
      </x:c>
      <x:c r="F56" s="82" t="str">
        <x:v>Gran Toros</x:v>
      </x:c>
      <x:c r="G56" s="80" t="str"/>
      <x:c r="H56" s="80" t="str"/>
      <x:c r="I56" s="83" t="str">
        <x:v>6621</x:v>
      </x:c>
      <x:c r="J56" s="80" t="str">
        <x:v>Green</x:v>
      </x:c>
      <x:c r="K56" s="82" t="str">
        <x:v>Ferrari badging, red taillamp cluster</x:v>
      </x:c>
      <x:c r="L56" s="82" t="str">
        <x:v>GT5SP</x:v>
      </x:c>
      <x:c r="M56" s="82" t="str"/>
      <x:c r="N56" s="82" t="str">
        <x:v>Clear</x:v>
      </x:c>
      <x:c r="O56" s="82" t="str">
        <x:v>Black</x:v>
      </x:c>
      <x:c r="P56" s="82" t="str">
        <x:v>Italy</x:v>
      </x:c>
      <x:c r="Q56" s="82" t="str"/>
      <x:c r="R56" s="82" t="str">
        <x:v>Outra linha</x:v>
      </x:c>
      <x:c r="S56" s="82" t="str">
        <x:v>Rara</x:v>
      </x:c>
      <x:c r="T56" s="82" t="str">
        <x:v>Lançado</x:v>
      </x:c>
      <x:c r="U56" s="82" t="str"/>
      <x:c r="V56" s="80" t="str">
        <x:v>Linha vintage / escala variável</x:v>
      </x:c>
      <x:c r="W56" s="82" t="str">
        <x:v>https://hotwheels.fandom.com/wiki/Ferrari_512S_Pininfarina</x:v>
      </x:c>
      <x:c r="X56" s="82" t="str">
        <x:v>https://hotwheels.fandom.com/wiki/Ferrari_512S_Pininfarina</x:v>
      </x:c>
    </x:row>
    <x:row r="57">
      <x:c r="A57" s="80" t="str">
        <x:v>Não</x:v>
      </x:c>
      <x:c r="B57" s="80" t="str">
        <x:v>2 — Completar aos poucos</x:v>
      </x:c>
      <x:c r="C57" s="81" t="n">
        <x:v>1970</x:v>
      </x:c>
      <x:c r="D57" s="80" t="str">
        <x:v>Ferrari 512S Pininfarina</x:v>
      </x:c>
      <x:c r="E57" s="80" t="str">
        <x:v>Ferrari 512S Pininfarina</x:v>
      </x:c>
      <x:c r="F57" s="82" t="str">
        <x:v>Gran Toros</x:v>
      </x:c>
      <x:c r="G57" s="80" t="str"/>
      <x:c r="H57" s="80" t="str"/>
      <x:c r="I57" s="83" t="str">
        <x:v>6640</x:v>
      </x:c>
      <x:c r="J57" s="80" t="str">
        <x:v>Green</x:v>
      </x:c>
      <x:c r="K57" s="82" t="str">
        <x:v>Ferrari badging, red taillamp cluster</x:v>
      </x:c>
      <x:c r="L57" s="82" t="str">
        <x:v>GT5SP</x:v>
      </x:c>
      <x:c r="M57" s="82" t="str"/>
      <x:c r="N57" s="82" t="str">
        <x:v>Clear</x:v>
      </x:c>
      <x:c r="O57" s="82" t="str">
        <x:v>Black</x:v>
      </x:c>
      <x:c r="P57" s="82" t="str">
        <x:v>Italy</x:v>
      </x:c>
      <x:c r="Q57" s="82" t="str"/>
      <x:c r="R57" s="82" t="str">
        <x:v>Outra linha</x:v>
      </x:c>
      <x:c r="S57" s="82" t="str">
        <x:v>Rara</x:v>
      </x:c>
      <x:c r="T57" s="82" t="str">
        <x:v>Lançado</x:v>
      </x:c>
      <x:c r="U57" s="82" t="str">
        <x:v>Knockdown kit, very hard to find</x:v>
      </x:c>
      <x:c r="V57" s="80" t="str">
        <x:v>Linha vintage / escala variável</x:v>
      </x:c>
      <x:c r="W57" s="82" t="str">
        <x:v>https://hotwheels.fandom.com/wiki/Ferrari_512S_Pininfarina</x:v>
      </x:c>
      <x:c r="X57" s="82" t="str">
        <x:v>https://hotwheels.fandom.com/wiki/Ferrari_512S_Pininfarina</x:v>
      </x:c>
    </x:row>
    <x:row r="58">
      <x:c r="A58" s="80" t="str">
        <x:v>Não</x:v>
      </x:c>
      <x:c r="B58" s="80" t="str">
        <x:v>2 — Completar aos poucos</x:v>
      </x:c>
      <x:c r="C58" s="81" t="n">
        <x:v>1970</x:v>
      </x:c>
      <x:c r="D58" s="80" t="str">
        <x:v>Ferrari 512S Pininfarina</x:v>
      </x:c>
      <x:c r="E58" s="80" t="str">
        <x:v>Ferrari 512S Pininfarina</x:v>
      </x:c>
      <x:c r="F58" s="82" t="str">
        <x:v>Gran Toros</x:v>
      </x:c>
      <x:c r="G58" s="80" t="str"/>
      <x:c r="H58" s="80" t="str"/>
      <x:c r="I58" s="83" t="str">
        <x:v>6621</x:v>
      </x:c>
      <x:c r="J58" s="80" t="str">
        <x:v>Yellow</x:v>
      </x:c>
      <x:c r="K58" s="82" t="str">
        <x:v>Ferrari badging, red taillamp cluster</x:v>
      </x:c>
      <x:c r="L58" s="82" t="str">
        <x:v>GT5SP</x:v>
      </x:c>
      <x:c r="M58" s="82" t="str"/>
      <x:c r="N58" s="82" t="str">
        <x:v>Clear</x:v>
      </x:c>
      <x:c r="O58" s="82" t="str">
        <x:v>Black</x:v>
      </x:c>
      <x:c r="P58" s="82" t="str">
        <x:v>Italy</x:v>
      </x:c>
      <x:c r="Q58" s="82" t="str"/>
      <x:c r="R58" s="82" t="str">
        <x:v>Outra linha</x:v>
      </x:c>
      <x:c r="S58" s="82" t="str">
        <x:v>Rara</x:v>
      </x:c>
      <x:c r="T58" s="82" t="str">
        <x:v>Lançado</x:v>
      </x:c>
      <x:c r="U58" s="82" t="str"/>
      <x:c r="V58" s="80" t="str">
        <x:v>Linha vintage / escala variável</x:v>
      </x:c>
      <x:c r="W58" s="82" t="str">
        <x:v>https://hotwheels.fandom.com/wiki/Ferrari_512S_Pininfarina</x:v>
      </x:c>
      <x:c r="X58" s="82" t="str">
        <x:v>https://hotwheels.fandom.com/wiki/Ferrari_512S_Pininfarina</x:v>
      </x:c>
    </x:row>
    <x:row r="59">
      <x:c r="A59" s="80" t="str">
        <x:v>Não</x:v>
      </x:c>
      <x:c r="B59" s="80" t="str">
        <x:v>2 — Completar aos poucos</x:v>
      </x:c>
      <x:c r="C59" s="81" t="n">
        <x:v>1970</x:v>
      </x:c>
      <x:c r="D59" s="80" t="str">
        <x:v>Ferrari Can-Am (Gran Toros)</x:v>
      </x:c>
      <x:c r="E59" s="80" t="str">
        <x:v>Ferrari Can-Am</x:v>
      </x:c>
      <x:c r="F59" s="82" t="str">
        <x:v>Gran Toros</x:v>
      </x:c>
      <x:c r="G59" s="80" t="str"/>
      <x:c r="H59" s="80" t="str"/>
      <x:c r="I59" s="83" t="str">
        <x:v>6601</x:v>
      </x:c>
      <x:c r="J59" s="80" t="str">
        <x:v>Blu Tour de France</x:v>
      </x:c>
      <x:c r="K59" s="82" t="str">
        <x:v>Red taillights, "8" sticker on hood, "CAN-AM" stickers on sides</x:v>
      </x:c>
      <x:c r="L59" s="82" t="str">
        <x:v>GT5SP</x:v>
      </x:c>
      <x:c r="M59" s="82" t="str">
        <x:v>Unpainted / / / Metal</x:v>
      </x:c>
      <x:c r="N59" s="82" t="str">
        <x:v>None</x:v>
      </x:c>
      <x:c r="O59" s="82" t="str">
        <x:v>Chrome</x:v>
      </x:c>
      <x:c r="P59" s="82" t="str">
        <x:v>Italy</x:v>
      </x:c>
      <x:c r="Q59" s="82" t="str"/>
      <x:c r="R59" s="82" t="str">
        <x:v>Outra linha</x:v>
      </x:c>
      <x:c r="S59" s="82" t="str">
        <x:v>Rara</x:v>
      </x:c>
      <x:c r="T59" s="82" t="str">
        <x:v>Lançado</x:v>
      </x:c>
      <x:c r="U59" s="82" t="str"/>
      <x:c r="V59" s="80" t="str">
        <x:v>Linha vintage / escala variável</x:v>
      </x:c>
      <x:c r="W59" s="82" t="str">
        <x:v>https://hotwheels.fandom.com/wiki/Ferrari_Can-Am_(Gran_Toros)</x:v>
      </x:c>
      <x:c r="X59" s="82" t="str">
        <x:v>https://hotwheels.fandom.com/wiki/Ferrari_Can-Am_(Gran_Toros)</x:v>
      </x:c>
    </x:row>
    <x:row r="60">
      <x:c r="A60" s="80" t="str">
        <x:v>Não</x:v>
      </x:c>
      <x:c r="B60" s="80" t="str">
        <x:v>2 — Completar aos poucos</x:v>
      </x:c>
      <x:c r="C60" s="81" t="n">
        <x:v>1970</x:v>
      </x:c>
      <x:c r="D60" s="80" t="str">
        <x:v>Ferrari Can-Am (Gran Toros)</x:v>
      </x:c>
      <x:c r="E60" s="80" t="str">
        <x:v>Ferrari Can-Am</x:v>
      </x:c>
      <x:c r="F60" s="82" t="str">
        <x:v>Gran Toros</x:v>
      </x:c>
      <x:c r="G60" s="80" t="str"/>
      <x:c r="H60" s="80" t="str"/>
      <x:c r="I60" s="83" t="str">
        <x:v>6601</x:v>
      </x:c>
      <x:c r="J60" s="80" t="str">
        <x:v>Pino Verde</x:v>
      </x:c>
      <x:c r="K60" s="82" t="str">
        <x:v>Red taillights, "8" sticker on hood, "CAN-AM" stickers on sides</x:v>
      </x:c>
      <x:c r="L60" s="82" t="str">
        <x:v>GT5SP</x:v>
      </x:c>
      <x:c r="M60" s="82" t="str">
        <x:v>Unpainted / / / Metal</x:v>
      </x:c>
      <x:c r="N60" s="82" t="str">
        <x:v>None</x:v>
      </x:c>
      <x:c r="O60" s="82" t="str">
        <x:v>Chrome</x:v>
      </x:c>
      <x:c r="P60" s="82" t="str">
        <x:v>Italy</x:v>
      </x:c>
      <x:c r="Q60" s="82" t="str"/>
      <x:c r="R60" s="82" t="str">
        <x:v>Outra linha</x:v>
      </x:c>
      <x:c r="S60" s="82" t="str">
        <x:v>Rara</x:v>
      </x:c>
      <x:c r="T60" s="82" t="str">
        <x:v>Lançado</x:v>
      </x:c>
      <x:c r="U60" s="82" t="str"/>
      <x:c r="V60" s="80" t="str">
        <x:v>Linha vintage / escala variável</x:v>
      </x:c>
      <x:c r="W60" s="82" t="str">
        <x:v>https://hotwheels.fandom.com/wiki/Ferrari_Can-Am_(Gran_Toros)</x:v>
      </x:c>
      <x:c r="X60" s="82" t="str">
        <x:v>https://hotwheels.fandom.com/wiki/Ferrari_Can-Am_(Gran_Toros)</x:v>
      </x:c>
    </x:row>
    <x:row r="61">
      <x:c r="A61" s="80" t="str">
        <x:v>Não</x:v>
      </x:c>
      <x:c r="B61" s="80" t="str">
        <x:v>2 — Completar aos poucos</x:v>
      </x:c>
      <x:c r="C61" s="81" t="n">
        <x:v>1970</x:v>
      </x:c>
      <x:c r="D61" s="80" t="str">
        <x:v>Ferrari Can-Am (Gran Toros)</x:v>
      </x:c>
      <x:c r="E61" s="80" t="str">
        <x:v>Ferrari Can-Am</x:v>
      </x:c>
      <x:c r="F61" s="82" t="str">
        <x:v>Gran Toros</x:v>
      </x:c>
      <x:c r="G61" s="80" t="str"/>
      <x:c r="H61" s="80" t="str"/>
      <x:c r="I61" s="83" t="str">
        <x:v>6601</x:v>
      </x:c>
      <x:c r="J61" s="80" t="str">
        <x:v>Rosso Corsa</x:v>
      </x:c>
      <x:c r="K61" s="82" t="str">
        <x:v>Red taillights, "8" sticker on hood, "CAN-AM" stickers on sides</x:v>
      </x:c>
      <x:c r="L61" s="82" t="str">
        <x:v>GT5SP</x:v>
      </x:c>
      <x:c r="M61" s="82" t="str">
        <x:v>Unpainted / / / Metal</x:v>
      </x:c>
      <x:c r="N61" s="82" t="str">
        <x:v>None</x:v>
      </x:c>
      <x:c r="O61" s="82" t="str">
        <x:v>Chrome</x:v>
      </x:c>
      <x:c r="P61" s="82" t="str">
        <x:v>Italy</x:v>
      </x:c>
      <x:c r="Q61" s="82" t="str"/>
      <x:c r="R61" s="82" t="str">
        <x:v>Outra linha</x:v>
      </x:c>
      <x:c r="S61" s="82" t="str">
        <x:v>Rara</x:v>
      </x:c>
      <x:c r="T61" s="82" t="str">
        <x:v>Lançado</x:v>
      </x:c>
      <x:c r="U61" s="82" t="str"/>
      <x:c r="V61" s="80" t="str">
        <x:v>Linha vintage / escala variável</x:v>
      </x:c>
      <x:c r="W61" s="82" t="str">
        <x:v>https://hotwheels.fandom.com/wiki/Ferrari_Can-Am_(Gran_Toros)</x:v>
      </x:c>
      <x:c r="X61" s="82" t="str">
        <x:v>https://hotwheels.fandom.com/wiki/Ferrari_Can-Am_(Gran_Toros)</x:v>
      </x:c>
    </x:row>
    <x:row r="62">
      <x:c r="A62" s="80" t="str">
        <x:v>Não</x:v>
      </x:c>
      <x:c r="B62" s="80" t="str">
        <x:v>2 — Completar aos poucos</x:v>
      </x:c>
      <x:c r="C62" s="81" t="n">
        <x:v>1970</x:v>
      </x:c>
      <x:c r="D62" s="80" t="str">
        <x:v>Ferrari P4 (Gran Toros)</x:v>
      </x:c>
      <x:c r="E62" s="80" t="str">
        <x:v>Ferrari P4</x:v>
      </x:c>
      <x:c r="F62" s="82" t="str">
        <x:v>Gran Toros</x:v>
      </x:c>
      <x:c r="G62" s="80" t="str"/>
      <x:c r="H62" s="80" t="str"/>
      <x:c r="I62" s="83" t="str">
        <x:v>6614</x:v>
      </x:c>
      <x:c r="J62" s="80" t="str">
        <x:v>Rosso Corsa</x:v>
      </x:c>
      <x:c r="K62" s="82" t="str">
        <x:v>Red taillights, "24" stickers</x:v>
      </x:c>
      <x:c r="L62" s="82" t="str">
        <x:v>GT5SP</x:v>
      </x:c>
      <x:c r="M62" s="82" t="str">
        <x:v>ZAMAC</x:v>
      </x:c>
      <x:c r="N62" s="82" t="str">
        <x:v>Clear</x:v>
      </x:c>
      <x:c r="O62" s="82" t="str">
        <x:v>Black</x:v>
      </x:c>
      <x:c r="P62" s="82" t="str">
        <x:v>Italy</x:v>
      </x:c>
      <x:c r="Q62" s="82" t="str"/>
      <x:c r="R62" s="82" t="str">
        <x:v>Outra linha</x:v>
      </x:c>
      <x:c r="S62" s="82" t="str">
        <x:v>Rara</x:v>
      </x:c>
      <x:c r="T62" s="82" t="str">
        <x:v>Lançado</x:v>
      </x:c>
      <x:c r="U62" s="82" t="str"/>
      <x:c r="V62" s="80" t="str">
        <x:v>Linha vintage / escala variável</x:v>
      </x:c>
      <x:c r="W62" s="82" t="str">
        <x:v>https://hotwheels.fandom.com/wiki/Ferrari_P4_(Gran_Toros)</x:v>
      </x:c>
      <x:c r="X62" s="82" t="str">
        <x:v>https://hotwheels.fandom.com/wiki/Ferrari_P4_(Gran_Toros)</x:v>
      </x:c>
    </x:row>
    <x:row r="63">
      <x:c r="A63" s="80" t="str">
        <x:v>Não</x:v>
      </x:c>
      <x:c r="B63" s="80" t="str">
        <x:v>2 — Completar aos poucos</x:v>
      </x:c>
      <x:c r="C63" s="81" t="n">
        <x:v>1970</x:v>
      </x:c>
      <x:c r="D63" s="80" t="str">
        <x:v>Ferrari P4 (Sizzlers)</x:v>
      </x:c>
      <x:c r="E63" s="80" t="str">
        <x:v>Ferrari P4</x:v>
      </x:c>
      <x:c r="F63" s="82" t="str">
        <x:v>Sizzlers</x:v>
      </x:c>
      <x:c r="G63" s="80" t="str"/>
      <x:c r="H63" s="80" t="str"/>
      <x:c r="I63" s="83" t="str">
        <x:v>6651</x:v>
      </x:c>
      <x:c r="J63" s="80" t="str">
        <x:v>Red over Chrome</x:v>
      </x:c>
      <x:c r="K63" s="82" t="str">
        <x:v>"1" stickers</x:v>
      </x:c>
      <x:c r="L63" s="82" t="str">
        <x:v>RL</x:v>
      </x:c>
      <x:c r="M63" s="82" t="str">
        <x:v>Black / / / Plastic</x:v>
      </x:c>
      <x:c r="N63" s="82" t="str">
        <x:v>Black</x:v>
      </x:c>
      <x:c r="O63" s="82" t="str">
        <x:v>None</x:v>
      </x:c>
      <x:c r="P63" s="82" t="str">
        <x:v>Italy</x:v>
      </x:c>
      <x:c r="Q63" s="82" t="str"/>
      <x:c r="R63" s="82" t="str">
        <x:v>Outra linha</x:v>
      </x:c>
      <x:c r="S63" s="82" t="str">
        <x:v>Rara</x:v>
      </x:c>
      <x:c r="T63" s="82" t="str">
        <x:v>Lançado</x:v>
      </x:c>
      <x:c r="U63" s="82" t="str"/>
      <x:c r="V63" s="80" t="str">
        <x:v>Sizzlers/Scorchers</x:v>
      </x:c>
      <x:c r="W63" s="82" t="str">
        <x:v>https://hotwheels.fandom.com/wiki/Ferrari_P4_(Sizzlers)</x:v>
      </x:c>
      <x:c r="X63" s="82" t="str">
        <x:v>https://hotwheels.fandom.com/wiki/Ferrari_P4_(Sizzlers)</x:v>
      </x:c>
    </x:row>
    <x:row r="64">
      <x:c r="A64" s="80" t="str">
        <x:v>Não</x:v>
      </x:c>
      <x:c r="B64" s="80" t="str">
        <x:v>2 — Completar aos poucos</x:v>
      </x:c>
      <x:c r="C64" s="81" t="str"/>
      <x:c r="D64" s="80" t="str">
        <x:v>Ferrari 208 Turbo</x:v>
      </x:c>
      <x:c r="E64" s="80" t="str">
        <x:v>Ferrari 208 Turbo</x:v>
      </x:c>
      <x:c r="F64" s="82" t="str">
        <x:v>Super Hot Wheels Box set</x:v>
      </x:c>
      <x:c r="G64" s="80" t="str"/>
      <x:c r="H64" s="80" t="str"/>
      <x:c r="I64" s="83" t="str">
        <x:v>6906</x:v>
      </x:c>
      <x:c r="J64" s="80" t="str">
        <x:v>White</x:v>
      </x:c>
      <x:c r="K64" s="82" t="str">
        <x:v>Red &amp; Yellow stripes, Rally decals</x:v>
      </x:c>
      <x:c r="L64" s="82" t="str"/>
      <x:c r="M64" s="82" t="str">
        <x:v>Grey / / / Plastic</x:v>
      </x:c>
      <x:c r="N64" s="82" t="str">
        <x:v>Clear</x:v>
      </x:c>
      <x:c r="O64" s="82" t="str">
        <x:v>Grey</x:v>
      </x:c>
      <x:c r="P64" s="82" t="str"/>
      <x:c r="Q64" s="82" t="str"/>
      <x:c r="R64" s="82" t="str">
        <x:v>Outra linha</x:v>
      </x:c>
      <x:c r="S64" s="82" t="str">
        <x:v>Comum / atual</x:v>
      </x:c>
      <x:c r="T64" s="82" t="str">
        <x:v>Ano não documentado</x:v>
      </x:c>
      <x:c r="U64" s="82" t="str">
        <x:v>Need to find a sealed version</x:v>
      </x:c>
      <x:c r="V64" s="80" t="str">
        <x:v>Linha vintage / escala variável</x:v>
      </x:c>
      <x:c r="W64" s="82" t="str">
        <x:v>https://hotwheels.fandom.com/wiki/Ferrari_208_Turbo</x:v>
      </x:c>
      <x:c r="X64" s="82" t="str">
        <x:v>https://hotwheels.fandom.com/wiki/Ferrari_208_Turbo</x:v>
      </x:c>
    </x:row>
    <x:row r="65">
      <x:c r="A65" s="80" t="str">
        <x:v>Não</x:v>
      </x:c>
      <x:c r="B65" s="80" t="str">
        <x:v>2 — Completar aos poucos</x:v>
      </x:c>
      <x:c r="C65" s="81" t="str"/>
      <x:c r="D65" s="80" t="str">
        <x:v>Ferrari 208 Turbo</x:v>
      </x:c>
      <x:c r="E65" s="80" t="str">
        <x:v>Ferrari 208 Turbo</x:v>
      </x:c>
      <x:c r="F65" s="82" t="str">
        <x:v>Super Hot Wheels Box set?</x:v>
      </x:c>
      <x:c r="G65" s="80" t="str"/>
      <x:c r="H65" s="80" t="str"/>
      <x:c r="I65" s="83" t="str"/>
      <x:c r="J65" s="80" t="str">
        <x:v>Red</x:v>
      </x:c>
      <x:c r="K65" s="82" t="str">
        <x:v>Yellow stripes, "Ferrari 208" on sides, "Ferrari" on window.</x:v>
      </x:c>
      <x:c r="L65" s="82" t="str"/>
      <x:c r="M65" s="82" t="str">
        <x:v>Black / / / Plastic</x:v>
      </x:c>
      <x:c r="N65" s="82" t="str">
        <x:v>Clear</x:v>
      </x:c>
      <x:c r="O65" s="82" t="str">
        <x:v>Black</x:v>
      </x:c>
      <x:c r="P65" s="82" t="str"/>
      <x:c r="Q65" s="82" t="str"/>
      <x:c r="R65" s="82" t="str">
        <x:v>Outra linha</x:v>
      </x:c>
      <x:c r="S65" s="82" t="str">
        <x:v>Comum / atual</x:v>
      </x:c>
      <x:c r="T65" s="82" t="str">
        <x:v>Ano não documentado</x:v>
      </x:c>
      <x:c r="U65" s="82" t="str">
        <x:v>Need to find a sealed version</x:v>
      </x:c>
      <x:c r="V65" s="80" t="str">
        <x:v>Linha vintage / escala variável</x:v>
      </x:c>
      <x:c r="W65" s="82" t="str">
        <x:v>https://hotwheels.fandom.com/wiki/Ferrari_208_Turbo</x:v>
      </x:c>
      <x:c r="X65" s="82" t="str">
        <x:v>https://hotwheels.fandom.com/wiki/Ferrari_208_Turbo</x:v>
      </x:c>
    </x:row>
    <x:row r="66">
      <x:c r="A66" s="80" t="str">
        <x:v>Não</x:v>
      </x:c>
      <x:c r="B66" s="80" t="str">
        <x:v>2 — Completar aos poucos</x:v>
      </x:c>
      <x:c r="C66" s="81" t="str"/>
      <x:c r="D66" s="80" t="str">
        <x:v>Ferrari 208 Turbo</x:v>
      </x:c>
      <x:c r="E66" s="80" t="str">
        <x:v>Ferrari 208 Turbo</x:v>
      </x:c>
      <x:c r="F66" s="82" t="str">
        <x:v>Super Hot Wheels Single Pack</x:v>
      </x:c>
      <x:c r="G66" s="80" t="str"/>
      <x:c r="H66" s="80" t="str"/>
      <x:c r="I66" s="83" t="str">
        <x:v>6088</x:v>
      </x:c>
      <x:c r="J66" s="80" t="str"/>
      <x:c r="K66" s="82" t="str"/>
      <x:c r="L66" s="82" t="str"/>
      <x:c r="M66" s="82" t="str"/>
      <x:c r="N66" s="82" t="str">
        <x:v>Clear</x:v>
      </x:c>
      <x:c r="O66" s="82" t="str"/>
      <x:c r="P66" s="82" t="str"/>
      <x:c r="Q66" s="82" t="str"/>
      <x:c r="R66" s="82" t="str">
        <x:v>Outra linha</x:v>
      </x:c>
      <x:c r="S66" s="82" t="str">
        <x:v>Comum / atual</x:v>
      </x:c>
      <x:c r="T66" s="82" t="str">
        <x:v>Ano não documentado</x:v>
      </x:c>
      <x:c r="U66" s="82" t="str"/>
      <x:c r="V66" s="80" t="str">
        <x:v>Linha vintage / escala variável</x:v>
      </x:c>
      <x:c r="W66" s="82" t="str">
        <x:v>https://hotwheels.fandom.com/wiki/Ferrari_208_Turbo</x:v>
      </x:c>
      <x:c r="X66" s="82" t="str">
        <x:v>https://hotwheels.fandom.com/wiki/Ferrari_208_Turbo</x:v>
      </x:c>
    </x:row>
    <x:row r="67">
      <x:c r="A67" s="80" t="str">
        <x:v>Não</x:v>
      </x:c>
      <x:c r="B67" s="80" t="str">
        <x:v>2 — Completar aos poucos</x:v>
      </x:c>
      <x:c r="C67" s="81" t="str"/>
      <x:c r="D67" s="80" t="str">
        <x:v>Ferrari 208 Turbo</x:v>
      </x:c>
      <x:c r="E67" s="80" t="str">
        <x:v>Ferrari 208 Turbo</x:v>
      </x:c>
      <x:c r="F67" s="82" t="str">
        <x:v>Super Hot Wheels Single Pack</x:v>
      </x:c>
      <x:c r="G67" s="80" t="str"/>
      <x:c r="H67" s="80" t="str"/>
      <x:c r="I67" s="83" t="str">
        <x:v>6090</x:v>
      </x:c>
      <x:c r="J67" s="80" t="str"/>
      <x:c r="K67" s="82" t="str"/>
      <x:c r="L67" s="82" t="str"/>
      <x:c r="M67" s="82" t="str"/>
      <x:c r="N67" s="82" t="str">
        <x:v>Clear</x:v>
      </x:c>
      <x:c r="O67" s="82" t="str"/>
      <x:c r="P67" s="82" t="str"/>
      <x:c r="Q67" s="82" t="str"/>
      <x:c r="R67" s="82" t="str">
        <x:v>Outra linha</x:v>
      </x:c>
      <x:c r="S67" s="82" t="str">
        <x:v>Comum / atual</x:v>
      </x:c>
      <x:c r="T67" s="82" t="str">
        <x:v>Ano não documentado</x:v>
      </x:c>
      <x:c r="U67" s="82" t="str"/>
      <x:c r="V67" s="80" t="str">
        <x:v>Linha vintage / escala variável</x:v>
      </x:c>
      <x:c r="W67" s="82" t="str">
        <x:v>https://hotwheels.fandom.com/wiki/Ferrari_208_Turbo</x:v>
      </x:c>
      <x:c r="X67" s="82" t="str">
        <x:v>https://hotwheels.fandom.com/wiki/Ferrari_208_Turbo</x:v>
      </x:c>
    </x:row>
    <x:row r="68">
      <x:c r="A68" s="80" t="str">
        <x:v>Não</x:v>
      </x:c>
      <x:c r="B68" s="80" t="str">
        <x:v>Fora da meta principal</x:v>
      </x:c>
      <x:c r="C68" s="81" t="n">
        <x:v>2026</x:v>
      </x:c>
      <x:c r="D68" s="80" t="str">
        <x:v>Ferrari F1-2000 (RC)</x:v>
      </x:c>
      <x:c r="E68" s="80" t="str">
        <x:v>Ferrari F1-2000</x:v>
      </x:c>
      <x:c r="F68" s="82" t="str">
        <x:v>Hot Wheels RC</x:v>
      </x:c>
      <x:c r="G68" s="80" t="str"/>
      <x:c r="H68" s="80" t="str"/>
      <x:c r="I68" s="83" t="str">
        <x:v>JNB88</x:v>
      </x:c>
      <x:c r="J68" s="80" t="str"/>
      <x:c r="K68" s="82" t="str"/>
      <x:c r="L68" s="82" t="str"/>
      <x:c r="M68" s="82" t="str"/>
      <x:c r="N68" s="82" t="str"/>
      <x:c r="O68" s="82" t="str"/>
      <x:c r="P68" s="82" t="str"/>
      <x:c r="Q68" s="82" t="str"/>
      <x:c r="R68" s="82" t="str">
        <x:v>Outra linha</x:v>
      </x:c>
      <x:c r="S68" s="82" t="str">
        <x:v>Comum / atual</x:v>
      </x:c>
      <x:c r="T68" s="82" t="str">
        <x:v>2026 — listado; confirmar disponibilidade</x:v>
      </x:c>
      <x:c r="U68" s="82" t="str"/>
      <x:c r="V68" s="80" t="str">
        <x:v>RC</x:v>
      </x:c>
      <x:c r="W68" s="82" t="str">
        <x:v>https://hotwheels.fandom.com/wiki/Ferrari</x:v>
      </x:c>
      <x:c r="X68" s="82" t="str">
        <x:v>https://hotwheels.fandom.com/wiki/Ferrari_F1-2000_(RC)</x:v>
      </x:c>
    </x:row>
    <x:row r="69">
      <x:c r="A69" s="80" t="str">
        <x:v>Não</x:v>
      </x:c>
      <x:c r="B69" s="80" t="str">
        <x:v>Fora da meta principal</x:v>
      </x:c>
      <x:c r="C69" s="81" t="n">
        <x:v>2026</x:v>
      </x:c>
      <x:c r="D69" s="80" t="str">
        <x:v>Ferrari F1-89 (RC)</x:v>
      </x:c>
      <x:c r="E69" s="80" t="str">
        <x:v>Ferrari F1-89</x:v>
      </x:c>
      <x:c r="F69" s="82" t="str">
        <x:v>Hot Wheels RC</x:v>
      </x:c>
      <x:c r="G69" s="80" t="str"/>
      <x:c r="H69" s="80" t="str"/>
      <x:c r="I69" s="83" t="str">
        <x:v>JNB88</x:v>
      </x:c>
      <x:c r="J69" s="80" t="str"/>
      <x:c r="K69" s="82" t="str"/>
      <x:c r="L69" s="82" t="str"/>
      <x:c r="M69" s="82" t="str"/>
      <x:c r="N69" s="82" t="str"/>
      <x:c r="O69" s="82" t="str"/>
      <x:c r="P69" s="82" t="str"/>
      <x:c r="Q69" s="82" t="str"/>
      <x:c r="R69" s="82" t="str">
        <x:v>Outra linha</x:v>
      </x:c>
      <x:c r="S69" s="82" t="str">
        <x:v>Comum / atual</x:v>
      </x:c>
      <x:c r="T69" s="82" t="str">
        <x:v>2026 — listado; confirmar disponibilidade</x:v>
      </x:c>
      <x:c r="U69" s="82" t="str"/>
      <x:c r="V69" s="80" t="str">
        <x:v>RC</x:v>
      </x:c>
      <x:c r="W69" s="82" t="str">
        <x:v>https://hotwheels.fandom.com/wiki/Ferrari</x:v>
      </x:c>
      <x:c r="X69" s="82" t="str">
        <x:v>https://hotwheels.fandom.com/wiki/Ferrari_F1-89_(RC)</x:v>
      </x:c>
    </x:row>
    <x:row r="70">
      <x:c r="A70" s="80" t="str">
        <x:v>Não</x:v>
      </x:c>
      <x:c r="B70" s="80" t="str">
        <x:v>Fora da meta principal</x:v>
      </x:c>
      <x:c r="C70" s="81" t="n">
        <x:v>2025</x:v>
      </x:c>
      <x:c r="D70" s="80" t="str">
        <x:v>Ferrari SF90 Stradale Assetto Fiorano</x:v>
      </x:c>
      <x:c r="E70" s="80" t="str">
        <x:v>Ferrari SF90 Stradale Assetto Fiorano</x:v>
      </x:c>
      <x:c r="F70" s="82" t="str">
        <x:v>Hot Wheels RC</x:v>
      </x:c>
      <x:c r="G70" s="80" t="str"/>
      <x:c r="H70" s="80" t="str"/>
      <x:c r="I70" s="83" t="str">
        <x:v>JGD09</x:v>
      </x:c>
      <x:c r="J70" s="80" t="str">
        <x:v>Rosso Corsa</x:v>
      </x:c>
      <x:c r="K70" s="82" t="str">
        <x:v>Detailed headlights and taillights</x:v>
      </x:c>
      <x:c r="L70" s="82" t="str">
        <x:v>Black PR5 (with rubber tires on back wheels)</x:v>
      </x:c>
      <x:c r="M70" s="82" t="str">
        <x:v>Black / Plastic</x:v>
      </x:c>
      <x:c r="N70" s="82" t="str">
        <x:v>Black (painted)</x:v>
      </x:c>
      <x:c r="O70" s="82" t="str">
        <x:v>None</x:v>
      </x:c>
      <x:c r="P70" s="82" t="str">
        <x:v>Vietnam</x:v>
      </x:c>
      <x:c r="Q70" s="82" t="str"/>
      <x:c r="R70" s="82" t="str">
        <x:v>Outra linha</x:v>
      </x:c>
      <x:c r="S70" s="82" t="str">
        <x:v>Comum / atual</x:v>
      </x:c>
      <x:c r="T70" s="82" t="str">
        <x:v>Lançado</x:v>
      </x:c>
      <x:c r="U70" s="82" t="str">
        <x:v>On/Off switch and charger port on base / Plastic Body</x:v>
      </x:c>
      <x:c r="V70" s="80" t="str">
        <x:v>RC</x:v>
      </x:c>
      <x:c r="W70" s="82" t="str">
        <x:v>https://hotwheels.fandom.com/wiki/Ferrari_SF90_Stradale_Assetto_Fiorano</x:v>
      </x:c>
      <x:c r="X70" s="82" t="str">
        <x:v>https://hotwheels.fandom.com/wiki/Ferrari_SF90_Stradale_Assetto_Fiorano</x:v>
      </x:c>
    </x:row>
    <x:row r="71">
      <x:c r="A71" s="80" t="str">
        <x:v>Não</x:v>
      </x:c>
      <x:c r="B71" s="80" t="str">
        <x:v>Fora da meta principal</x:v>
      </x:c>
      <x:c r="C71" s="81" t="n">
        <x:v>2009</x:v>
      </x:c>
      <x:c r="D71" s="80" t="str">
        <x:v>Ferrari 360 Spider (1:50)</x:v>
      </x:c>
      <x:c r="E71" s="80" t="str">
        <x:v>Ferrari 360 Spider</x:v>
      </x:c>
      <x:c r="F71" s="82" t="str">
        <x:v>Hot Wheels 1:50 Scale</x:v>
      </x:c>
      <x:c r="G71" s="80" t="str"/>
      <x:c r="H71" s="80" t="str"/>
      <x:c r="I71" s="83" t="str">
        <x:v>N7694</x:v>
      </x:c>
      <x:c r="J71" s="80" t="str">
        <x:v>Tan</x:v>
      </x:c>
      <x:c r="K71" s="82" t="str">
        <x:v>Headlight &amp; Taillight Details, Ferrari Badges</x:v>
      </x:c>
      <x:c r="L71" s="82" t="str">
        <x:v>RR</x:v>
      </x:c>
      <x:c r="M71" s="82" t="str">
        <x:v>Black / / / Plastic</x:v>
      </x:c>
      <x:c r="N71" s="82" t="str"/>
      <x:c r="O71" s="82" t="str"/>
      <x:c r="P71" s="82" t="str">
        <x:v>Thailand</x:v>
      </x:c>
      <x:c r="Q71" s="82" t="str"/>
      <x:c r="R71" s="82" t="str">
        <x:v>Outra linha</x:v>
      </x:c>
      <x:c r="S71" s="82" t="str">
        <x:v>Incomum</x:v>
      </x:c>
      <x:c r="T71" s="82" t="str">
        <x:v>Lançado</x:v>
      </x:c>
      <x:c r="U71" s="82" t="str"/>
      <x:c r="V71" s="80" t="str">
        <x:v>Escala 1:50</x:v>
      </x:c>
      <x:c r="W71" s="82" t="str">
        <x:v>https://hotwheels.fandom.com/wiki/Ferrari_360_Spider_(1:50)</x:v>
      </x:c>
      <x:c r="X71" s="82" t="str">
        <x:v>https://hotwheels.fandom.com/wiki/Ferrari_360_Spider_(1:50)</x:v>
      </x:c>
    </x:row>
    <x:row r="72">
      <x:c r="A72" s="80" t="str">
        <x:v>Não</x:v>
      </x:c>
      <x:c r="B72" s="80" t="str">
        <x:v>Fora da meta principal</x:v>
      </x:c>
      <x:c r="C72" s="81" t="n">
        <x:v>2009</x:v>
      </x:c>
      <x:c r="D72" s="80" t="str">
        <x:v>Ferrari F430 (1:50)</x:v>
      </x:c>
      <x:c r="E72" s="80" t="str">
        <x:v>Ferrari F430</x:v>
      </x:c>
      <x:c r="F72" s="82" t="str">
        <x:v>Hot Wheels 1:50 Scale</x:v>
      </x:c>
      <x:c r="G72" s="80" t="str"/>
      <x:c r="H72" s="80" t="str"/>
      <x:c r="I72" s="83" t="str">
        <x:v>N7704</x:v>
      </x:c>
      <x:c r="J72" s="80" t="str">
        <x:v>Yellow</x:v>
      </x:c>
      <x:c r="K72" s="82" t="str"/>
      <x:c r="L72" s="82" t="str">
        <x:v>RR</x:v>
      </x:c>
      <x:c r="M72" s="82" t="str">
        <x:v>Base type / Color</x:v>
      </x:c>
      <x:c r="N72" s="82" t="str"/>
      <x:c r="O72" s="82" t="str"/>
      <x:c r="P72" s="82" t="str">
        <x:v>China</x:v>
      </x:c>
      <x:c r="Q72" s="82" t="str"/>
      <x:c r="R72" s="82" t="str">
        <x:v>Outra linha</x:v>
      </x:c>
      <x:c r="S72" s="82" t="str">
        <x:v>Incomum</x:v>
      </x:c>
      <x:c r="T72" s="82" t="str">
        <x:v>Lançado</x:v>
      </x:c>
      <x:c r="U72" s="82" t="str"/>
      <x:c r="V72" s="80" t="str">
        <x:v>Escala 1:50</x:v>
      </x:c>
      <x:c r="W72" s="82" t="str">
        <x:v>https://hotwheels.fandom.com/wiki/Ferrari_F430_(1:50)</x:v>
      </x:c>
      <x:c r="X72" s="82" t="str">
        <x:v>https://hotwheels.fandom.com/wiki/Ferrari_F430_(1:50)</x:v>
      </x:c>
    </x:row>
    <x:row r="73">
      <x:c r="A73" s="80" t="str">
        <x:v>Não</x:v>
      </x:c>
      <x:c r="B73" s="80" t="str">
        <x:v>Fora da meta principal</x:v>
      </x:c>
      <x:c r="C73" s="81" t="n">
        <x:v>2009</x:v>
      </x:c>
      <x:c r="D73" s="80" t="str">
        <x:v>Ferrari F430 Challenge (1:87)</x:v>
      </x:c>
      <x:c r="E73" s="80" t="str">
        <x:v>Ferrari F430 Challenge</x:v>
      </x:c>
      <x:c r="F73" s="82" t="str">
        <x:v>Hot Wheels 1:87 Scale</x:v>
      </x:c>
      <x:c r="G73" s="80" t="str"/>
      <x:c r="H73" s="80" t="str"/>
      <x:c r="I73" s="83" t="str">
        <x:v>P1723</x:v>
      </x:c>
      <x:c r="J73" s="80" t="str">
        <x:v>Red</x:v>
      </x:c>
      <x:c r="K73" s="82" t="str">
        <x:v>White stripes, '14' &amp; Shell logo on sides, '14' on hood &amp; roof</x:v>
      </x:c>
      <x:c r="L73" s="82" t="str">
        <x:v>Y8</x:v>
      </x:c>
      <x:c r="M73" s="82" t="str">
        <x:v>Black / Plastic</x:v>
      </x:c>
      <x:c r="N73" s="82" t="str">
        <x:v>Tinted</x:v>
      </x:c>
      <x:c r="O73" s="82" t="str">
        <x:v>Black</x:v>
      </x:c>
      <x:c r="P73" s="82" t="str">
        <x:v>China</x:v>
      </x:c>
      <x:c r="Q73" s="82" t="str"/>
      <x:c r="R73" s="82" t="str">
        <x:v>Outra linha</x:v>
      </x:c>
      <x:c r="S73" s="82" t="str">
        <x:v>Incomum</x:v>
      </x:c>
      <x:c r="T73" s="82" t="str">
        <x:v>Lançado</x:v>
      </x:c>
      <x:c r="U73" s="82" t="str"/>
      <x:c r="V73" s="80" t="str">
        <x:v>Escala 1:87</x:v>
      </x:c>
      <x:c r="W73" s="82" t="str">
        <x:v>https://hotwheels.fandom.com/wiki/Ferrari_F430_Challenge_(1:87)</x:v>
      </x:c>
      <x:c r="X73" s="82" t="str">
        <x:v>https://hotwheels.fandom.com/wiki/Ferrari_F430_Challenge_(1:87)</x:v>
      </x:c>
    </x:row>
    <x:row r="74">
      <x:c r="A74" s="80" t="str">
        <x:v>Não</x:v>
      </x:c>
      <x:c r="B74" s="80" t="str">
        <x:v>Fora da meta principal</x:v>
      </x:c>
      <x:c r="C74" s="81" t="n">
        <x:v>2009</x:v>
      </x:c>
      <x:c r="D74" s="80" t="str">
        <x:v>Ferrari F430 Challenge (1:87)</x:v>
      </x:c>
      <x:c r="E74" s="80" t="str">
        <x:v>Ferrari F430 Challenge</x:v>
      </x:c>
      <x:c r="F74" s="82" t="str">
        <x:v>Hot Wheels 1:87 Scale</x:v>
      </x:c>
      <x:c r="G74" s="80" t="str"/>
      <x:c r="H74" s="80" t="str"/>
      <x:c r="I74" s="83" t="str">
        <x:v>P1731</x:v>
      </x:c>
      <x:c r="J74" s="80" t="str">
        <x:v>Red</x:v>
      </x:c>
      <x:c r="K74" s="82" t="str">
        <x:v>Silver stripes across top</x:v>
      </x:c>
      <x:c r="L74" s="82" t="str">
        <x:v>Gold Y8</x:v>
      </x:c>
      <x:c r="M74" s="82" t="str">
        <x:v>Black / Plastic</x:v>
      </x:c>
      <x:c r="N74" s="82" t="str">
        <x:v>Tinted</x:v>
      </x:c>
      <x:c r="O74" s="82" t="str">
        <x:v>Black</x:v>
      </x:c>
      <x:c r="P74" s="82" t="str">
        <x:v>China</x:v>
      </x:c>
      <x:c r="Q74" s="82" t="str"/>
      <x:c r="R74" s="82" t="str">
        <x:v>Outra linha</x:v>
      </x:c>
      <x:c r="S74" s="82" t="str">
        <x:v>Incomum</x:v>
      </x:c>
      <x:c r="T74" s="82" t="str">
        <x:v>Lançado</x:v>
      </x:c>
      <x:c r="U74" s="82" t="str"/>
      <x:c r="V74" s="80" t="str">
        <x:v>Escala 1:87</x:v>
      </x:c>
      <x:c r="W74" s="82" t="str">
        <x:v>https://hotwheels.fandom.com/wiki/Ferrari_F430_Challenge_(1:87)</x:v>
      </x:c>
      <x:c r="X74" s="82" t="str">
        <x:v>https://hotwheels.fandom.com/wiki/Ferrari_F430_Challenge_(1:87)</x:v>
      </x:c>
    </x:row>
    <x:row r="75">
      <x:c r="A75" s="80" t="str">
        <x:v>Não</x:v>
      </x:c>
      <x:c r="B75" s="80" t="str">
        <x:v>Fora da meta principal</x:v>
      </x:c>
      <x:c r="C75" s="81" t="n">
        <x:v>2009</x:v>
      </x:c>
      <x:c r="D75" s="80" t="str">
        <x:v>Ferrari F430 Challenge (1:87)</x:v>
      </x:c>
      <x:c r="E75" s="80" t="str">
        <x:v>Ferrari F430 Challenge</x:v>
      </x:c>
      <x:c r="F75" s="82" t="str">
        <x:v>Hot Wheels 1:87 Scale</x:v>
      </x:c>
      <x:c r="G75" s="80" t="str"/>
      <x:c r="H75" s="80" t="str"/>
      <x:c r="I75" s="83" t="str">
        <x:v>P1727</x:v>
      </x:c>
      <x:c r="J75" s="80" t="str">
        <x:v>Yellow</x:v>
      </x:c>
      <x:c r="K75" s="82" t="str">
        <x:v>Ferrari emblems on sides &amp; hood</x:v>
      </x:c>
      <x:c r="L75" s="82" t="str">
        <x:v>Y8</x:v>
      </x:c>
      <x:c r="M75" s="82" t="str">
        <x:v>Black / Plastic</x:v>
      </x:c>
      <x:c r="N75" s="82" t="str">
        <x:v>Tinted</x:v>
      </x:c>
      <x:c r="O75" s="82" t="str">
        <x:v>Gray</x:v>
      </x:c>
      <x:c r="P75" s="82" t="str">
        <x:v>China</x:v>
      </x:c>
      <x:c r="Q75" s="82" t="str"/>
      <x:c r="R75" s="82" t="str">
        <x:v>Outra linha</x:v>
      </x:c>
      <x:c r="S75" s="82" t="str">
        <x:v>Incomum</x:v>
      </x:c>
      <x:c r="T75" s="82" t="str">
        <x:v>Lançado</x:v>
      </x:c>
      <x:c r="U75" s="82" t="str"/>
      <x:c r="V75" s="80" t="str">
        <x:v>Escala 1:87</x:v>
      </x:c>
      <x:c r="W75" s="82" t="str">
        <x:v>https://hotwheels.fandom.com/wiki/Ferrari_F430_Challenge_(1:87)</x:v>
      </x:c>
      <x:c r="X75" s="82" t="str">
        <x:v>https://hotwheels.fandom.com/wiki/Ferrari_F430_Challenge_(1:87)</x:v>
      </x:c>
    </x:row>
    <x:row r="76">
      <x:c r="A76" s="80" t="str">
        <x:v>Não</x:v>
      </x:c>
      <x:c r="B76" s="80" t="str">
        <x:v>Fora da meta principal</x:v>
      </x:c>
      <x:c r="C76" s="81" t="n">
        <x:v>2008</x:v>
      </x:c>
      <x:c r="D76" s="80" t="str">
        <x:v>Enzo Ferrari (1:87)</x:v>
      </x:c>
      <x:c r="E76" s="80" t="str">
        <x:v>Enzo Ferrari</x:v>
      </x:c>
      <x:c r="F76" s="82" t="str">
        <x:v>Hot Wheels 1:87 Scale</x:v>
      </x:c>
      <x:c r="G76" s="80" t="str"/>
      <x:c r="H76" s="80" t="str"/>
      <x:c r="I76" s="83" t="str">
        <x:v>N2041</x:v>
      </x:c>
      <x:c r="J76" s="80" t="str">
        <x:v>Dark Blue</x:v>
      </x:c>
      <x:c r="K76" s="82" t="str">
        <x:v>Ferrari emblem on sides &amp; front, 'Ferrari' on rear</x:v>
      </x:c>
      <x:c r="L76" s="82" t="str">
        <x:v>5SP</x:v>
      </x:c>
      <x:c r="M76" s="82" t="str">
        <x:v>Black / / / Plastic</x:v>
      </x:c>
      <x:c r="N76" s="82" t="str">
        <x:v>Tinted</x:v>
      </x:c>
      <x:c r="O76" s="82" t="str">
        <x:v>Chrome</x:v>
      </x:c>
      <x:c r="P76" s="82" t="str">
        <x:v>China</x:v>
      </x:c>
      <x:c r="Q76" s="82" t="str"/>
      <x:c r="R76" s="82" t="str">
        <x:v>Outra linha</x:v>
      </x:c>
      <x:c r="S76" s="82" t="str">
        <x:v>Incomum</x:v>
      </x:c>
      <x:c r="T76" s="82" t="str">
        <x:v>Lançado</x:v>
      </x:c>
      <x:c r="U76" s="82" t="str"/>
      <x:c r="V76" s="80" t="str">
        <x:v>Escala 1:87</x:v>
      </x:c>
      <x:c r="W76" s="82" t="str">
        <x:v>https://hotwheels.fandom.com/wiki/Enzo_Ferrari_(1:87)</x:v>
      </x:c>
      <x:c r="X76" s="82" t="str">
        <x:v>https://hotwheels.fandom.com/wiki/Enzo_Ferrari_(1:87)</x:v>
      </x:c>
    </x:row>
    <x:row r="77">
      <x:c r="A77" s="80" t="str">
        <x:v>Não</x:v>
      </x:c>
      <x:c r="B77" s="80" t="str">
        <x:v>Fora da meta principal</x:v>
      </x:c>
      <x:c r="C77" s="81" t="n">
        <x:v>2007</x:v>
      </x:c>
      <x:c r="D77" s="80" t="str">
        <x:v>Enzo Ferrari (1:87)</x:v>
      </x:c>
      <x:c r="E77" s="80" t="str">
        <x:v>Enzo Ferrari</x:v>
      </x:c>
      <x:c r="F77" s="82" t="str">
        <x:v>Hot Wheels 1:87 Scale</x:v>
      </x:c>
      <x:c r="G77" s="80" t="str"/>
      <x:c r="H77" s="80" t="str"/>
      <x:c r="I77" s="83" t="str">
        <x:v>L7182</x:v>
      </x:c>
      <x:c r="J77" s="80" t="str">
        <x:v>Black</x:v>
      </x:c>
      <x:c r="K77" s="82" t="str">
        <x:v>Ferrari emblem on sides &amp; front, 'Ferrari' on rear</x:v>
      </x:c>
      <x:c r="L77" s="82" t="str">
        <x:v>5SP</x:v>
      </x:c>
      <x:c r="M77" s="82" t="str">
        <x:v>Black / / / Plastic</x:v>
      </x:c>
      <x:c r="N77" s="82" t="str">
        <x:v>Clear</x:v>
      </x:c>
      <x:c r="O77" s="82" t="str">
        <x:v>Gray</x:v>
      </x:c>
      <x:c r="P77" s="82" t="str">
        <x:v>China</x:v>
      </x:c>
      <x:c r="Q77" s="82" t="str"/>
      <x:c r="R77" s="82" t="str">
        <x:v>Outra linha</x:v>
      </x:c>
      <x:c r="S77" s="82" t="str">
        <x:v>Incomum</x:v>
      </x:c>
      <x:c r="T77" s="82" t="str">
        <x:v>Lançado</x:v>
      </x:c>
      <x:c r="U77" s="82" t="str"/>
      <x:c r="V77" s="80" t="str">
        <x:v>Escala 1:87</x:v>
      </x:c>
      <x:c r="W77" s="82" t="str">
        <x:v>https://hotwheels.fandom.com/wiki/Enzo_Ferrari_(1:87)</x:v>
      </x:c>
      <x:c r="X77" s="82" t="str">
        <x:v>https://hotwheels.fandom.com/wiki/Enzo_Ferrari_(1:87)</x:v>
      </x:c>
    </x:row>
    <x:row r="78">
      <x:c r="A78" s="80" t="str">
        <x:v>Não</x:v>
      </x:c>
      <x:c r="B78" s="80" t="str">
        <x:v>Fora da meta principal</x:v>
      </x:c>
      <x:c r="C78" s="81" t="n">
        <x:v>2007</x:v>
      </x:c>
      <x:c r="D78" s="80" t="str">
        <x:v>Enzo Ferrari (1:87)</x:v>
      </x:c>
      <x:c r="E78" s="80" t="str">
        <x:v>Enzo Ferrari</x:v>
      </x:c>
      <x:c r="F78" s="82" t="str">
        <x:v>Hot Wheels 1:87 Scale</x:v>
      </x:c>
      <x:c r="G78" s="80" t="str"/>
      <x:c r="H78" s="80" t="str"/>
      <x:c r="I78" s="83" t="str">
        <x:v>L7174</x:v>
      </x:c>
      <x:c r="J78" s="80" t="str">
        <x:v>Red</x:v>
      </x:c>
      <x:c r="K78" s="82" t="str">
        <x:v>Ferrari emblem on sides &amp; front, 'Ferrari' on rear</x:v>
      </x:c>
      <x:c r="L78" s="82" t="str">
        <x:v>5SP</x:v>
      </x:c>
      <x:c r="M78" s="82" t="str">
        <x:v>Black / / / Plastic</x:v>
      </x:c>
      <x:c r="N78" s="82" t="str">
        <x:v>Clear</x:v>
      </x:c>
      <x:c r="O78" s="82" t="str">
        <x:v>Black</x:v>
      </x:c>
      <x:c r="P78" s="82" t="str">
        <x:v>China</x:v>
      </x:c>
      <x:c r="Q78" s="82" t="str"/>
      <x:c r="R78" s="82" t="str">
        <x:v>Outra linha</x:v>
      </x:c>
      <x:c r="S78" s="82" t="str">
        <x:v>Incomum</x:v>
      </x:c>
      <x:c r="T78" s="82" t="str">
        <x:v>Lançado</x:v>
      </x:c>
      <x:c r="U78" s="82" t="str"/>
      <x:c r="V78" s="80" t="str">
        <x:v>Escala 1:87</x:v>
      </x:c>
      <x:c r="W78" s="82" t="str">
        <x:v>https://hotwheels.fandom.com/wiki/Enzo_Ferrari_(1:87)</x:v>
      </x:c>
      <x:c r="X78" s="82" t="str">
        <x:v>https://hotwheels.fandom.com/wiki/Enzo_Ferrari_(1:87)</x:v>
      </x:c>
    </x:row>
    <x:row r="79">
      <x:c r="A79" s="80" t="str">
        <x:v>Não</x:v>
      </x:c>
      <x:c r="B79" s="80" t="str">
        <x:v>Fora da meta principal</x:v>
      </x:c>
      <x:c r="C79" s="81" t="n">
        <x:v>2006</x:v>
      </x:c>
      <x:c r="D79" s="80" t="str">
        <x:v>Ferrari F430 (1:50)</x:v>
      </x:c>
      <x:c r="E79" s="80" t="str">
        <x:v>Ferrari F430</x:v>
      </x:c>
      <x:c r="F79" s="82" t="str">
        <x:v>Dropstars 1:50 Scale</x:v>
      </x:c>
      <x:c r="G79" s="80" t="str"/>
      <x:c r="H79" s="80" t="str"/>
      <x:c r="I79" s="83" t="str">
        <x:v>G7063</x:v>
      </x:c>
      <x:c r="J79" s="80" t="str"/>
      <x:c r="K79" s="82" t="str"/>
      <x:c r="L79" s="82" t="str"/>
      <x:c r="M79" s="82" t="str"/>
      <x:c r="N79" s="82" t="str"/>
      <x:c r="O79" s="82" t="str"/>
      <x:c r="P79" s="82" t="str"/>
      <x:c r="Q79" s="82" t="str"/>
      <x:c r="R79" s="82" t="str">
        <x:v>Outra linha</x:v>
      </x:c>
      <x:c r="S79" s="82" t="str">
        <x:v>Incomum</x:v>
      </x:c>
      <x:c r="T79" s="82" t="str">
        <x:v>Lançado</x:v>
      </x:c>
      <x:c r="U79" s="82" t="str"/>
      <x:c r="V79" s="80" t="str">
        <x:v>Escala 1:50</x:v>
      </x:c>
      <x:c r="W79" s="82" t="str">
        <x:v>https://hotwheels.fandom.com/wiki/Ferrari</x:v>
      </x:c>
      <x:c r="X79" s="82" t="str">
        <x:v>https://hotwheels.fandom.com/wiki/Ferrari_F430_(1:50)</x:v>
      </x:c>
    </x:row>
    <x:row r="80">
      <x:c r="A80" s="80" t="str">
        <x:v>Não</x:v>
      </x:c>
      <x:c r="B80" s="80" t="str">
        <x:v>Fora da meta principal</x:v>
      </x:c>
      <x:c r="C80" s="81" t="n">
        <x:v>2006</x:v>
      </x:c>
      <x:c r="D80" s="80" t="str">
        <x:v>Ferrari F430 (1:50)</x:v>
      </x:c>
      <x:c r="E80" s="80" t="str">
        <x:v>Ferrari F430</x:v>
      </x:c>
      <x:c r="F80" s="82" t="str">
        <x:v>Dropstars 1:50 Scale (Mix J) / 1/6</x:v>
      </x:c>
      <x:c r="G80" s="80" t="str"/>
      <x:c r="H80" s="80" t="str"/>
      <x:c r="I80" s="83" t="str"/>
      <x:c r="J80" s="80" t="str">
        <x:v>Yellow</x:v>
      </x:c>
      <x:c r="K80" s="82" t="str"/>
      <x:c r="L80" s="82" t="str">
        <x:v>RR</x:v>
      </x:c>
      <x:c r="M80" s="82" t="str">
        <x:v>Base type / Color</x:v>
      </x:c>
      <x:c r="N80" s="82" t="str"/>
      <x:c r="O80" s="82" t="str"/>
      <x:c r="P80" s="82" t="str">
        <x:v>Thailand</x:v>
      </x:c>
      <x:c r="Q80" s="82" t="str"/>
      <x:c r="R80" s="82" t="str">
        <x:v>Outra linha</x:v>
      </x:c>
      <x:c r="S80" s="82" t="str">
        <x:v>Incomum</x:v>
      </x:c>
      <x:c r="T80" s="82" t="str">
        <x:v>Lançado</x:v>
      </x:c>
      <x:c r="U80" s="82" t="str"/>
      <x:c r="V80" s="80" t="str">
        <x:v>Escala 1:50</x:v>
      </x:c>
      <x:c r="W80" s="82" t="str">
        <x:v>https://hotwheels.fandom.com/wiki/Ferrari_F430_(1:50)</x:v>
      </x:c>
      <x:c r="X80" s="82" t="str">
        <x:v>https://hotwheels.fandom.com/wiki/Ferrari_F430_(1:50)</x:v>
      </x:c>
    </x:row>
    <x:row r="81">
      <x:c r="A81" s="80" t="str">
        <x:v>Não</x:v>
      </x:c>
      <x:c r="B81" s="80" t="str">
        <x:v>Fora da meta principal</x:v>
      </x:c>
      <x:c r="C81" s="81" t="n">
        <x:v>2006</x:v>
      </x:c>
      <x:c r="D81" s="80" t="str">
        <x:v>Ferrari F430 (1:50)</x:v>
      </x:c>
      <x:c r="E81" s="80" t="str">
        <x:v>Ferrari F430</x:v>
      </x:c>
      <x:c r="F81" s="82" t="str">
        <x:v>Dropstars 1:50 Scale (Mix M) / 2/6</x:v>
      </x:c>
      <x:c r="G81" s="80" t="str"/>
      <x:c r="H81" s="80" t="str"/>
      <x:c r="I81" s="83" t="str"/>
      <x:c r="J81" s="80" t="str">
        <x:v>Silver</x:v>
      </x:c>
      <x:c r="K81" s="82" t="str"/>
      <x:c r="L81" s="82" t="str">
        <x:v>RR</x:v>
      </x:c>
      <x:c r="M81" s="82" t="str">
        <x:v>Base type / Color</x:v>
      </x:c>
      <x:c r="N81" s="82" t="str"/>
      <x:c r="O81" s="82" t="str"/>
      <x:c r="P81" s="82" t="str">
        <x:v>Thailand</x:v>
      </x:c>
      <x:c r="Q81" s="82" t="str"/>
      <x:c r="R81" s="82" t="str">
        <x:v>Outra linha</x:v>
      </x:c>
      <x:c r="S81" s="82" t="str">
        <x:v>Incomum</x:v>
      </x:c>
      <x:c r="T81" s="82" t="str">
        <x:v>Lançado</x:v>
      </x:c>
      <x:c r="U81" s="82" t="str"/>
      <x:c r="V81" s="80" t="str">
        <x:v>Escala 1:50</x:v>
      </x:c>
      <x:c r="W81" s="82" t="str">
        <x:v>https://hotwheels.fandom.com/wiki/Ferrari_F430_(1:50)</x:v>
      </x:c>
      <x:c r="X81" s="82" t="str">
        <x:v>https://hotwheels.fandom.com/wiki/Ferrari_F430_(1:50)</x:v>
      </x:c>
    </x:row>
    <x:row r="82">
      <x:c r="A82" s="80" t="str">
        <x:v>Não</x:v>
      </x:c>
      <x:c r="B82" s="80" t="str">
        <x:v>Fora da meta principal</x:v>
      </x:c>
      <x:c r="C82" s="81" t="n">
        <x:v>2005</x:v>
      </x:c>
      <x:c r="D82" s="80" t="str">
        <x:v>Ferrari 360 Spider</x:v>
      </x:c>
      <x:c r="E82" s="80" t="str">
        <x:v>Ferrari 360 Spider</x:v>
      </x:c>
      <x:c r="F82" s="82" t="str">
        <x:v>Dropstars 1:24 Scale</x:v>
      </x:c>
      <x:c r="G82" s="80" t="str"/>
      <x:c r="H82" s="80" t="str"/>
      <x:c r="I82" s="83" t="str">
        <x:v>H3033</x:v>
      </x:c>
      <x:c r="J82" s="80" t="str"/>
      <x:c r="K82" s="82" t="str"/>
      <x:c r="L82" s="82" t="str"/>
      <x:c r="M82" s="82" t="str"/>
      <x:c r="N82" s="82" t="str"/>
      <x:c r="O82" s="82" t="str"/>
      <x:c r="P82" s="82" t="str"/>
      <x:c r="Q82" s="82" t="str"/>
      <x:c r="R82" s="82" t="str">
        <x:v>Outra linha</x:v>
      </x:c>
      <x:c r="S82" s="82" t="str">
        <x:v>Incomum</x:v>
      </x:c>
      <x:c r="T82" s="82" t="str">
        <x:v>Lançado</x:v>
      </x:c>
      <x:c r="U82" s="82" t="str"/>
      <x:c r="V82" s="80" t="str">
        <x:v>Escala 1:24</x:v>
      </x:c>
      <x:c r="W82" s="82" t="str">
        <x:v>https://hotwheels.fandom.com/wiki/Ferrari</x:v>
      </x:c>
      <x:c r="X82" s="82" t="str"/>
    </x:row>
    <x:row r="83">
      <x:c r="A83" s="80" t="str">
        <x:v>Não</x:v>
      </x:c>
      <x:c r="B83" s="80" t="str">
        <x:v>Fora da meta principal</x:v>
      </x:c>
      <x:c r="C83" s="81" t="n">
        <x:v>2005</x:v>
      </x:c>
      <x:c r="D83" s="80" t="str">
        <x:v>Ferrari 360 Spider (1:50)</x:v>
      </x:c>
      <x:c r="E83" s="80" t="str">
        <x:v>Ferrari 360 Spider</x:v>
      </x:c>
      <x:c r="F83" s="82" t="str">
        <x:v>Dropstars 1:50 Scale</x:v>
      </x:c>
      <x:c r="G83" s="80" t="str"/>
      <x:c r="H83" s="80" t="str"/>
      <x:c r="I83" s="83" t="str">
        <x:v>G7070</x:v>
      </x:c>
      <x:c r="J83" s="80" t="str">
        <x:v>Black</x:v>
      </x:c>
      <x:c r="K83" s="82" t="str">
        <x:v>Headlight &amp; Taillight Details, Ferrari Badges</x:v>
      </x:c>
      <x:c r="L83" s="82" t="str">
        <x:v>RR</x:v>
      </x:c>
      <x:c r="M83" s="82" t="str">
        <x:v>Black / / / Plastic</x:v>
      </x:c>
      <x:c r="N83" s="82" t="str">
        <x:v>Clear</x:v>
      </x:c>
      <x:c r="O83" s="82" t="str">
        <x:v>Black</x:v>
      </x:c>
      <x:c r="P83" s="82" t="str">
        <x:v>China</x:v>
      </x:c>
      <x:c r="Q83" s="82" t="str"/>
      <x:c r="R83" s="82" t="str">
        <x:v>Outra linha</x:v>
      </x:c>
      <x:c r="S83" s="82" t="str">
        <x:v>Incomum</x:v>
      </x:c>
      <x:c r="T83" s="82" t="str">
        <x:v>Lançado</x:v>
      </x:c>
      <x:c r="U83" s="82" t="str"/>
      <x:c r="V83" s="80" t="str">
        <x:v>Escala 1:50</x:v>
      </x:c>
      <x:c r="W83" s="82" t="str">
        <x:v>https://hotwheels.fandom.com/wiki/Ferrari_360_Spider_(1:50)</x:v>
      </x:c>
      <x:c r="X83" s="82" t="str">
        <x:v>https://hotwheels.fandom.com/wiki/Ferrari_360_Spider_(1:50)</x:v>
      </x:c>
    </x:row>
    <x:row r="84">
      <x:c r="A84" s="80" t="str">
        <x:v>Não</x:v>
      </x:c>
      <x:c r="B84" s="80" t="str">
        <x:v>Fora da meta principal</x:v>
      </x:c>
      <x:c r="C84" s="81" t="n">
        <x:v>2005</x:v>
      </x:c>
      <x:c r="D84" s="80" t="str">
        <x:v>Ferrari 360 Spider (1:50)</x:v>
      </x:c>
      <x:c r="E84" s="80" t="str">
        <x:v>Ferrari 360 Spider</x:v>
      </x:c>
      <x:c r="F84" s="82" t="str">
        <x:v>Dropstars 1:50 Scale</x:v>
      </x:c>
      <x:c r="G84" s="80" t="str"/>
      <x:c r="H84" s="80" t="str"/>
      <x:c r="I84" s="83" t="str">
        <x:v>G7070</x:v>
      </x:c>
      <x:c r="J84" s="80" t="str">
        <x:v>Metalflake Silver</x:v>
      </x:c>
      <x:c r="K84" s="82" t="str">
        <x:v>Headlight &amp; Taillight Details, Ferrari Badges</x:v>
      </x:c>
      <x:c r="L84" s="82" t="str">
        <x:v>RR</x:v>
      </x:c>
      <x:c r="M84" s="82" t="str">
        <x:v>Black / / / Plastic</x:v>
      </x:c>
      <x:c r="N84" s="82" t="str">
        <x:v>Clear</x:v>
      </x:c>
      <x:c r="O84" s="82" t="str">
        <x:v>Black</x:v>
      </x:c>
      <x:c r="P84" s="82" t="str">
        <x:v>China</x:v>
      </x:c>
      <x:c r="Q84" s="82" t="str"/>
      <x:c r="R84" s="82" t="str">
        <x:v>Outra linha</x:v>
      </x:c>
      <x:c r="S84" s="82" t="str">
        <x:v>Incomum</x:v>
      </x:c>
      <x:c r="T84" s="82" t="str">
        <x:v>Lançado</x:v>
      </x:c>
      <x:c r="U84" s="82" t="str">
        <x:v>Production date(s): / 2415 EA</x:v>
      </x:c>
      <x:c r="V84" s="80" t="str">
        <x:v>Escala 1:50</x:v>
      </x:c>
      <x:c r="W84" s="82" t="str">
        <x:v>https://hotwheels.fandom.com/wiki/Ferrari_360_Spider_(1:50)</x:v>
      </x:c>
      <x:c r="X84" s="82" t="str">
        <x:v>https://hotwheels.fandom.com/wiki/Ferrari_360_Spider_(1:50)</x:v>
      </x:c>
    </x:row>
    <x:row r="85">
      <x:c r="A85" s="80" t="str">
        <x:v>Não</x:v>
      </x:c>
      <x:c r="B85" s="80" t="str">
        <x:v>Fora da meta principal</x:v>
      </x:c>
      <x:c r="C85" s="81" t="n">
        <x:v>2005</x:v>
      </x:c>
      <x:c r="D85" s="80" t="str">
        <x:v>Ferrari 360 Spider (1:50)</x:v>
      </x:c>
      <x:c r="E85" s="80" t="str">
        <x:v>Ferrari 360 Spider</x:v>
      </x:c>
      <x:c r="F85" s="82" t="str">
        <x:v>Dropstars 1:50 Scale</x:v>
      </x:c>
      <x:c r="G85" s="80" t="str"/>
      <x:c r="H85" s="80" t="str"/>
      <x:c r="I85" s="83" t="str">
        <x:v>G7070</x:v>
      </x:c>
      <x:c r="J85" s="80" t="str">
        <x:v>Red</x:v>
      </x:c>
      <x:c r="K85" s="82" t="str">
        <x:v>Headlight &amp; Taillight Details, Ferrari Badges</x:v>
      </x:c>
      <x:c r="L85" s="82" t="str">
        <x:v>RR</x:v>
      </x:c>
      <x:c r="M85" s="82" t="str">
        <x:v>Black / / / Plastic</x:v>
      </x:c>
      <x:c r="N85" s="82" t="str"/>
      <x:c r="O85" s="82" t="str"/>
      <x:c r="P85" s="82" t="str">
        <x:v>China</x:v>
      </x:c>
      <x:c r="Q85" s="82" t="str"/>
      <x:c r="R85" s="82" t="str">
        <x:v>Outra linha</x:v>
      </x:c>
      <x:c r="S85" s="82" t="str">
        <x:v>Incomum</x:v>
      </x:c>
      <x:c r="T85" s="82" t="str">
        <x:v>Lançado</x:v>
      </x:c>
      <x:c r="U85" s="82" t="str"/>
      <x:c r="V85" s="80" t="str">
        <x:v>Escala 1:50</x:v>
      </x:c>
      <x:c r="W85" s="82" t="str">
        <x:v>https://hotwheels.fandom.com/wiki/Ferrari_360_Spider_(1:50)</x:v>
      </x:c>
      <x:c r="X85" s="82" t="str">
        <x:v>https://hotwheels.fandom.com/wiki/Ferrari_360_Spider_(1:50)</x:v>
      </x:c>
    </x:row>
    <x:row r="86">
      <x:c r="A86" s="80" t="str">
        <x:v>Não</x:v>
      </x:c>
      <x:c r="B86" s="80" t="str">
        <x:v>Fora da meta principal</x:v>
      </x:c>
      <x:c r="C86" s="81" t="n">
        <x:v>2004</x:v>
      </x:c>
      <x:c r="D86" s="80" t="str">
        <x:v>Ferrari F50 (Planet Micro)</x:v>
      </x:c>
      <x:c r="E86" s="80" t="str">
        <x:v>Ferrari F50</x:v>
      </x:c>
      <x:c r="F86" s="82" t="str">
        <x:v>Atomix Speed Machines</x:v>
      </x:c>
      <x:c r="G86" s="80" t="str"/>
      <x:c r="H86" s="80" t="str"/>
      <x:c r="I86" s="83" t="str"/>
      <x:c r="J86" s="80" t="str">
        <x:v>Red</x:v>
      </x:c>
      <x:c r="K86" s="82" t="str"/>
      <x:c r="L86" s="82" t="str"/>
      <x:c r="M86" s="82" t="str"/>
      <x:c r="N86" s="82" t="str"/>
      <x:c r="O86" s="82" t="str"/>
      <x:c r="P86" s="82" t="str"/>
      <x:c r="Q86" s="82" t="str"/>
      <x:c r="R86" s="82" t="str">
        <x:v>Premium</x:v>
      </x:c>
      <x:c r="S86" s="82" t="str">
        <x:v>Incomum</x:v>
      </x:c>
      <x:c r="T86" s="82" t="str">
        <x:v>Lançado</x:v>
      </x:c>
      <x:c r="U86" s="82" t="str"/>
      <x:c r="V86" s="80" t="str">
        <x:v>Micro</x:v>
      </x:c>
      <x:c r="W86" s="82" t="str">
        <x:v>https://hotwheels.fandom.com/wiki/Ferrari_F50_(Planet_Micro)</x:v>
      </x:c>
      <x:c r="X86" s="82" t="str">
        <x:v>https://hotwheels.fandom.com/wiki/Ferrari_F50_(Planet_Micro)</x:v>
      </x:c>
    </x:row>
    <x:row r="87">
      <x:c r="A87" s="80" t="str">
        <x:v>Não</x:v>
      </x:c>
      <x:c r="B87" s="80" t="str">
        <x:v>Fora da meta principal</x:v>
      </x:c>
      <x:c r="C87" s="81" t="n">
        <x:v>2003</x:v>
      </x:c>
      <x:c r="D87" s="80" t="str">
        <x:v>Ferrari F50 (Planet Micro)</x:v>
      </x:c>
      <x:c r="E87" s="80" t="str">
        <x:v>Ferrari F50</x:v>
      </x:c>
      <x:c r="F87" s="82" t="str">
        <x:v>Road Rockets</x:v>
      </x:c>
      <x:c r="G87" s="80" t="str"/>
      <x:c r="H87" s="80" t="str"/>
      <x:c r="I87" s="83" t="str"/>
      <x:c r="J87" s="80" t="str">
        <x:v>Red</x:v>
      </x:c>
      <x:c r="K87" s="82" t="str">
        <x:v>with racing number</x:v>
      </x:c>
      <x:c r="L87" s="82" t="str"/>
      <x:c r="M87" s="82" t="str"/>
      <x:c r="N87" s="82" t="str"/>
      <x:c r="O87" s="82" t="str"/>
      <x:c r="P87" s="82" t="str"/>
      <x:c r="Q87" s="82" t="str"/>
      <x:c r="R87" s="82" t="str">
        <x:v>Outra linha</x:v>
      </x:c>
      <x:c r="S87" s="82" t="str">
        <x:v>Incomum</x:v>
      </x:c>
      <x:c r="T87" s="82" t="str">
        <x:v>Lançado</x:v>
      </x:c>
      <x:c r="U87" s="82" t="str"/>
      <x:c r="V87" s="80" t="str">
        <x:v>Micro</x:v>
      </x:c>
      <x:c r="W87" s="82" t="str">
        <x:v>https://hotwheels.fandom.com/wiki/Ferrari_F50_(Planet_Micro)</x:v>
      </x:c>
      <x:c r="X87" s="82" t="str">
        <x:v>https://hotwheels.fandom.com/wiki/Ferrari_F50_(Planet_Micro)</x:v>
      </x:c>
    </x:row>
    <x:row r="88">
      <x:c r="A88" s="80" t="str">
        <x:v>Não</x:v>
      </x:c>
      <x:c r="B88" s="80" t="str">
        <x:v>Fora da meta principal</x:v>
      </x:c>
      <x:c r="C88" s="81" t="n">
        <x:v>2001</x:v>
      </x:c>
      <x:c r="D88" s="80" t="str">
        <x:v>Ferrari 365 GTS/4 (1:43)</x:v>
      </x:c>
      <x:c r="E88" s="80" t="str">
        <x:v>Ferrari 365 GTS/4</x:v>
      </x:c>
      <x:c r="F88" s="82" t="str">
        <x:v>FAO Schwarz Motor Trend Vintage Race Series Set</x:v>
      </x:c>
      <x:c r="G88" s="80" t="str"/>
      <x:c r="H88" s="80" t="str"/>
      <x:c r="I88" s="83" t="str">
        <x:v>50457</x:v>
      </x:c>
      <x:c r="J88" s="80" t="str">
        <x:v>Black</x:v>
      </x:c>
      <x:c r="K88" s="82" t="str">
        <x:v>Headlights, Ferrari Daytona on sides (small), Ferrari logo on hood, "FERRARI" on trunk, black and silver window trim</x:v>
      </x:c>
      <x:c r="L88" s="82" t="str">
        <x:v>SRR</x:v>
      </x:c>
      <x:c r="M88" s="82" t="str">
        <x:v>Black / / / Plastic</x:v>
      </x:c>
      <x:c r="N88" s="82" t="str">
        <x:v>Clear</x:v>
      </x:c>
      <x:c r="O88" s="82" t="str">
        <x:v>Tan</x:v>
      </x:c>
      <x:c r="P88" s="82" t="str">
        <x:v>China</x:v>
      </x:c>
      <x:c r="Q88" s="82" t="str"/>
      <x:c r="R88" s="82" t="str">
        <x:v>Outra linha</x:v>
      </x:c>
      <x:c r="S88" s="82" t="str">
        <x:v>Incomum</x:v>
      </x:c>
      <x:c r="T88" s="82" t="str">
        <x:v>Lançado</x:v>
      </x:c>
      <x:c r="U88" s="82" t="str">
        <x:v>Detailed under carriage / Base name "Daytona 365 GTB"</x:v>
      </x:c>
      <x:c r="V88" s="80" t="str">
        <x:v>Escala 1:43</x:v>
      </x:c>
      <x:c r="W88" s="82" t="str">
        <x:v>https://hotwheels.fandom.com/wiki/Ferrari_365_GTS/4_(1:43)</x:v>
      </x:c>
      <x:c r="X88" s="82" t="str">
        <x:v>https://hotwheels.fandom.com/wiki/Ferrari_365_GTS/4_(1:43)</x:v>
      </x:c>
    </x:row>
    <x:row r="89">
      <x:c r="A89" s="80" t="str">
        <x:v>Não</x:v>
      </x:c>
      <x:c r="B89" s="80" t="str">
        <x:v>Fora da meta principal</x:v>
      </x:c>
      <x:c r="C89" s="81" t="n">
        <x:v>2000</x:v>
      </x:c>
      <x:c r="D89" s="80" t="str">
        <x:v>Ferrari 365 GTS/4 (1:43)</x:v>
      </x:c>
      <x:c r="E89" s="80" t="str">
        <x:v>Ferrari 365 GTS/4</x:v>
      </x:c>
      <x:c r="F89" s="82" t="str">
        <x:v>Hot Wheels Collectibles 1:43 Scale</x:v>
      </x:c>
      <x:c r="G89" s="80" t="str"/>
      <x:c r="H89" s="80" t="str"/>
      <x:c r="I89" s="83" t="str">
        <x:v>25718</x:v>
      </x:c>
      <x:c r="J89" s="80" t="str">
        <x:v>Yellow</x:v>
      </x:c>
      <x:c r="K89" s="82" t="str"/>
      <x:c r="L89" s="82" t="str"/>
      <x:c r="M89" s="82" t="str">
        <x:v>Black, Detailed</x:v>
      </x:c>
      <x:c r="N89" s="82" t="str">
        <x:v>Clear</x:v>
      </x:c>
      <x:c r="O89" s="82" t="str">
        <x:v>Black</x:v>
      </x:c>
      <x:c r="P89" s="82" t="str"/>
      <x:c r="Q89" s="82" t="str"/>
      <x:c r="R89" s="82" t="str">
        <x:v>100% / Collectibles</x:v>
      </x:c>
      <x:c r="S89" s="82" t="str">
        <x:v>Incomum</x:v>
      </x:c>
      <x:c r="T89" s="82" t="str">
        <x:v>Lançado</x:v>
      </x:c>
      <x:c r="U89" s="82" t="str">
        <x:v>Named / 365 GTB/4</x:v>
      </x:c>
      <x:c r="V89" s="80" t="str">
        <x:v>Escala 1:43</x:v>
      </x:c>
      <x:c r="W89" s="82" t="str">
        <x:v>https://hotwheels.fandom.com/wiki/Ferrari_365_GTS/4_(1:43)</x:v>
      </x:c>
      <x:c r="X89" s="82" t="str">
        <x:v>https://hotwheels.fandom.com/wiki/Ferrari_365_GTS/4_(1:43)</x:v>
      </x:c>
    </x:row>
    <x:row r="90">
      <x:c r="A90" s="80" t="str">
        <x:v>Não</x:v>
      </x:c>
      <x:c r="B90" s="80" t="str">
        <x:v>Fora da meta principal</x:v>
      </x:c>
      <x:c r="C90" s="81" t="n">
        <x:v>2000</x:v>
      </x:c>
      <x:c r="D90" s="80" t="str">
        <x:v>Ferrari 365 GTS/4 (1:43)</x:v>
      </x:c>
      <x:c r="E90" s="80" t="str">
        <x:v>Ferrari 365 GTS/4</x:v>
      </x:c>
      <x:c r="F90" s="82" t="str">
        <x:v>Hot Wheels Collectibles 1:43 Scale</x:v>
      </x:c>
      <x:c r="G90" s="80" t="str"/>
      <x:c r="H90" s="80" t="str"/>
      <x:c r="I90" s="83" t="str">
        <x:v>25719</x:v>
      </x:c>
      <x:c r="J90" s="80" t="str">
        <x:v>Yellow</x:v>
      </x:c>
      <x:c r="K90" s="82" t="str">
        <x:v>Ferrari logo in front of hood, "Ferrari" on trunk, detailed headlights, taillights, and trim</x:v>
      </x:c>
      <x:c r="L90" s="82" t="str">
        <x:v>Real Rubber</x:v>
      </x:c>
      <x:c r="M90" s="82" t="str">
        <x:v>Black , detailed</x:v>
      </x:c>
      <x:c r="N90" s="82" t="str">
        <x:v>Clear, Yellow trim</x:v>
      </x:c>
      <x:c r="O90" s="82" t="str">
        <x:v>Black</x:v>
      </x:c>
      <x:c r="P90" s="82" t="str">
        <x:v>China</x:v>
      </x:c>
      <x:c r="Q90" s="82" t="str"/>
      <x:c r="R90" s="82" t="str">
        <x:v>100% / Collectibles</x:v>
      </x:c>
      <x:c r="S90" s="82" t="str">
        <x:v>Incomum</x:v>
      </x:c>
      <x:c r="T90" s="82" t="str">
        <x:v>Lançado</x:v>
      </x:c>
      <x:c r="U90" s="82" t="str">
        <x:v>Named 365 GTS/4 / Base name "Daytona 365 GTS Spider"</x:v>
      </x:c>
      <x:c r="V90" s="80" t="str">
        <x:v>Escala 1:43</x:v>
      </x:c>
      <x:c r="W90" s="82" t="str">
        <x:v>https://hotwheels.fandom.com/wiki/Ferrari_365_GTS/4_(1:43)</x:v>
      </x:c>
      <x:c r="X90" s="82" t="str">
        <x:v>https://hotwheels.fandom.com/wiki/Ferrari_365_GTS/4_(1:43)</x:v>
      </x:c>
    </x:row>
    <x:row r="91">
      <x:c r="A91" s="80" t="str">
        <x:v>Não</x:v>
      </x:c>
      <x:c r="B91" s="80" t="str">
        <x:v>Fora da meta principal</x:v>
      </x:c>
      <x:c r="C91" s="81" t="n">
        <x:v>1999</x:v>
      </x:c>
      <x:c r="D91" s="80" t="str">
        <x:v>Ferrari 365 GTS/4 (1:43)</x:v>
      </x:c>
      <x:c r="E91" s="80" t="str">
        <x:v>Ferrari 365 GTS/4</x:v>
      </x:c>
      <x:c r="F91" s="82" t="str">
        <x:v>Hot Wheels Collectibles 1:43 Scale</x:v>
      </x:c>
      <x:c r="G91" s="80" t="str"/>
      <x:c r="H91" s="80" t="str"/>
      <x:c r="I91" s="83" t="str">
        <x:v>22183</x:v>
      </x:c>
      <x:c r="J91" s="80" t="str">
        <x:v>Yellow</x:v>
      </x:c>
      <x:c r="K91" s="82" t="str">
        <x:v>Ferrari logo in front of hood, "Ferrari" on trunk, detailed headlights, taillights, and trim</x:v>
      </x:c>
      <x:c r="L91" s="82" t="str"/>
      <x:c r="M91" s="82" t="str"/>
      <x:c r="N91" s="82" t="str">
        <x:v>Clear</x:v>
      </x:c>
      <x:c r="O91" s="82" t="str">
        <x:v>Black</x:v>
      </x:c>
      <x:c r="P91" s="82" t="str">
        <x:v>China</x:v>
      </x:c>
      <x:c r="Q91" s="82" t="str"/>
      <x:c r="R91" s="82" t="str">
        <x:v>100% / Collectibles</x:v>
      </x:c>
      <x:c r="S91" s="82" t="str">
        <x:v>Rara</x:v>
      </x:c>
      <x:c r="T91" s="82" t="str">
        <x:v>Lançado</x:v>
      </x:c>
      <x:c r="U91" s="82" t="str">
        <x:v>Named 1968 365 GTS Daytona Spider</x:v>
      </x:c>
      <x:c r="V91" s="80" t="str">
        <x:v>Escala 1:43</x:v>
      </x:c>
      <x:c r="W91" s="82" t="str">
        <x:v>https://hotwheels.fandom.com/wiki/Ferrari_365_GTS/4_(1:43)</x:v>
      </x:c>
      <x:c r="X91" s="82" t="str">
        <x:v>https://hotwheels.fandom.com/wiki/Ferrari_365_GTS/4_(1:43)</x:v>
      </x:c>
    </x:row>
    <x:row r="92">
      <x:c r="A92" s="80" t="str">
        <x:v>Não</x:v>
      </x:c>
      <x:c r="B92" s="80" t="str">
        <x:v>Fora da meta principal</x:v>
      </x:c>
      <x:c r="C92" s="81" t="n">
        <x:v>1999</x:v>
      </x:c>
      <x:c r="D92" s="80" t="str">
        <x:v>Ferrari F50 (Planet Micro)</x:v>
      </x:c>
      <x:c r="E92" s="80" t="str">
        <x:v>Ferrari F50</x:v>
      </x:c>
      <x:c r="F92" s="82" t="str">
        <x:v>Sport Cars Series 3</x:v>
      </x:c>
      <x:c r="G92" s="80" t="str"/>
      <x:c r="H92" s="80" t="str"/>
      <x:c r="I92" s="83" t="str">
        <x:v>20415</x:v>
      </x:c>
      <x:c r="J92" s="80" t="str">
        <x:v>Spectraflame Red</x:v>
      </x:c>
      <x:c r="K92" s="82" t="str">
        <x:v>Tailights, Headlights &amp; Yellow badge</x:v>
      </x:c>
      <x:c r="L92" s="82" t="str">
        <x:v>MPM5SP</x:v>
      </x:c>
      <x:c r="M92" s="82" t="str">
        <x:v>Metal</x:v>
      </x:c>
      <x:c r="N92" s="82" t="str">
        <x:v>Chrome w/ Black wiper</x:v>
      </x:c>
      <x:c r="O92" s="82" t="str"/>
      <x:c r="P92" s="82" t="str">
        <x:v>China</x:v>
      </x:c>
      <x:c r="Q92" s="82" t="str"/>
      <x:c r="R92" s="82" t="str">
        <x:v>Outra linha</x:v>
      </x:c>
      <x:c r="S92" s="82" t="str">
        <x:v>Rara</x:v>
      </x:c>
      <x:c r="T92" s="82" t="str">
        <x:v>Lançado</x:v>
      </x:c>
      <x:c r="U92" s="82" t="str">
        <x:v>Named Ferrari F50</x:v>
      </x:c>
      <x:c r="V92" s="80" t="str">
        <x:v>Micro</x:v>
      </x:c>
      <x:c r="W92" s="82" t="str">
        <x:v>https://hotwheels.fandom.com/wiki/Ferrari_F50_(Planet_Micro)</x:v>
      </x:c>
      <x:c r="X92" s="82" t="str">
        <x:v>https://hotwheels.fandom.com/wiki/Ferrari_F50_(Planet_Micro)</x:v>
      </x:c>
    </x:row>
    <x:row r="93">
      <x:c r="A93" s="80" t="str">
        <x:v>Não</x:v>
      </x:c>
      <x:c r="B93" s="80" t="str">
        <x:v>Fora da meta principal</x:v>
      </x:c>
      <x:c r="C93" s="81" t="n">
        <x:v>1999</x:v>
      </x:c>
      <x:c r="D93" s="80" t="str">
        <x:v>Ferrari F50 (Planet Micro)</x:v>
      </x:c>
      <x:c r="E93" s="80" t="str">
        <x:v>Ferrari F50</x:v>
      </x:c>
      <x:c r="F93" s="82" t="str">
        <x:v>Sport Cars Series 5</x:v>
      </x:c>
      <x:c r="G93" s="80" t="str"/>
      <x:c r="H93" s="80" t="str"/>
      <x:c r="I93" s="83" t="str"/>
      <x:c r="J93" s="80" t="str">
        <x:v>Yellow</x:v>
      </x:c>
      <x:c r="K93" s="82" t="str">
        <x:v>Headlights, Taillights</x:v>
      </x:c>
      <x:c r="L93" s="82" t="str">
        <x:v>MPM5SP</x:v>
      </x:c>
      <x:c r="M93" s="82" t="str">
        <x:v>Metal</x:v>
      </x:c>
      <x:c r="N93" s="82" t="str">
        <x:v>Grey</x:v>
      </x:c>
      <x:c r="O93" s="82" t="str"/>
      <x:c r="P93" s="82" t="str">
        <x:v>China</x:v>
      </x:c>
      <x:c r="Q93" s="82" t="str"/>
      <x:c r="R93" s="82" t="str">
        <x:v>Outra linha</x:v>
      </x:c>
      <x:c r="S93" s="82" t="str">
        <x:v>Rara</x:v>
      </x:c>
      <x:c r="T93" s="82" t="str">
        <x:v>Lançado</x:v>
      </x:c>
      <x:c r="U93" s="82" t="str"/>
      <x:c r="V93" s="80" t="str">
        <x:v>Micro</x:v>
      </x:c>
      <x:c r="W93" s="82" t="str">
        <x:v>https://hotwheels.fandom.com/wiki/Ferrari_F50_(Planet_Micro)</x:v>
      </x:c>
      <x:c r="X93" s="82" t="str">
        <x:v>https://hotwheels.fandom.com/wiki/Ferrari_F50_(Planet_Micro)</x:v>
      </x:c>
    </x:row>
    <x:row r="94">
      <x:c r="A94" s="80" t="str">
        <x:v>Não</x:v>
      </x:c>
      <x:c r="B94" s="80" t="str">
        <x:v>Fora da meta principal</x:v>
      </x:c>
      <x:c r="C94" s="81" t="n">
        <x:v>1997</x:v>
      </x:c>
      <x:c r="D94" s="80" t="str">
        <x:v>Ferrari F50 (Planet Micro)</x:v>
      </x:c>
      <x:c r="E94" s="80" t="str">
        <x:v>Ferrari F50</x:v>
      </x:c>
      <x:c r="F94" s="82" t="str">
        <x:v>Planet Micro</x:v>
      </x:c>
      <x:c r="G94" s="80" t="str"/>
      <x:c r="H94" s="80" t="str"/>
      <x:c r="I94" s="83" t="str">
        <x:v>20415</x:v>
      </x:c>
      <x:c r="J94" s="80" t="str"/>
      <x:c r="K94" s="82" t="str"/>
      <x:c r="L94" s="82" t="str"/>
      <x:c r="M94" s="82" t="str"/>
      <x:c r="N94" s="82" t="str"/>
      <x:c r="O94" s="82" t="str"/>
      <x:c r="P94" s="82" t="str"/>
      <x:c r="Q94" s="82" t="str"/>
      <x:c r="R94" s="82" t="str">
        <x:v>Outra linha</x:v>
      </x:c>
      <x:c r="S94" s="82" t="str">
        <x:v>Rara</x:v>
      </x:c>
      <x:c r="T94" s="82" t="str">
        <x:v>Lançado</x:v>
      </x:c>
      <x:c r="U94" s="82" t="str"/>
      <x:c r="V94" s="80" t="str">
        <x:v>Micro</x:v>
      </x:c>
      <x:c r="W94" s="82" t="str">
        <x:v>https://hotwheels.fandom.com/wiki/Ferrari</x:v>
      </x:c>
      <x:c r="X94" s="82" t="str">
        <x:v>https://hotwheels.fandom.com/wiki/Ferrari_F50_(Planet_Micro)</x:v>
      </x:c>
    </x:row>
    <x:row r="95">
      <x:c r="A95" s="80" t="str">
        <x:v>Não</x:v>
      </x:c>
      <x:c r="B95" s="80" t="str">
        <x:v>Fora da meta principal</x:v>
      </x:c>
      <x:c r="C95" s="81" t="n">
        <x:v>1997</x:v>
      </x:c>
      <x:c r="D95" s="80" t="str">
        <x:v>Ferrari F50 (Planet Micro)</x:v>
      </x:c>
      <x:c r="E95" s="80" t="str">
        <x:v>Ferrari F50</x:v>
      </x:c>
      <x:c r="F95" s="82" t="str">
        <x:v>Sport Cars Series 1</x:v>
      </x:c>
      <x:c r="G95" s="80" t="str"/>
      <x:c r="H95" s="80" t="str"/>
      <x:c r="I95" s="83" t="str"/>
      <x:c r="J95" s="80" t="str">
        <x:v>Red</x:v>
      </x:c>
      <x:c r="K95" s="82" t="str">
        <x:v>Headlights, Taillights</x:v>
      </x:c>
      <x:c r="L95" s="82" t="str">
        <x:v>MPM5SP</x:v>
      </x:c>
      <x:c r="M95" s="82" t="str">
        <x:v>Metal</x:v>
      </x:c>
      <x:c r="N95" s="82" t="str">
        <x:v>Grey</x:v>
      </x:c>
      <x:c r="O95" s="82" t="str"/>
      <x:c r="P95" s="82" t="str">
        <x:v>China</x:v>
      </x:c>
      <x:c r="Q95" s="82" t="str"/>
      <x:c r="R95" s="82" t="str">
        <x:v>Outra linha</x:v>
      </x:c>
      <x:c r="S95" s="82" t="str">
        <x:v>Rara</x:v>
      </x:c>
      <x:c r="T95" s="82" t="str">
        <x:v>Lançado</x:v>
      </x:c>
      <x:c r="U95" s="82" t="str"/>
      <x:c r="V95" s="80" t="str">
        <x:v>Micro</x:v>
      </x:c>
      <x:c r="W95" s="82" t="str">
        <x:v>https://hotwheels.fandom.com/wiki/Ferrari_F50_(Planet_Micro)</x:v>
      </x:c>
      <x:c r="X95" s="82" t="str">
        <x:v>https://hotwheels.fandom.com/wiki/Ferrari_F50_(Planet_Micro)</x:v>
      </x:c>
    </x:row>
    <x:row r="96">
      <x:c r="A96" s="80" t="str">
        <x:v>Não</x:v>
      </x:c>
      <x:c r="B96" s="80" t="str">
        <x:v>Fora da meta principal</x:v>
      </x:c>
      <x:c r="C96" s="81" t="n">
        <x:v>1997</x:v>
      </x:c>
      <x:c r="D96" s="80" t="str">
        <x:v>Ferrari F50 (Planet Micro)</x:v>
      </x:c>
      <x:c r="E96" s="80" t="str">
        <x:v>Ferrari F50</x:v>
      </x:c>
      <x:c r="F96" s="82" t="str">
        <x:v>Sport Cars Series 2</x:v>
      </x:c>
      <x:c r="G96" s="80" t="str"/>
      <x:c r="H96" s="80" t="str"/>
      <x:c r="I96" s="83" t="str"/>
      <x:c r="J96" s="80" t="str">
        <x:v>Yellow</x:v>
      </x:c>
      <x:c r="K96" s="82" t="str">
        <x:v>Black decals</x:v>
      </x:c>
      <x:c r="L96" s="82" t="str">
        <x:v>MPM5SP</x:v>
      </x:c>
      <x:c r="M96" s="82" t="str">
        <x:v>Metal</x:v>
      </x:c>
      <x:c r="N96" s="82" t="str">
        <x:v>Grey</x:v>
      </x:c>
      <x:c r="O96" s="82" t="str"/>
      <x:c r="P96" s="82" t="str">
        <x:v>China</x:v>
      </x:c>
      <x:c r="Q96" s="82" t="str"/>
      <x:c r="R96" s="82" t="str">
        <x:v>Outra linha</x:v>
      </x:c>
      <x:c r="S96" s="82" t="str">
        <x:v>Rara</x:v>
      </x:c>
      <x:c r="T96" s="82" t="str">
        <x:v>Lançado</x:v>
      </x:c>
      <x:c r="U96" s="82" t="str"/>
      <x:c r="V96" s="80" t="str">
        <x:v>Micro</x:v>
      </x:c>
      <x:c r="W96" s="82" t="str">
        <x:v>https://hotwheels.fandom.com/wiki/Ferrari_F50_(Planet_Micro)</x:v>
      </x:c>
      <x:c r="X96" s="82" t="str">
        <x:v>https://hotwheels.fandom.com/wiki/Ferrari_F50_(Planet_Micro)</x:v>
      </x:c>
    </x:row>
    <x:row r="97">
      <x:c r="A97" s="80" t="str">
        <x:v>Não</x:v>
      </x:c>
      <x:c r="B97" s="80" t="str">
        <x:v>Fora da meta principal</x:v>
      </x:c>
      <x:c r="C97" s="81" t="n">
        <x:v>1997</x:v>
      </x:c>
      <x:c r="D97" s="80" t="str">
        <x:v>Ferrari F50 (Planet Micro)</x:v>
      </x:c>
      <x:c r="E97" s="80" t="str">
        <x:v>Ferrari F50</x:v>
      </x:c>
      <x:c r="F97" s="82" t="str">
        <x:v>Vehicle Transport 1</x:v>
      </x:c>
      <x:c r="G97" s="80" t="str"/>
      <x:c r="H97" s="80" t="str"/>
      <x:c r="I97" s="83" t="str"/>
      <x:c r="J97" s="80" t="str">
        <x:v>Blue</x:v>
      </x:c>
      <x:c r="K97" s="82" t="str"/>
      <x:c r="L97" s="82" t="str">
        <x:v>MPM5SP</x:v>
      </x:c>
      <x:c r="M97" s="82" t="str">
        <x:v>Metal</x:v>
      </x:c>
      <x:c r="N97" s="82" t="str">
        <x:v>Black</x:v>
      </x:c>
      <x:c r="O97" s="82" t="str"/>
      <x:c r="P97" s="82" t="str">
        <x:v>China</x:v>
      </x:c>
      <x:c r="Q97" s="82" t="str"/>
      <x:c r="R97" s="82" t="str">
        <x:v>Outra linha</x:v>
      </x:c>
      <x:c r="S97" s="82" t="str">
        <x:v>Rara</x:v>
      </x:c>
      <x:c r="T97" s="82" t="str">
        <x:v>Lançado</x:v>
      </x:c>
      <x:c r="U97" s="82" t="str"/>
      <x:c r="V97" s="80" t="str">
        <x:v>Micro</x:v>
      </x:c>
      <x:c r="W97" s="82" t="str">
        <x:v>https://hotwheels.fandom.com/wiki/Ferrari_F50_(Planet_Micro)</x:v>
      </x:c>
      <x:c r="X97" s="82" t="str">
        <x:v>https://hotwheels.fandom.com/wiki/Ferrari_F50_(Planet_Micro)</x:v>
      </x:c>
    </x:row>
    <x:row r="98">
      <x:c r="A98" s="80" t="str">
        <x:v>Não</x:v>
      </x:c>
      <x:c r="B98" s="80" t="str">
        <x:v>Fora da meta principal</x:v>
      </x:c>
      <x:c r="C98" s="81" t="n">
        <x:v>1997</x:v>
      </x:c>
      <x:c r="D98" s="80" t="str">
        <x:v>Ferrari F50 (Planet Micro)</x:v>
      </x:c>
      <x:c r="E98" s="80" t="str">
        <x:v>Ferrari F50</x:v>
      </x:c>
      <x:c r="F98" s="82" t="str">
        <x:v>Vehicle Transport 2</x:v>
      </x:c>
      <x:c r="G98" s="80" t="str"/>
      <x:c r="H98" s="80" t="str"/>
      <x:c r="I98" s="83" t="str"/>
      <x:c r="J98" s="80" t="str">
        <x:v>Black</x:v>
      </x:c>
      <x:c r="K98" s="82" t="str"/>
      <x:c r="L98" s="82" t="str">
        <x:v>MPM5SP</x:v>
      </x:c>
      <x:c r="M98" s="82" t="str">
        <x:v>Metal</x:v>
      </x:c>
      <x:c r="N98" s="82" t="str">
        <x:v>Black</x:v>
      </x:c>
      <x:c r="O98" s="82" t="str"/>
      <x:c r="P98" s="82" t="str">
        <x:v>China</x:v>
      </x:c>
      <x:c r="Q98" s="82" t="str"/>
      <x:c r="R98" s="82" t="str">
        <x:v>Outra linha</x:v>
      </x:c>
      <x:c r="S98" s="82" t="str">
        <x:v>Rara</x:v>
      </x:c>
      <x:c r="T98" s="82" t="str">
        <x:v>Lançado</x:v>
      </x:c>
      <x:c r="U98" s="82" t="str"/>
      <x:c r="V98" s="80" t="str">
        <x:v>Micro</x:v>
      </x:c>
      <x:c r="W98" s="82" t="str">
        <x:v>https://hotwheels.fandom.com/wiki/Ferrari_F50_(Planet_Micro)</x:v>
      </x:c>
      <x:c r="X98" s="82" t="str">
        <x:v>https://hotwheels.fandom.com/wiki/Ferrari_F50_(Planet_Micro)</x:v>
      </x:c>
    </x:row>
    <x:row r="99">
      <x:c r="A99" s="80" t="str">
        <x:v>Não</x:v>
      </x:c>
      <x:c r="B99" s="80" t="str">
        <x:v>Fora da meta principal</x:v>
      </x:c>
      <x:c r="C99" s="81" t="n">
        <x:v>1997</x:v>
      </x:c>
      <x:c r="D99" s="80" t="str">
        <x:v>Ferrari F50 (Planet Micro)</x:v>
      </x:c>
      <x:c r="E99" s="80" t="str">
        <x:v>Ferrari F50</x:v>
      </x:c>
      <x:c r="F99" s="82" t="str">
        <x:v>Vehicle Transport 2</x:v>
      </x:c>
      <x:c r="G99" s="80" t="str"/>
      <x:c r="H99" s="80" t="str"/>
      <x:c r="I99" s="83" t="str"/>
      <x:c r="J99" s="80" t="str">
        <x:v>Red</x:v>
      </x:c>
      <x:c r="K99" s="82" t="str"/>
      <x:c r="L99" s="82" t="str">
        <x:v>MPM5SP</x:v>
      </x:c>
      <x:c r="M99" s="82" t="str">
        <x:v>Metal</x:v>
      </x:c>
      <x:c r="N99" s="82" t="str">
        <x:v>Black</x:v>
      </x:c>
      <x:c r="O99" s="82" t="str"/>
      <x:c r="P99" s="82" t="str">
        <x:v>China</x:v>
      </x:c>
      <x:c r="Q99" s="82" t="str"/>
      <x:c r="R99" s="82" t="str">
        <x:v>Outra linha</x:v>
      </x:c>
      <x:c r="S99" s="82" t="str">
        <x:v>Rara</x:v>
      </x:c>
      <x:c r="T99" s="82" t="str">
        <x:v>Lançado</x:v>
      </x:c>
      <x:c r="U99" s="82" t="str"/>
      <x:c r="V99" s="80" t="str">
        <x:v>Micro</x:v>
      </x:c>
      <x:c r="W99" s="82" t="str">
        <x:v>https://hotwheels.fandom.com/wiki/Ferrari_F50_(Planet_Micro)</x:v>
      </x:c>
      <x:c r="X99" s="82" t="str">
        <x:v>https://hotwheels.fandom.com/wiki/Ferrari_F50_(Planet_Micro)</x:v>
      </x:c>
    </x:row>
    <x:row r="100">
      <x:c r="A100" s="80" t="str">
        <x:v>Não</x:v>
      </x:c>
      <x:c r="B100" s="80" t="str">
        <x:v>Fora da meta principal</x:v>
      </x:c>
      <x:c r="C100" s="81" t="n">
        <x:v>1997</x:v>
      </x:c>
      <x:c r="D100" s="80" t="str">
        <x:v>Ferrari F50 (Planet Micro)</x:v>
      </x:c>
      <x:c r="E100" s="80" t="str">
        <x:v>Ferrari F50</x:v>
      </x:c>
      <x:c r="F100" s="82" t="str">
        <x:v>Vehicle Transport 2</x:v>
      </x:c>
      <x:c r="G100" s="80" t="str"/>
      <x:c r="H100" s="80" t="str"/>
      <x:c r="I100" s="83" t="str"/>
      <x:c r="J100" s="80" t="str">
        <x:v>Yellow</x:v>
      </x:c>
      <x:c r="K100" s="82" t="str"/>
      <x:c r="L100" s="82" t="str">
        <x:v>MPM5SP</x:v>
      </x:c>
      <x:c r="M100" s="82" t="str">
        <x:v>Metal</x:v>
      </x:c>
      <x:c r="N100" s="82" t="str">
        <x:v>Black</x:v>
      </x:c>
      <x:c r="O100" s="82" t="str"/>
      <x:c r="P100" s="82" t="str">
        <x:v>China</x:v>
      </x:c>
      <x:c r="Q100" s="82" t="str"/>
      <x:c r="R100" s="82" t="str">
        <x:v>Outra linha</x:v>
      </x:c>
      <x:c r="S100" s="82" t="str">
        <x:v>Rara</x:v>
      </x:c>
      <x:c r="T100" s="82" t="str">
        <x:v>Lançado</x:v>
      </x:c>
      <x:c r="U100" s="82" t="str"/>
      <x:c r="V100" s="80" t="str">
        <x:v>Micro</x:v>
      </x:c>
      <x:c r="W100" s="82" t="str">
        <x:v>https://hotwheels.fandom.com/wiki/Ferrari_F50_(Planet_Micro)</x:v>
      </x:c>
      <x:c r="X100" s="82" t="str">
        <x:v>https://hotwheels.fandom.com/wiki/Ferrari_F50_(Planet_Micro)</x:v>
      </x:c>
    </x:row>
    <x:row r="101">
      <x:c r="A101" s="80" t="str">
        <x:v>Não</x:v>
      </x:c>
      <x:c r="B101" s="80" t="str">
        <x:v>Fora da meta principal</x:v>
      </x:c>
      <x:c r="C101" s="81" t="n">
        <x:v>1996</x:v>
      </x:c>
      <x:c r="D101" s="80" t="str">
        <x:v>Ferrari 348 tb (1:43 Turbos Collection)</x:v>
      </x:c>
      <x:c r="E101" s="80" t="str">
        <x:v>Ferrari 348 tb</x:v>
      </x:c>
      <x:c r="F101" s="82" t="str">
        <x:v>1:43 Turbos Collection</x:v>
      </x:c>
      <x:c r="G101" s="80" t="str"/>
      <x:c r="H101" s="80" t="str"/>
      <x:c r="I101" s="83" t="str">
        <x:v>94210</x:v>
      </x:c>
      <x:c r="J101" s="80" t="str"/>
      <x:c r="K101" s="82" t="str"/>
      <x:c r="L101" s="82" t="str"/>
      <x:c r="M101" s="82" t="str"/>
      <x:c r="N101" s="82" t="str"/>
      <x:c r="O101" s="82" t="str"/>
      <x:c r="P101" s="82" t="str"/>
      <x:c r="Q101" s="82" t="str"/>
      <x:c r="R101" s="82" t="str">
        <x:v>Outra linha</x:v>
      </x:c>
      <x:c r="S101" s="82" t="str">
        <x:v>Rara</x:v>
      </x:c>
      <x:c r="T101" s="82" t="str">
        <x:v>Lançado</x:v>
      </x:c>
      <x:c r="U101" s="82" t="str"/>
      <x:c r="V101" s="80" t="str">
        <x:v>Escala 1:43</x:v>
      </x:c>
      <x:c r="W101" s="82" t="str">
        <x:v>https://hotwheels.fandom.com/wiki/Ferrari</x:v>
      </x:c>
      <x:c r="X101" s="82" t="str">
        <x:v>https://hotwheels.fandom.com/wiki/Ferrari_348_tb_(1:43_Turbos_Collection)</x:v>
      </x:c>
    </x:row>
    <x:row r="102">
      <x:c r="A102" s="80" t="str">
        <x:v>Não</x:v>
      </x:c>
      <x:c r="B102" s="80" t="str">
        <x:v>Fora da meta principal</x:v>
      </x:c>
      <x:c r="C102" s="81" t="n">
        <x:v>1996</x:v>
      </x:c>
      <x:c r="D102" s="80" t="str">
        <x:v>Ferrari F40 (Action Racers)</x:v>
      </x:c>
      <x:c r="E102" s="80" t="str">
        <x:v>Ferrari F40</x:v>
      </x:c>
      <x:c r="F102" s="82" t="str">
        <x:v>Metallic Paint Action Racers</x:v>
      </x:c>
      <x:c r="G102" s="80" t="str"/>
      <x:c r="H102" s="80" t="str"/>
      <x:c r="I102" s="83" t="str">
        <x:v>8188</x:v>
      </x:c>
      <x:c r="J102" s="80" t="str">
        <x:v>Metallic Antifreeze</x:v>
      </x:c>
      <x:c r="K102" s="82" t="str">
        <x:v>small Hot Wheels logo</x:v>
      </x:c>
      <x:c r="L102" s="82" t="str"/>
      <x:c r="M102" s="82" t="str">
        <x:v>Black / / / Plastic</x:v>
      </x:c>
      <x:c r="N102" s="82" t="str">
        <x:v>Black</x:v>
      </x:c>
      <x:c r="O102" s="82" t="str">
        <x:v>N/A</x:v>
      </x:c>
      <x:c r="P102" s="82" t="str">
        <x:v>China</x:v>
      </x:c>
      <x:c r="Q102" s="82" t="str"/>
      <x:c r="R102" s="82" t="str">
        <x:v>Outra linha</x:v>
      </x:c>
      <x:c r="S102" s="82" t="str">
        <x:v>Rara</x:v>
      </x:c>
      <x:c r="T102" s="82" t="str">
        <x:v>Lançado</x:v>
      </x:c>
      <x:c r="U102" s="82" t="str"/>
      <x:c r="V102" s="80" t="str">
        <x:v>Action Racers</x:v>
      </x:c>
      <x:c r="W102" s="82" t="str">
        <x:v>https://hotwheels.fandom.com/wiki/Ferrari_F40_(Action_Racers)</x:v>
      </x:c>
      <x:c r="X102" s="82" t="str">
        <x:v>https://hotwheels.fandom.com/wiki/Ferrari_F40_(Action_Racers)</x:v>
      </x:c>
    </x:row>
    <x:row r="103">
      <x:c r="A103" s="80" t="str">
        <x:v>Não</x:v>
      </x:c>
      <x:c r="B103" s="80" t="str">
        <x:v>Fora da meta principal</x:v>
      </x:c>
      <x:c r="C103" s="81" t="n">
        <x:v>1990</x:v>
      </x:c>
      <x:c r="D103" s="80" t="str">
        <x:v>Ferrari 250 Testa Rossa (micro)</x:v>
      </x:c>
      <x:c r="E103" s="80" t="str">
        <x:v>Ferrari 250 Testa Rossa</x:v>
      </x:c>
      <x:c r="F103" s="82" t="str">
        <x:v>Mini Formula Racers</x:v>
      </x:c>
      <x:c r="G103" s="80" t="str"/>
      <x:c r="H103" s="80" t="str"/>
      <x:c r="I103" s="83" t="str">
        <x:v>4391</x:v>
      </x:c>
      <x:c r="J103" s="80" t="str"/>
      <x:c r="K103" s="82" t="str"/>
      <x:c r="L103" s="82" t="str"/>
      <x:c r="M103" s="82" t="str">
        <x:v>various colours / / / Plastic</x:v>
      </x:c>
      <x:c r="N103" s="82" t="str">
        <x:v>Clear</x:v>
      </x:c>
      <x:c r="O103" s="82" t="str">
        <x:v>Black</x:v>
      </x:c>
      <x:c r="P103" s="82" t="str">
        <x:v>Malaysia</x:v>
      </x:c>
      <x:c r="Q103" s="82" t="str"/>
      <x:c r="R103" s="82" t="str">
        <x:v>Outra linha</x:v>
      </x:c>
      <x:c r="S103" s="82" t="str">
        <x:v>Rara</x:v>
      </x:c>
      <x:c r="T103" s="82" t="str">
        <x:v>Lançado</x:v>
      </x:c>
      <x:c r="U103" s="82" t="str">
        <x:v>Many variation combos of this release</x:v>
      </x:c>
      <x:c r="V103" s="80" t="str">
        <x:v>Micro</x:v>
      </x:c>
      <x:c r="W103" s="82" t="str">
        <x:v>https://hotwheels.fandom.com/wiki/Ferrari_250_Testa_Rossa_(micro)</x:v>
      </x:c>
      <x:c r="X103" s="82" t="str">
        <x:v>https://hotwheels.fandom.com/wiki/Ferrari_250_Testa_Rossa_(micro)</x:v>
      </x:c>
    </x:row>
    <x:row r="104">
      <x:c r="A104" s="80" t="str">
        <x:v>Não</x:v>
      </x:c>
      <x:c r="B104" s="80" t="str">
        <x:v>Fora da meta principal</x:v>
      </x:c>
      <x:c r="C104" s="81" t="n">
        <x:v>1990</x:v>
      </x:c>
      <x:c r="D104" s="80" t="str">
        <x:v>Ferrari 308 (micro)</x:v>
      </x:c>
      <x:c r="E104" s="80" t="str">
        <x:v>Ferrari 308</x:v>
      </x:c>
      <x:c r="F104" s="82" t="str">
        <x:v>Micro Hot Wheels California Custom Hot Watches</x:v>
      </x:c>
      <x:c r="G104" s="80" t="str"/>
      <x:c r="H104" s="80" t="str"/>
      <x:c r="I104" s="83" t="str">
        <x:v>2113</x:v>
      </x:c>
      <x:c r="J104" s="80" t="str">
        <x:v>Red</x:v>
      </x:c>
      <x:c r="K104" s="82" t="str"/>
      <x:c r="L104" s="82" t="str">
        <x:v>MGW</x:v>
      </x:c>
      <x:c r="M104" s="82" t="str"/>
      <x:c r="N104" s="82" t="str"/>
      <x:c r="O104" s="82" t="str"/>
      <x:c r="P104" s="82" t="str">
        <x:v>Malaysia</x:v>
      </x:c>
      <x:c r="Q104" s="82" t="str"/>
      <x:c r="R104" s="82" t="str">
        <x:v>Outra linha</x:v>
      </x:c>
      <x:c r="S104" s="82" t="str">
        <x:v>Rara</x:v>
      </x:c>
      <x:c r="T104" s="82" t="str">
        <x:v>Lançado</x:v>
      </x:c>
      <x:c r="U104" s="82" t="str"/>
      <x:c r="V104" s="80" t="str">
        <x:v>Micro</x:v>
      </x:c>
      <x:c r="W104" s="82" t="str">
        <x:v>https://hotwheels.fandom.com/wiki/Ferrari_308_(micro)</x:v>
      </x:c>
      <x:c r="X104" s="82" t="str">
        <x:v>https://hotwheels.fandom.com/wiki/Ferrari_308_(micro)</x:v>
      </x:c>
    </x:row>
    <x:row r="105">
      <x:c r="A105" s="80" t="str">
        <x:v>Não</x:v>
      </x:c>
      <x:c r="B105" s="80" t="str">
        <x:v>Fora da meta principal</x:v>
      </x:c>
      <x:c r="C105" s="81" t="n">
        <x:v>1990</x:v>
      </x:c>
      <x:c r="D105" s="80" t="str">
        <x:v>Ferrari 308 (micro)</x:v>
      </x:c>
      <x:c r="E105" s="80" t="str">
        <x:v>Ferrari 308</x:v>
      </x:c>
      <x:c r="F105" s="82" t="str">
        <x:v>Micro Hot Wheels California Custom Hot Watches</x:v>
      </x:c>
      <x:c r="G105" s="80" t="str"/>
      <x:c r="H105" s="80" t="str"/>
      <x:c r="I105" s="83" t="str">
        <x:v>2989</x:v>
      </x:c>
      <x:c r="J105" s="80" t="str">
        <x:v>Yellow</x:v>
      </x:c>
      <x:c r="K105" s="82" t="str"/>
      <x:c r="L105" s="82" t="str">
        <x:v>MGW</x:v>
      </x:c>
      <x:c r="M105" s="82" t="str"/>
      <x:c r="N105" s="82" t="str"/>
      <x:c r="O105" s="82" t="str"/>
      <x:c r="P105" s="82" t="str">
        <x:v>Malaysia</x:v>
      </x:c>
      <x:c r="Q105" s="82" t="str"/>
      <x:c r="R105" s="82" t="str">
        <x:v>Outra linha</x:v>
      </x:c>
      <x:c r="S105" s="82" t="str">
        <x:v>Rara</x:v>
      </x:c>
      <x:c r="T105" s="82" t="str">
        <x:v>Lançado</x:v>
      </x:c>
      <x:c r="U105" s="82" t="str"/>
      <x:c r="V105" s="80" t="str">
        <x:v>Micro</x:v>
      </x:c>
      <x:c r="W105" s="82" t="str">
        <x:v>https://hotwheels.fandom.com/wiki/Ferrari_308_(micro)</x:v>
      </x:c>
      <x:c r="X105" s="82" t="str">
        <x:v>https://hotwheels.fandom.com/wiki/Ferrari_308_(micro)</x:v>
      </x:c>
    </x:row>
    <x:row r="106">
      <x:c r="A106" s="80" t="str">
        <x:v>Não</x:v>
      </x:c>
      <x:c r="B106" s="80" t="str">
        <x:v>Fora da meta principal</x:v>
      </x:c>
      <x:c r="C106" s="81" t="n">
        <x:v>1990</x:v>
      </x:c>
      <x:c r="D106" s="80" t="str">
        <x:v>Ferrari 308 (micro)</x:v>
      </x:c>
      <x:c r="E106" s="80" t="str">
        <x:v>Ferrari 308</x:v>
      </x:c>
      <x:c r="F106" s="82" t="str">
        <x:v>Micro Hot Wheels Chroma Racers Serier III</x:v>
      </x:c>
      <x:c r="G106" s="80" t="str"/>
      <x:c r="H106" s="80" t="str"/>
      <x:c r="I106" s="83" t="str">
        <x:v>4984</x:v>
      </x:c>
      <x:c r="J106" s="80" t="str">
        <x:v>Chrome</x:v>
      </x:c>
      <x:c r="K106" s="82" t="str"/>
      <x:c r="L106" s="82" t="str">
        <x:v>MGW</x:v>
      </x:c>
      <x:c r="M106" s="82" t="str">
        <x:v>Black / / / Plastic</x:v>
      </x:c>
      <x:c r="N106" s="82" t="str">
        <x:v>Black Solid</x:v>
      </x:c>
      <x:c r="O106" s="82" t="str">
        <x:v>N/A</x:v>
      </x:c>
      <x:c r="P106" s="82" t="str">
        <x:v>Malaysia</x:v>
      </x:c>
      <x:c r="Q106" s="82" t="str"/>
      <x:c r="R106" s="82" t="str">
        <x:v>Outra linha</x:v>
      </x:c>
      <x:c r="S106" s="82" t="str">
        <x:v>Rara</x:v>
      </x:c>
      <x:c r="T106" s="82" t="str">
        <x:v>Lançado</x:v>
      </x:c>
      <x:c r="U106" s="82" t="str"/>
      <x:c r="V106" s="80" t="str">
        <x:v>Micro</x:v>
      </x:c>
      <x:c r="W106" s="82" t="str">
        <x:v>https://hotwheels.fandom.com/wiki/Ferrari_308_(micro)</x:v>
      </x:c>
      <x:c r="X106" s="82" t="str">
        <x:v>https://hotwheels.fandom.com/wiki/Ferrari_308_(micro)</x:v>
      </x:c>
    </x:row>
    <x:row r="107">
      <x:c r="A107" s="80" t="str">
        <x:v>Não</x:v>
      </x:c>
      <x:c r="B107" s="80" t="str">
        <x:v>Fora da meta principal</x:v>
      </x:c>
      <x:c r="C107" s="81" t="n">
        <x:v>1990</x:v>
      </x:c>
      <x:c r="D107" s="80" t="str">
        <x:v>Ferrari 308 (micro)</x:v>
      </x:c>
      <x:c r="E107" s="80" t="str">
        <x:v>Ferrari 308</x:v>
      </x:c>
      <x:c r="F107" s="82" t="str">
        <x:v>Micro Hot Wheels Chroma Wheels Series III</x:v>
      </x:c>
      <x:c r="G107" s="80" t="str"/>
      <x:c r="H107" s="80" t="str"/>
      <x:c r="I107" s="83" t="str">
        <x:v>4984</x:v>
      </x:c>
      <x:c r="J107" s="80" t="str">
        <x:v>Gold Chrome</x:v>
      </x:c>
      <x:c r="K107" s="82" t="str"/>
      <x:c r="L107" s="82" t="str">
        <x:v>MGW</x:v>
      </x:c>
      <x:c r="M107" s="82" t="str">
        <x:v>Black</x:v>
      </x:c>
      <x:c r="N107" s="82" t="str">
        <x:v>Black</x:v>
      </x:c>
      <x:c r="O107" s="82" t="str"/>
      <x:c r="P107" s="82" t="str">
        <x:v>Malaysia</x:v>
      </x:c>
      <x:c r="Q107" s="82" t="str"/>
      <x:c r="R107" s="82" t="str">
        <x:v>Outra linha</x:v>
      </x:c>
      <x:c r="S107" s="82" t="str">
        <x:v>Rara</x:v>
      </x:c>
      <x:c r="T107" s="82" t="str">
        <x:v>Lançado</x:v>
      </x:c>
      <x:c r="U107" s="82" t="str"/>
      <x:c r="V107" s="80" t="str">
        <x:v>Micro</x:v>
      </x:c>
      <x:c r="W107" s="82" t="str">
        <x:v>https://hotwheels.fandom.com/wiki/Ferrari_308_(micro)</x:v>
      </x:c>
      <x:c r="X107" s="82" t="str">
        <x:v>https://hotwheels.fandom.com/wiki/Ferrari_308_(micro)</x:v>
      </x:c>
    </x:row>
    <x:row r="108">
      <x:c r="A108" s="80" t="str">
        <x:v>Não</x:v>
      </x:c>
      <x:c r="B108" s="80" t="str">
        <x:v>Fora da meta principal</x:v>
      </x:c>
      <x:c r="C108" s="81" t="n">
        <x:v>1990</x:v>
      </x:c>
      <x:c r="D108" s="80" t="str">
        <x:v>Ferrari 308 (micro)</x:v>
      </x:c>
      <x:c r="E108" s="80" t="str">
        <x:v>Ferrari 308</x:v>
      </x:c>
      <x:c r="F108" s="82" t="str">
        <x:v>Micro Hot Wheels Color Racers Street Pack</x:v>
      </x:c>
      <x:c r="G108" s="80" t="str"/>
      <x:c r="H108" s="80" t="str"/>
      <x:c r="I108" s="83" t="str">
        <x:v>3227</x:v>
      </x:c>
      <x:c r="J108" s="80" t="str">
        <x:v>Pink Light to Orange</x:v>
      </x:c>
      <x:c r="K108" s="82" t="str">
        <x:v>Red Stripes on Hood</x:v>
      </x:c>
      <x:c r="L108" s="82" t="str">
        <x:v>MGW</x:v>
      </x:c>
      <x:c r="M108" s="82" t="str"/>
      <x:c r="N108" s="82" t="str">
        <x:v>Black</x:v>
      </x:c>
      <x:c r="O108" s="82" t="str"/>
      <x:c r="P108" s="82" t="str">
        <x:v>Malaysia</x:v>
      </x:c>
      <x:c r="Q108" s="82" t="str"/>
      <x:c r="R108" s="82" t="str">
        <x:v>Outra linha</x:v>
      </x:c>
      <x:c r="S108" s="82" t="str">
        <x:v>Rara</x:v>
      </x:c>
      <x:c r="T108" s="82" t="str">
        <x:v>Lançado</x:v>
      </x:c>
      <x:c r="U108" s="82" t="str"/>
      <x:c r="V108" s="80" t="str">
        <x:v>Micro</x:v>
      </x:c>
      <x:c r="W108" s="82" t="str">
        <x:v>https://hotwheels.fandom.com/wiki/Ferrari_308_(micro)</x:v>
      </x:c>
      <x:c r="X108" s="82" t="str">
        <x:v>https://hotwheels.fandom.com/wiki/Ferrari_308_(micro)</x:v>
      </x:c>
    </x:row>
    <x:row r="109">
      <x:c r="A109" s="80" t="str">
        <x:v>Não</x:v>
      </x:c>
      <x:c r="B109" s="80" t="str">
        <x:v>Fora da meta principal</x:v>
      </x:c>
      <x:c r="C109" s="81" t="n">
        <x:v>1990</x:v>
      </x:c>
      <x:c r="D109" s="80" t="str">
        <x:v>Ferrari 308 (micro)</x:v>
      </x:c>
      <x:c r="E109" s="80" t="str">
        <x:v>Ferrari 308</x:v>
      </x:c>
      <x:c r="F109" s="82" t="str">
        <x:v>Micro Hot Wheels Ferrari 3 Pack</x:v>
      </x:c>
      <x:c r="G109" s="80" t="str"/>
      <x:c r="H109" s="80" t="str"/>
      <x:c r="I109" s="83" t="str">
        <x:v>4391</x:v>
      </x:c>
      <x:c r="J109" s="80" t="str">
        <x:v>Testa Rossa Red</x:v>
      </x:c>
      <x:c r="K109" s="82" t="str"/>
      <x:c r="L109" s="82" t="str">
        <x:v>MGW</x:v>
      </x:c>
      <x:c r="M109" s="82" t="str"/>
      <x:c r="N109" s="82" t="str"/>
      <x:c r="O109" s="82" t="str"/>
      <x:c r="P109" s="82" t="str">
        <x:v>Malaysia</x:v>
      </x:c>
      <x:c r="Q109" s="82" t="str"/>
      <x:c r="R109" s="82" t="str">
        <x:v>Outra linha</x:v>
      </x:c>
      <x:c r="S109" s="82" t="str">
        <x:v>Rara</x:v>
      </x:c>
      <x:c r="T109" s="82" t="str">
        <x:v>Lançado</x:v>
      </x:c>
      <x:c r="U109" s="82" t="str"/>
      <x:c r="V109" s="80" t="str">
        <x:v>Micro</x:v>
      </x:c>
      <x:c r="W109" s="82" t="str">
        <x:v>https://hotwheels.fandom.com/wiki/Ferrari_308_(micro)</x:v>
      </x:c>
      <x:c r="X109" s="82" t="str">
        <x:v>https://hotwheels.fandom.com/wiki/Ferrari_308_(micro)</x:v>
      </x:c>
    </x:row>
    <x:row r="110">
      <x:c r="A110" s="80" t="str">
        <x:v>Não</x:v>
      </x:c>
      <x:c r="B110" s="80" t="str">
        <x:v>Fora da meta principal</x:v>
      </x:c>
      <x:c r="C110" s="81" t="n">
        <x:v>1990</x:v>
      </x:c>
      <x:c r="D110" s="80" t="str">
        <x:v>Ferrari 308 (micro)</x:v>
      </x:c>
      <x:c r="E110" s="80" t="str">
        <x:v>Ferrari 308</x:v>
      </x:c>
      <x:c r="F110" s="82" t="str">
        <x:v>Micro Hot Wheels Hill Climber Set</x:v>
      </x:c>
      <x:c r="G110" s="80" t="str"/>
      <x:c r="H110" s="80" t="str"/>
      <x:c r="I110" s="83" t="str">
        <x:v>4077</x:v>
      </x:c>
      <x:c r="J110" s="80" t="str">
        <x:v>Orange</x:v>
      </x:c>
      <x:c r="K110" s="82" t="str">
        <x:v>Yellow Stripe</x:v>
      </x:c>
      <x:c r="L110" s="82" t="str">
        <x:v>MGW</x:v>
      </x:c>
      <x:c r="M110" s="82" t="str"/>
      <x:c r="N110" s="82" t="str"/>
      <x:c r="O110" s="82" t="str"/>
      <x:c r="P110" s="82" t="str">
        <x:v>Malaysia</x:v>
      </x:c>
      <x:c r="Q110" s="82" t="str"/>
      <x:c r="R110" s="82" t="str">
        <x:v>Outra linha</x:v>
      </x:c>
      <x:c r="S110" s="82" t="str">
        <x:v>Rara</x:v>
      </x:c>
      <x:c r="T110" s="82" t="str">
        <x:v>Lançado</x:v>
      </x:c>
      <x:c r="U110" s="82" t="str"/>
      <x:c r="V110" s="80" t="str">
        <x:v>Micro</x:v>
      </x:c>
      <x:c r="W110" s="82" t="str">
        <x:v>https://hotwheels.fandom.com/wiki/Ferrari_308_(micro)</x:v>
      </x:c>
      <x:c r="X110" s="82" t="str">
        <x:v>https://hotwheels.fandom.com/wiki/Ferrari_308_(micro)</x:v>
      </x:c>
    </x:row>
    <x:row r="111">
      <x:c r="A111" s="80" t="str">
        <x:v>Não</x:v>
      </x:c>
      <x:c r="B111" s="80" t="str">
        <x:v>Fora da meta principal</x:v>
      </x:c>
      <x:c r="C111" s="81" t="n">
        <x:v>1990</x:v>
      </x:c>
      <x:c r="D111" s="80" t="str">
        <x:v>Ferrari 308 (micro)</x:v>
      </x:c>
      <x:c r="E111" s="80" t="str">
        <x:v>Ferrari 308</x:v>
      </x:c>
      <x:c r="F111" s="82" t="str">
        <x:v>Micro Hot Wheels Park 'N Plates</x:v>
      </x:c>
      <x:c r="G111" s="80" t="str"/>
      <x:c r="H111" s="80" t="str"/>
      <x:c r="I111" s="83" t="str">
        <x:v>9778</x:v>
      </x:c>
      <x:c r="J111" s="80" t="str">
        <x:v>Red</x:v>
      </x:c>
      <x:c r="K111" s="82" t="str"/>
      <x:c r="L111" s="82" t="str">
        <x:v>MGW</x:v>
      </x:c>
      <x:c r="M111" s="82" t="str"/>
      <x:c r="N111" s="82" t="str"/>
      <x:c r="O111" s="82" t="str"/>
      <x:c r="P111" s="82" t="str">
        <x:v>Malaysia</x:v>
      </x:c>
      <x:c r="Q111" s="82" t="str"/>
      <x:c r="R111" s="82" t="str">
        <x:v>Outra linha</x:v>
      </x:c>
      <x:c r="S111" s="82" t="str">
        <x:v>Rara</x:v>
      </x:c>
      <x:c r="T111" s="82" t="str">
        <x:v>Lançado</x:v>
      </x:c>
      <x:c r="U111" s="82" t="str"/>
      <x:c r="V111" s="80" t="str">
        <x:v>Micro</x:v>
      </x:c>
      <x:c r="W111" s="82" t="str">
        <x:v>https://hotwheels.fandom.com/wiki/Ferrari_308_(micro)</x:v>
      </x:c>
      <x:c r="X111" s="82" t="str">
        <x:v>https://hotwheels.fandom.com/wiki/Ferrari_308_(micro)</x:v>
      </x:c>
    </x:row>
    <x:row r="112">
      <x:c r="A112" s="80" t="str">
        <x:v>Não</x:v>
      </x:c>
      <x:c r="B112" s="80" t="str">
        <x:v>Fora da meta principal</x:v>
      </x:c>
      <x:c r="C112" s="81" t="n">
        <x:v>1990</x:v>
      </x:c>
      <x:c r="D112" s="80" t="str">
        <x:v>Ferrari Testarossa (micro)</x:v>
      </x:c>
      <x:c r="E112" s="80" t="str">
        <x:v>Ferrari Testarossa</x:v>
      </x:c>
      <x:c r="F112" s="82" t="str">
        <x:v>Micro Hot Wheels California Custom Hot Watches</x:v>
      </x:c>
      <x:c r="G112" s="80" t="str"/>
      <x:c r="H112" s="80" t="str"/>
      <x:c r="I112" s="83" t="str"/>
      <x:c r="J112" s="80" t="str">
        <x:v>Red</x:v>
      </x:c>
      <x:c r="K112" s="82" t="str"/>
      <x:c r="L112" s="82" t="str">
        <x:v>MGW</x:v>
      </x:c>
      <x:c r="M112" s="82" t="str">
        <x:v>Black / / / Plastic</x:v>
      </x:c>
      <x:c r="N112" s="82" t="str">
        <x:v>Black</x:v>
      </x:c>
      <x:c r="O112" s="82" t="str"/>
      <x:c r="P112" s="82" t="str">
        <x:v>Malaysia</x:v>
      </x:c>
      <x:c r="Q112" s="82" t="str"/>
      <x:c r="R112" s="82" t="str">
        <x:v>Outra linha</x:v>
      </x:c>
      <x:c r="S112" s="82" t="str">
        <x:v>Rara</x:v>
      </x:c>
      <x:c r="T112" s="82" t="str">
        <x:v>Lançado</x:v>
      </x:c>
      <x:c r="U112" s="82" t="str"/>
      <x:c r="V112" s="80" t="str">
        <x:v>Micro</x:v>
      </x:c>
      <x:c r="W112" s="82" t="str">
        <x:v>https://hotwheels.fandom.com/wiki/Ferrari_Testarossa_(micro)</x:v>
      </x:c>
      <x:c r="X112" s="82" t="str">
        <x:v>https://hotwheels.fandom.com/wiki/Ferrari_Testarossa_(micro)</x:v>
      </x:c>
    </x:row>
    <x:row r="113">
      <x:c r="A113" s="80" t="str">
        <x:v>Não</x:v>
      </x:c>
      <x:c r="B113" s="80" t="str">
        <x:v>Fora da meta principal</x:v>
      </x:c>
      <x:c r="C113" s="81" t="n">
        <x:v>1990</x:v>
      </x:c>
      <x:c r="D113" s="80" t="str">
        <x:v>Ferrari Testarossa (micro)</x:v>
      </x:c>
      <x:c r="E113" s="80" t="str">
        <x:v>Ferrari Testarossa</x:v>
      </x:c>
      <x:c r="F113" s="82" t="str">
        <x:v>Micro Hot Wheels California Custom Hot Watches</x:v>
      </x:c>
      <x:c r="G113" s="80" t="str"/>
      <x:c r="H113" s="80" t="str"/>
      <x:c r="I113" s="83" t="str"/>
      <x:c r="J113" s="80" t="str">
        <x:v>Silver</x:v>
      </x:c>
      <x:c r="K113" s="82" t="str"/>
      <x:c r="L113" s="82" t="str">
        <x:v>MGW</x:v>
      </x:c>
      <x:c r="M113" s="82" t="str">
        <x:v>Black / / / Plastic</x:v>
      </x:c>
      <x:c r="N113" s="82" t="str">
        <x:v>Black</x:v>
      </x:c>
      <x:c r="O113" s="82" t="str"/>
      <x:c r="P113" s="82" t="str">
        <x:v>Malaysia</x:v>
      </x:c>
      <x:c r="Q113" s="82" t="str"/>
      <x:c r="R113" s="82" t="str">
        <x:v>Outra linha</x:v>
      </x:c>
      <x:c r="S113" s="82" t="str">
        <x:v>Rara</x:v>
      </x:c>
      <x:c r="T113" s="82" t="str">
        <x:v>Lançado</x:v>
      </x:c>
      <x:c r="U113" s="82" t="str"/>
      <x:c r="V113" s="80" t="str">
        <x:v>Micro</x:v>
      </x:c>
      <x:c r="W113" s="82" t="str">
        <x:v>https://hotwheels.fandom.com/wiki/Ferrari_Testarossa_(micro)</x:v>
      </x:c>
      <x:c r="X113" s="82" t="str">
        <x:v>https://hotwheels.fandom.com/wiki/Ferrari_Testarossa_(micro)</x:v>
      </x:c>
    </x:row>
    <x:row r="114">
      <x:c r="A114" s="80" t="str">
        <x:v>Não</x:v>
      </x:c>
      <x:c r="B114" s="80" t="str">
        <x:v>Fora da meta principal</x:v>
      </x:c>
      <x:c r="C114" s="81" t="n">
        <x:v>1990</x:v>
      </x:c>
      <x:c r="D114" s="80" t="str">
        <x:v>Ferrari Testarossa (micro)</x:v>
      </x:c>
      <x:c r="E114" s="80" t="str">
        <x:v>Ferrari Testarossa</x:v>
      </x:c>
      <x:c r="F114" s="82" t="str">
        <x:v>Micro Hot Wheels Color Racers Big Rigger</x:v>
      </x:c>
      <x:c r="G114" s="80" t="str"/>
      <x:c r="H114" s="80" t="str"/>
      <x:c r="I114" s="83" t="str">
        <x:v>3989</x:v>
      </x:c>
      <x:c r="J114" s="80" t="str">
        <x:v>Cream</x:v>
      </x:c>
      <x:c r="K114" s="82" t="str"/>
      <x:c r="L114" s="82" t="str">
        <x:v>MGW</x:v>
      </x:c>
      <x:c r="M114" s="82" t="str">
        <x:v>Black / / / Plastic</x:v>
      </x:c>
      <x:c r="N114" s="82" t="str">
        <x:v>Black</x:v>
      </x:c>
      <x:c r="O114" s="82" t="str"/>
      <x:c r="P114" s="82" t="str">
        <x:v>Malaysia</x:v>
      </x:c>
      <x:c r="Q114" s="82" t="str"/>
      <x:c r="R114" s="82" t="str">
        <x:v>Outra linha</x:v>
      </x:c>
      <x:c r="S114" s="82" t="str">
        <x:v>Rara</x:v>
      </x:c>
      <x:c r="T114" s="82" t="str">
        <x:v>Lançado</x:v>
      </x:c>
      <x:c r="U114" s="82" t="str"/>
      <x:c r="V114" s="80" t="str">
        <x:v>Micro</x:v>
      </x:c>
      <x:c r="W114" s="82" t="str">
        <x:v>https://hotwheels.fandom.com/wiki/Ferrari_Testarossa_(micro)</x:v>
      </x:c>
      <x:c r="X114" s="82" t="str">
        <x:v>https://hotwheels.fandom.com/wiki/Ferrari_Testarossa_(micro)</x:v>
      </x:c>
    </x:row>
    <x:row r="115">
      <x:c r="A115" s="80" t="str">
        <x:v>Não</x:v>
      </x:c>
      <x:c r="B115" s="80" t="str">
        <x:v>Fora da meta principal</x:v>
      </x:c>
      <x:c r="C115" s="81" t="n">
        <x:v>1990</x:v>
      </x:c>
      <x:c r="D115" s="80" t="str">
        <x:v>Ferrari Testarossa (micro)</x:v>
      </x:c>
      <x:c r="E115" s="80" t="str">
        <x:v>Ferrari Testarossa</x:v>
      </x:c>
      <x:c r="F115" s="82" t="str">
        <x:v>Micro Hot Wheels Color Racers Big Rigger</x:v>
      </x:c>
      <x:c r="G115" s="80" t="str"/>
      <x:c r="H115" s="80" t="str"/>
      <x:c r="I115" s="83" t="str">
        <x:v>3989</x:v>
      </x:c>
      <x:c r="J115" s="80" t="str">
        <x:v>Red</x:v>
      </x:c>
      <x:c r="K115" s="82" t="str"/>
      <x:c r="L115" s="82" t="str">
        <x:v>MGW</x:v>
      </x:c>
      <x:c r="M115" s="82" t="str">
        <x:v>Black / / Plastic</x:v>
      </x:c>
      <x:c r="N115" s="82" t="str">
        <x:v>Black</x:v>
      </x:c>
      <x:c r="O115" s="82" t="str"/>
      <x:c r="P115" s="82" t="str">
        <x:v>Malaysia</x:v>
      </x:c>
      <x:c r="Q115" s="82" t="str"/>
      <x:c r="R115" s="82" t="str">
        <x:v>Outra linha</x:v>
      </x:c>
      <x:c r="S115" s="82" t="str">
        <x:v>Rara</x:v>
      </x:c>
      <x:c r="T115" s="82" t="str">
        <x:v>Lançado</x:v>
      </x:c>
      <x:c r="U115" s="82" t="str"/>
      <x:c r="V115" s="80" t="str">
        <x:v>Micro</x:v>
      </x:c>
      <x:c r="W115" s="82" t="str">
        <x:v>https://hotwheels.fandom.com/wiki/Ferrari_Testarossa_(micro)</x:v>
      </x:c>
      <x:c r="X115" s="82" t="str">
        <x:v>https://hotwheels.fandom.com/wiki/Ferrari_Testarossa_(micro)</x:v>
      </x:c>
    </x:row>
    <x:row r="116">
      <x:c r="A116" s="80" t="str">
        <x:v>Não</x:v>
      </x:c>
      <x:c r="B116" s="80" t="str">
        <x:v>Fora da meta principal</x:v>
      </x:c>
      <x:c r="C116" s="81" t="n">
        <x:v>1990</x:v>
      </x:c>
      <x:c r="D116" s="80" t="str">
        <x:v>Ferrari Testarossa (micro)</x:v>
      </x:c>
      <x:c r="E116" s="80" t="str">
        <x:v>Ferrari Testarossa</x:v>
      </x:c>
      <x:c r="F116" s="82" t="str">
        <x:v>Micro Hot Wheels Color Racers Hill Climbers</x:v>
      </x:c>
      <x:c r="G116" s="80" t="str"/>
      <x:c r="H116" s="80" t="str"/>
      <x:c r="I116" s="83" t="str">
        <x:v>4077</x:v>
      </x:c>
      <x:c r="J116" s="80" t="str">
        <x:v>Red</x:v>
      </x:c>
      <x:c r="K116" s="82" t="str">
        <x:v>Ferrari Logo on Hood</x:v>
      </x:c>
      <x:c r="L116" s="82" t="str">
        <x:v>MGW</x:v>
      </x:c>
      <x:c r="M116" s="82" t="str">
        <x:v>Black / / / Plastic</x:v>
      </x:c>
      <x:c r="N116" s="82" t="str">
        <x:v>Black</x:v>
      </x:c>
      <x:c r="O116" s="82" t="str"/>
      <x:c r="P116" s="82" t="str">
        <x:v>Malaysia</x:v>
      </x:c>
      <x:c r="Q116" s="82" t="str"/>
      <x:c r="R116" s="82" t="str">
        <x:v>Outra linha</x:v>
      </x:c>
      <x:c r="S116" s="82" t="str">
        <x:v>Rara</x:v>
      </x:c>
      <x:c r="T116" s="82" t="str">
        <x:v>Lançado</x:v>
      </x:c>
      <x:c r="U116" s="82" t="str"/>
      <x:c r="V116" s="80" t="str">
        <x:v>Micro</x:v>
      </x:c>
      <x:c r="W116" s="82" t="str">
        <x:v>https://hotwheels.fandom.com/wiki/Ferrari_Testarossa_(micro)</x:v>
      </x:c>
      <x:c r="X116" s="82" t="str">
        <x:v>https://hotwheels.fandom.com/wiki/Ferrari_Testarossa_(micro)</x:v>
      </x:c>
    </x:row>
    <x:row r="117">
      <x:c r="A117" s="80" t="str">
        <x:v>Não</x:v>
      </x:c>
      <x:c r="B117" s="80" t="str">
        <x:v>Fora da meta principal</x:v>
      </x:c>
      <x:c r="C117" s="81" t="n">
        <x:v>1990</x:v>
      </x:c>
      <x:c r="D117" s="80" t="str">
        <x:v>Ferrari Testarossa (micro)</x:v>
      </x:c>
      <x:c r="E117" s="80" t="str">
        <x:v>Ferrari Testarossa</x:v>
      </x:c>
      <x:c r="F117" s="82" t="str">
        <x:v>Micro Hot Wheels Color Racers Race Pack</x:v>
      </x:c>
      <x:c r="G117" s="80" t="str"/>
      <x:c r="H117" s="80" t="str"/>
      <x:c r="I117" s="83" t="str">
        <x:v>3226</x:v>
      </x:c>
      <x:c r="J117" s="80" t="str">
        <x:v>Red</x:v>
      </x:c>
      <x:c r="K117" s="82" t="str">
        <x:v>Ferrari Dancing Horse Yellow Shield with Black Stripe on roof</x:v>
      </x:c>
      <x:c r="L117" s="82" t="str">
        <x:v>MGW</x:v>
      </x:c>
      <x:c r="M117" s="82" t="str">
        <x:v>Black / / / Plastic</x:v>
      </x:c>
      <x:c r="N117" s="82" t="str">
        <x:v>Black</x:v>
      </x:c>
      <x:c r="O117" s="82" t="str"/>
      <x:c r="P117" s="82" t="str">
        <x:v>Malaysia</x:v>
      </x:c>
      <x:c r="Q117" s="82" t="str"/>
      <x:c r="R117" s="82" t="str">
        <x:v>Outra linha</x:v>
      </x:c>
      <x:c r="S117" s="82" t="str">
        <x:v>Rara</x:v>
      </x:c>
      <x:c r="T117" s="82" t="str">
        <x:v>Lançado</x:v>
      </x:c>
      <x:c r="U117" s="82" t="str"/>
      <x:c r="V117" s="80" t="str">
        <x:v>Micro</x:v>
      </x:c>
      <x:c r="W117" s="82" t="str">
        <x:v>https://hotwheels.fandom.com/wiki/Ferrari_Testarossa_(micro)</x:v>
      </x:c>
      <x:c r="X117" s="82" t="str">
        <x:v>https://hotwheels.fandom.com/wiki/Ferrari_Testarossa_(micro)</x:v>
      </x:c>
    </x:row>
    <x:row r="118">
      <x:c r="A118" s="80" t="str">
        <x:v>Não</x:v>
      </x:c>
      <x:c r="B118" s="80" t="str">
        <x:v>Fora da meta principal</x:v>
      </x:c>
      <x:c r="C118" s="81" t="n">
        <x:v>1990</x:v>
      </x:c>
      <x:c r="D118" s="80" t="str">
        <x:v>Ferrari Testarossa (micro)</x:v>
      </x:c>
      <x:c r="E118" s="80" t="str">
        <x:v>Ferrari Testarossa</x:v>
      </x:c>
      <x:c r="F118" s="82" t="str">
        <x:v>Micro Hot Wheels Formula Racers Ferrari 3pk</x:v>
      </x:c>
      <x:c r="G118" s="80" t="str"/>
      <x:c r="H118" s="80" t="str"/>
      <x:c r="I118" s="83" t="str">
        <x:v>4391</x:v>
      </x:c>
      <x:c r="J118" s="80" t="str">
        <x:v>Testa Rossa Red / various REDS</x:v>
      </x:c>
      <x:c r="K118" s="82" t="str"/>
      <x:c r="L118" s="82" t="str"/>
      <x:c r="M118" s="82" t="str">
        <x:v>Various colours / / / Plastic</x:v>
      </x:c>
      <x:c r="N118" s="82" t="str">
        <x:v>Black</x:v>
      </x:c>
      <x:c r="O118" s="82" t="str"/>
      <x:c r="P118" s="82" t="str">
        <x:v>Malaysia</x:v>
      </x:c>
      <x:c r="Q118" s="82" t="str"/>
      <x:c r="R118" s="82" t="str">
        <x:v>Outra linha</x:v>
      </x:c>
      <x:c r="S118" s="82" t="str">
        <x:v>Rara</x:v>
      </x:c>
      <x:c r="T118" s="82" t="str">
        <x:v>Lançado</x:v>
      </x:c>
      <x:c r="U118" s="82" t="str"/>
      <x:c r="V118" s="80" t="str">
        <x:v>Micro</x:v>
      </x:c>
      <x:c r="W118" s="82" t="str">
        <x:v>https://hotwheels.fandom.com/wiki/Ferrari_Testarossa_(micro)</x:v>
      </x:c>
      <x:c r="X118" s="82" t="str">
        <x:v>https://hotwheels.fandom.com/wiki/Ferrari_Testarossa_(micro)</x:v>
      </x:c>
    </x:row>
    <x:row r="119">
      <x:c r="A119" s="80" t="str">
        <x:v>Não</x:v>
      </x:c>
      <x:c r="B119" s="80" t="str">
        <x:v>Fora da meta principal</x:v>
      </x:c>
      <x:c r="C119" s="81" t="n">
        <x:v>1990</x:v>
      </x:c>
      <x:c r="D119" s="80" t="str">
        <x:v>Ferrari Testarossa (micro)</x:v>
      </x:c>
      <x:c r="E119" s="80" t="str">
        <x:v>Ferrari Testarossa</x:v>
      </x:c>
      <x:c r="F119" s="82" t="str">
        <x:v>Micro Hot Wheels Hot Wheels 3pk</x:v>
      </x:c>
      <x:c r="G119" s="80" t="str"/>
      <x:c r="H119" s="80" t="str"/>
      <x:c r="I119" s="83" t="str">
        <x:v>4426</x:v>
      </x:c>
      <x:c r="J119" s="80" t="str"/>
      <x:c r="K119" s="82" t="str"/>
      <x:c r="L119" s="82" t="str">
        <x:v>MGW</x:v>
      </x:c>
      <x:c r="M119" s="82" t="str">
        <x:v>Black / / / Plastic</x:v>
      </x:c>
      <x:c r="N119" s="82" t="str">
        <x:v>Black</x:v>
      </x:c>
      <x:c r="O119" s="82" t="str"/>
      <x:c r="P119" s="82" t="str">
        <x:v>Malaysia</x:v>
      </x:c>
      <x:c r="Q119" s="82" t="str"/>
      <x:c r="R119" s="82" t="str">
        <x:v>Outra linha</x:v>
      </x:c>
      <x:c r="S119" s="82" t="str">
        <x:v>Rara</x:v>
      </x:c>
      <x:c r="T119" s="82" t="str">
        <x:v>Lançado</x:v>
      </x:c>
      <x:c r="U119" s="82" t="str"/>
      <x:c r="V119" s="80" t="str">
        <x:v>Micro</x:v>
      </x:c>
      <x:c r="W119" s="82" t="str">
        <x:v>https://hotwheels.fandom.com/wiki/Ferrari_Testarossa_(micro)</x:v>
      </x:c>
      <x:c r="X119" s="82" t="str">
        <x:v>https://hotwheels.fandom.com/wiki/Ferrari_Testarossa_(micro)</x:v>
      </x:c>
    </x:row>
    <x:row r="120">
      <x:c r="A120" s="80" t="str">
        <x:v>Não</x:v>
      </x:c>
      <x:c r="B120" s="80" t="str">
        <x:v>Fora da meta principal</x:v>
      </x:c>
      <x:c r="C120" s="81" t="n">
        <x:v>1990</x:v>
      </x:c>
      <x:c r="D120" s="80" t="str">
        <x:v>Ferrari Testarossa (micro)</x:v>
      </x:c>
      <x:c r="E120" s="80" t="str">
        <x:v>Ferrari Testarossa</x:v>
      </x:c>
      <x:c r="F120" s="82" t="str">
        <x:v>Micro Hot Wheels Mini Light Racers</x:v>
      </x:c>
      <x:c r="G120" s="80" t="str"/>
      <x:c r="H120" s="80" t="str"/>
      <x:c r="I120" s="83" t="str">
        <x:v>1179</x:v>
      </x:c>
      <x:c r="J120" s="80" t="str">
        <x:v>Red Metallic</x:v>
      </x:c>
      <x:c r="K120" s="82" t="str">
        <x:v>Ferrari Shield on hood</x:v>
      </x:c>
      <x:c r="L120" s="82" t="str">
        <x:v>MGW</x:v>
      </x:c>
      <x:c r="M120" s="82" t="str">
        <x:v>Black / / / Plastic</x:v>
      </x:c>
      <x:c r="N120" s="82" t="str">
        <x:v>Black</x:v>
      </x:c>
      <x:c r="O120" s="82" t="str">
        <x:v>N/A</x:v>
      </x:c>
      <x:c r="P120" s="82" t="str">
        <x:v>Malaysia</x:v>
      </x:c>
      <x:c r="Q120" s="82" t="str"/>
      <x:c r="R120" s="82" t="str">
        <x:v>Outra linha</x:v>
      </x:c>
      <x:c r="S120" s="82" t="str">
        <x:v>Rara</x:v>
      </x:c>
      <x:c r="T120" s="82" t="str">
        <x:v>Lançado</x:v>
      </x:c>
      <x:c r="U120" s="82" t="str"/>
      <x:c r="V120" s="80" t="str">
        <x:v>Micro</x:v>
      </x:c>
      <x:c r="W120" s="82" t="str">
        <x:v>https://hotwheels.fandom.com/wiki/Ferrari_Testarossa_(micro)</x:v>
      </x:c>
      <x:c r="X120" s="82" t="str">
        <x:v>https://hotwheels.fandom.com/wiki/Ferrari_Testarossa_(micro)</x:v>
      </x:c>
    </x:row>
    <x:row r="121">
      <x:c r="A121" s="80" t="str">
        <x:v>Não</x:v>
      </x:c>
      <x:c r="B121" s="80" t="str">
        <x:v>Fora da meta principal</x:v>
      </x:c>
      <x:c r="C121" s="81" t="n">
        <x:v>1990</x:v>
      </x:c>
      <x:c r="D121" s="80" t="str">
        <x:v>Ferrari Testarossa (micro)</x:v>
      </x:c>
      <x:c r="E121" s="80" t="str">
        <x:v>Ferrari Testarossa</x:v>
      </x:c>
      <x:c r="F121" s="82" t="str">
        <x:v>Micro Hot Wheels Series III Collection III Chroma Racers</x:v>
      </x:c>
      <x:c r="G121" s="80" t="str"/>
      <x:c r="H121" s="80" t="str"/>
      <x:c r="I121" s="83" t="str">
        <x:v>4984</x:v>
      </x:c>
      <x:c r="J121" s="80" t="str"/>
      <x:c r="K121" s="82" t="str"/>
      <x:c r="L121" s="82" t="str">
        <x:v>MGW</x:v>
      </x:c>
      <x:c r="M121" s="82" t="str">
        <x:v>Black / / / Plastic</x:v>
      </x:c>
      <x:c r="N121" s="82" t="str">
        <x:v>Black</x:v>
      </x:c>
      <x:c r="O121" s="82" t="str"/>
      <x:c r="P121" s="82" t="str">
        <x:v>Malaysia</x:v>
      </x:c>
      <x:c r="Q121" s="82" t="str"/>
      <x:c r="R121" s="82" t="str">
        <x:v>Outra linha</x:v>
      </x:c>
      <x:c r="S121" s="82" t="str">
        <x:v>Rara</x:v>
      </x:c>
      <x:c r="T121" s="82" t="str">
        <x:v>Lançado</x:v>
      </x:c>
      <x:c r="U121" s="82" t="str"/>
      <x:c r="V121" s="80" t="str">
        <x:v>Micro</x:v>
      </x:c>
      <x:c r="W121" s="82" t="str">
        <x:v>https://hotwheels.fandom.com/wiki/Ferrari_Testarossa_(micro)</x:v>
      </x:c>
      <x:c r="X121" s="82" t="str">
        <x:v>https://hotwheels.fandom.com/wiki/Ferrari_Testarossa_(micro)</x:v>
      </x:c>
    </x:row>
    <x:row r="122">
      <x:c r="A122" s="80" t="str">
        <x:v>Não</x:v>
      </x:c>
      <x:c r="B122" s="80" t="str">
        <x:v>Fora da meta principal</x:v>
      </x:c>
      <x:c r="C122" s="81" t="n">
        <x:v>1989</x:v>
      </x:c>
      <x:c r="D122" s="80" t="str">
        <x:v>Ferrari 250 Testa Rossa (micro)</x:v>
      </x:c>
      <x:c r="E122" s="80" t="str">
        <x:v>Ferrari 250 Testa Rossa</x:v>
      </x:c>
      <x:c r="F122" s="82" t="str">
        <x:v>Mini Formula Racers</x:v>
      </x:c>
      <x:c r="G122" s="80" t="str"/>
      <x:c r="H122" s="80" t="str"/>
      <x:c r="I122" s="83" t="str">
        <x:v>4391</x:v>
      </x:c>
      <x:c r="J122" s="80" t="str"/>
      <x:c r="K122" s="82" t="str"/>
      <x:c r="L122" s="82" t="str"/>
      <x:c r="M122" s="82" t="str"/>
      <x:c r="N122" s="82" t="str"/>
      <x:c r="O122" s="82" t="str"/>
      <x:c r="P122" s="82" t="str"/>
      <x:c r="Q122" s="82" t="str"/>
      <x:c r="R122" s="82" t="str">
        <x:v>Outra linha</x:v>
      </x:c>
      <x:c r="S122" s="82" t="str">
        <x:v>Rara</x:v>
      </x:c>
      <x:c r="T122" s="82" t="str">
        <x:v>Lançado</x:v>
      </x:c>
      <x:c r="U122" s="82" t="str"/>
      <x:c r="V122" s="80" t="str">
        <x:v>Micro</x:v>
      </x:c>
      <x:c r="W122" s="82" t="str">
        <x:v>https://hotwheels.fandom.com/wiki/Ferrari</x:v>
      </x:c>
      <x:c r="X122" s="82" t="str">
        <x:v>https://hotwheels.fandom.com/wiki/Ferrari_250_Testa_Rossa_(micro)</x:v>
      </x:c>
    </x:row>
    <x:row r="123">
      <x:c r="A123" s="80" t="str">
        <x:v>Não</x:v>
      </x:c>
      <x:c r="B123" s="80" t="str">
        <x:v>Fora da meta principal</x:v>
      </x:c>
      <x:c r="C123" s="81" t="n">
        <x:v>1989</x:v>
      </x:c>
      <x:c r="D123" s="80" t="str">
        <x:v>Ferrari 308 (micro)</x:v>
      </x:c>
      <x:c r="E123" s="80" t="str">
        <x:v>Ferrari 308</x:v>
      </x:c>
      <x:c r="F123" s="82" t="str">
        <x:v>Micro Hot Wheels</x:v>
      </x:c>
      <x:c r="G123" s="80" t="str"/>
      <x:c r="H123" s="80" t="str"/>
      <x:c r="I123" s="83" t="str">
        <x:v>4391</x:v>
      </x:c>
      <x:c r="J123" s="80" t="str"/>
      <x:c r="K123" s="82" t="str"/>
      <x:c r="L123" s="82" t="str"/>
      <x:c r="M123" s="82" t="str"/>
      <x:c r="N123" s="82" t="str"/>
      <x:c r="O123" s="82" t="str"/>
      <x:c r="P123" s="82" t="str"/>
      <x:c r="Q123" s="82" t="str"/>
      <x:c r="R123" s="82" t="str">
        <x:v>Outra linha</x:v>
      </x:c>
      <x:c r="S123" s="82" t="str">
        <x:v>Rara</x:v>
      </x:c>
      <x:c r="T123" s="82" t="str">
        <x:v>Lançado</x:v>
      </x:c>
      <x:c r="U123" s="82" t="str"/>
      <x:c r="V123" s="80" t="str">
        <x:v>Micro</x:v>
      </x:c>
      <x:c r="W123" s="82" t="str">
        <x:v>https://hotwheels.fandom.com/wiki/Ferrari</x:v>
      </x:c>
      <x:c r="X123" s="82" t="str">
        <x:v>https://hotwheels.fandom.com/wiki/Ferrari_308_(micro)</x:v>
      </x:c>
    </x:row>
    <x:row r="124">
      <x:c r="A124" s="80" t="str">
        <x:v>Não</x:v>
      </x:c>
      <x:c r="B124" s="80" t="str">
        <x:v>Fora da meta principal</x:v>
      </x:c>
      <x:c r="C124" s="81" t="n">
        <x:v>1989</x:v>
      </x:c>
      <x:c r="D124" s="80" t="str">
        <x:v>Ferrari F1/87/88C</x:v>
      </x:c>
      <x:c r="E124" s="80" t="str">
        <x:v>Ferrari F1/87/88C</x:v>
      </x:c>
      <x:c r="F124" s="82" t="str">
        <x:v>Mini Race 'N Show</x:v>
      </x:c>
      <x:c r="G124" s="80" t="str"/>
      <x:c r="H124" s="80" t="str"/>
      <x:c r="I124" s="83" t="str">
        <x:v>9807</x:v>
      </x:c>
      <x:c r="J124" s="80" t="str"/>
      <x:c r="K124" s="82" t="str"/>
      <x:c r="L124" s="82" t="str"/>
      <x:c r="M124" s="82" t="str"/>
      <x:c r="N124" s="82" t="str"/>
      <x:c r="O124" s="82" t="str"/>
      <x:c r="P124" s="82" t="str"/>
      <x:c r="Q124" s="82" t="str"/>
      <x:c r="R124" s="82" t="str">
        <x:v>Outra linha</x:v>
      </x:c>
      <x:c r="S124" s="82" t="str">
        <x:v>Rara</x:v>
      </x:c>
      <x:c r="T124" s="82" t="str">
        <x:v>Lançado</x:v>
      </x:c>
      <x:c r="U124" s="82" t="str"/>
      <x:c r="V124" s="80" t="str">
        <x:v>Escala 1:87</x:v>
      </x:c>
      <x:c r="W124" s="82" t="str">
        <x:v>https://hotwheels.fandom.com/wiki/Ferrari</x:v>
      </x:c>
      <x:c r="X124" s="82" t="str"/>
    </x:row>
    <x:row r="125">
      <x:c r="A125" s="80" t="str">
        <x:v>Não</x:v>
      </x:c>
      <x:c r="B125" s="80" t="str">
        <x:v>Fora da meta principal</x:v>
      </x:c>
      <x:c r="C125" s="81" t="n">
        <x:v>1989</x:v>
      </x:c>
      <x:c r="D125" s="80" t="str">
        <x:v>Ferrari F40 (Action Racers)</x:v>
      </x:c>
      <x:c r="E125" s="80" t="str">
        <x:v>Ferrari F40</x:v>
      </x:c>
      <x:c r="F125" s="82" t="str">
        <x:v>Action Racers</x:v>
      </x:c>
      <x:c r="G125" s="80" t="str"/>
      <x:c r="H125" s="80" t="str"/>
      <x:c r="I125" s="83" t="str">
        <x:v>2440</x:v>
      </x:c>
      <x:c r="J125" s="80" t="str"/>
      <x:c r="K125" s="82" t="str"/>
      <x:c r="L125" s="82" t="str"/>
      <x:c r="M125" s="82" t="str"/>
      <x:c r="N125" s="82" t="str"/>
      <x:c r="O125" s="82" t="str"/>
      <x:c r="P125" s="82" t="str"/>
      <x:c r="Q125" s="82" t="str"/>
      <x:c r="R125" s="82" t="str">
        <x:v>Outra linha</x:v>
      </x:c>
      <x:c r="S125" s="82" t="str">
        <x:v>Rara</x:v>
      </x:c>
      <x:c r="T125" s="82" t="str">
        <x:v>Lançado</x:v>
      </x:c>
      <x:c r="U125" s="82" t="str"/>
      <x:c r="V125" s="80" t="str">
        <x:v>Action Racers</x:v>
      </x:c>
      <x:c r="W125" s="82" t="str">
        <x:v>https://hotwheels.fandom.com/wiki/Ferrari</x:v>
      </x:c>
      <x:c r="X125" s="82" t="str">
        <x:v>https://hotwheels.fandom.com/wiki/Ferrari_F40_(Action_Racers)</x:v>
      </x:c>
    </x:row>
    <x:row r="126">
      <x:c r="A126" s="80" t="str">
        <x:v>Não</x:v>
      </x:c>
      <x:c r="B126" s="80" t="str">
        <x:v>Fora da meta principal</x:v>
      </x:c>
      <x:c r="C126" s="81" t="n">
        <x:v>1989</x:v>
      </x:c>
      <x:c r="D126" s="80" t="str">
        <x:v>Ferrari Testarossa (micro)</x:v>
      </x:c>
      <x:c r="E126" s="80" t="str">
        <x:v>Ferrari Testarossa</x:v>
      </x:c>
      <x:c r="F126" s="82" t="str">
        <x:v>Micro Hot Wheels</x:v>
      </x:c>
      <x:c r="G126" s="80" t="str"/>
      <x:c r="H126" s="80" t="str"/>
      <x:c r="I126" s="83" t="str">
        <x:v>4391</x:v>
      </x:c>
      <x:c r="J126" s="80" t="str"/>
      <x:c r="K126" s="82" t="str"/>
      <x:c r="L126" s="82" t="str"/>
      <x:c r="M126" s="82" t="str"/>
      <x:c r="N126" s="82" t="str"/>
      <x:c r="O126" s="82" t="str"/>
      <x:c r="P126" s="82" t="str"/>
      <x:c r="Q126" s="82" t="str"/>
      <x:c r="R126" s="82" t="str">
        <x:v>Outra linha</x:v>
      </x:c>
      <x:c r="S126" s="82" t="str">
        <x:v>Rara</x:v>
      </x:c>
      <x:c r="T126" s="82" t="str">
        <x:v>Lançado</x:v>
      </x:c>
      <x:c r="U126" s="82" t="str"/>
      <x:c r="V126" s="80" t="str">
        <x:v>Micro</x:v>
      </x:c>
      <x:c r="W126" s="82" t="str">
        <x:v>https://hotwheels.fandom.com/wiki/Ferrari</x:v>
      </x:c>
      <x:c r="X126" s="82" t="str">
        <x:v>https://hotwheels.fandom.com/wiki/Ferrari_Testarossa_(micro)</x:v>
      </x:c>
    </x:row>
    <x:row r="127">
      <x:c r="A127" s="80" t="str">
        <x:v>Não</x:v>
      </x:c>
      <x:c r="B127" s="80" t="str">
        <x:v>Fora da meta principal</x:v>
      </x:c>
      <x:c r="C127" s="81" t="n">
        <x:v>1987</x:v>
      </x:c>
      <x:c r="D127" s="80" t="str">
        <x:v>Ferrari 328 GTS</x:v>
      </x:c>
      <x:c r="E127" s="80" t="str">
        <x:v>Ferrari 328 GTS</x:v>
      </x:c>
      <x:c r="F127" s="82" t="str">
        <x:v>Action Racers</x:v>
      </x:c>
      <x:c r="G127" s="80" t="str"/>
      <x:c r="H127" s="80" t="str"/>
      <x:c r="I127" s="83" t="str">
        <x:v>2415</x:v>
      </x:c>
      <x:c r="J127" s="80" t="str"/>
      <x:c r="K127" s="82" t="str"/>
      <x:c r="L127" s="82" t="str"/>
      <x:c r="M127" s="82" t="str"/>
      <x:c r="N127" s="82" t="str"/>
      <x:c r="O127" s="82" t="str"/>
      <x:c r="P127" s="82" t="str"/>
      <x:c r="Q127" s="82" t="str"/>
      <x:c r="R127" s="82" t="str">
        <x:v>Outra linha</x:v>
      </x:c>
      <x:c r="S127" s="82" t="str">
        <x:v>Rara</x:v>
      </x:c>
      <x:c r="T127" s="82" t="str">
        <x:v>Lançado</x:v>
      </x:c>
      <x:c r="U127" s="82" t="str"/>
      <x:c r="V127" s="80" t="str">
        <x:v>Action Racers</x:v>
      </x:c>
      <x:c r="W127" s="82" t="str">
        <x:v>https://hotwheels.fandom.com/wiki/Ferrari</x:v>
      </x:c>
      <x:c r="X127" s="82" t="str">
        <x:v>https://hotwheels.fandom.com/wiki/Ferrari_328_GTS</x:v>
      </x:c>
    </x:row>
    <x:row r="128">
      <x:c r="A128" s="80" t="str">
        <x:v>Não</x:v>
      </x:c>
      <x:c r="B128" s="80" t="str">
        <x:v>Fora da meta principal</x:v>
      </x:c>
      <x:c r="C128" s="81" t="n">
        <x:v>1987</x:v>
      </x:c>
      <x:c r="D128" s="80" t="str">
        <x:v>Ferrari 328 GTS</x:v>
      </x:c>
      <x:c r="E128" s="80" t="str">
        <x:v>Ferrari 328 GTS</x:v>
      </x:c>
      <x:c r="F128" s="82" t="str">
        <x:v>Action Racers</x:v>
      </x:c>
      <x:c r="G128" s="80" t="str"/>
      <x:c r="H128" s="80" t="str"/>
      <x:c r="I128" s="83" t="str">
        <x:v>No. 2415</x:v>
      </x:c>
      <x:c r="J128" s="80" t="str">
        <x:v>Red</x:v>
      </x:c>
      <x:c r="K128" s="82" t="str">
        <x:v>Ferrari &amp; 328 GTS on sides; Prancing Horse &amp; Ferrari on front Bonnet; "328 GTS" on engine deck lid</x:v>
      </x:c>
      <x:c r="L128" s="82" t="str"/>
      <x:c r="M128" s="82" t="str">
        <x:v>Black / / /</x:v>
      </x:c>
      <x:c r="N128" s="82" t="str">
        <x:v>Clear</x:v>
      </x:c>
      <x:c r="O128" s="82" t="str">
        <x:v>Black</x:v>
      </x:c>
      <x:c r="P128" s="82" t="str">
        <x:v>China</x:v>
      </x:c>
      <x:c r="Q128" s="82" t="str"/>
      <x:c r="R128" s="82" t="str">
        <x:v>Outra linha</x:v>
      </x:c>
      <x:c r="S128" s="82" t="str">
        <x:v>Rara</x:v>
      </x:c>
      <x:c r="T128" s="82" t="str">
        <x:v>Lançado</x:v>
      </x:c>
      <x:c r="U128" s="82" t="str"/>
      <x:c r="V128" s="80" t="str">
        <x:v>Action Racers</x:v>
      </x:c>
      <x:c r="W128" s="82" t="str">
        <x:v>https://hotwheels.fandom.com/wiki/Ferrari_328_GTS</x:v>
      </x:c>
      <x:c r="X128" s="82" t="str">
        <x:v>https://hotwheels.fandom.com/wiki/Ferrari_328_GTS</x:v>
      </x:c>
    </x:row>
    <x:row r="129">
      <x:c r="A129" s="80" t="str">
        <x:v>Não</x:v>
      </x:c>
      <x:c r="B129" s="80" t="str">
        <x:v>Fora da meta principal</x:v>
      </x:c>
      <x:c r="C129" s="81" t="n">
        <x:v>1987</x:v>
      </x:c>
      <x:c r="D129" s="80" t="str">
        <x:v>Ferrari Testarossa (Action Racers)</x:v>
      </x:c>
      <x:c r="E129" s="80" t="str">
        <x:v>Ferrari Testarossa</x:v>
      </x:c>
      <x:c r="F129" s="82" t="str">
        <x:v>Action Racers</x:v>
      </x:c>
      <x:c r="G129" s="80" t="str"/>
      <x:c r="H129" s="80" t="str"/>
      <x:c r="I129" s="83" t="str">
        <x:v>2415</x:v>
      </x:c>
      <x:c r="J129" s="80" t="str"/>
      <x:c r="K129" s="82" t="str"/>
      <x:c r="L129" s="82" t="str"/>
      <x:c r="M129" s="82" t="str"/>
      <x:c r="N129" s="82" t="str"/>
      <x:c r="O129" s="82" t="str"/>
      <x:c r="P129" s="82" t="str"/>
      <x:c r="Q129" s="82" t="str"/>
      <x:c r="R129" s="82" t="str">
        <x:v>Outra linha</x:v>
      </x:c>
      <x:c r="S129" s="82" t="str">
        <x:v>Rara</x:v>
      </x:c>
      <x:c r="T129" s="82" t="str">
        <x:v>Lançado</x:v>
      </x:c>
      <x:c r="U129" s="82" t="str"/>
      <x:c r="V129" s="80" t="str">
        <x:v>Action Racers</x:v>
      </x:c>
      <x:c r="W129" s="82" t="str">
        <x:v>https://hotwheels.fandom.com/wiki/Ferrari</x:v>
      </x:c>
      <x:c r="X129" s="82" t="str">
        <x:v>https://hotwheels.fandom.com/wiki/Ferrari_Testarossa_(Action_Racers)</x:v>
      </x:c>
    </x:row>
    <x:row r="130">
      <x:c r="A130" s="80" t="str">
        <x:v>Não</x:v>
      </x:c>
      <x:c r="B130" s="80" t="str">
        <x:v>Fora da meta principal</x:v>
      </x:c>
      <x:c r="C130" s="81" t="str"/>
      <x:c r="D130" s="80" t="str">
        <x:v>Ferrari 328 GTS</x:v>
      </x:c>
      <x:c r="E130" s="80" t="str">
        <x:v>Ferrari 328 GTS</x:v>
      </x:c>
      <x:c r="F130" s="82" t="str">
        <x:v>Action Racers</x:v>
      </x:c>
      <x:c r="G130" s="80" t="str"/>
      <x:c r="H130" s="80" t="str"/>
      <x:c r="I130" s="83" t="str"/>
      <x:c r="J130" s="80" t="str">
        <x:v>Blue</x:v>
      </x:c>
      <x:c r="K130" s="82" t="str">
        <x:v>#5</x:v>
      </x:c>
      <x:c r="L130" s="82" t="str"/>
      <x:c r="M130" s="82" t="str">
        <x:v>Black / / / Plastic</x:v>
      </x:c>
      <x:c r="N130" s="82" t="str">
        <x:v>Clear</x:v>
      </x:c>
      <x:c r="O130" s="82" t="str">
        <x:v>Black</x:v>
      </x:c>
      <x:c r="P130" s="82" t="str">
        <x:v>China</x:v>
      </x:c>
      <x:c r="Q130" s="82" t="str"/>
      <x:c r="R130" s="82" t="str">
        <x:v>Outra linha</x:v>
      </x:c>
      <x:c r="S130" s="82" t="str">
        <x:v>Comum / atual</x:v>
      </x:c>
      <x:c r="T130" s="82" t="str">
        <x:v>Ano não documentado</x:v>
      </x:c>
      <x:c r="U130" s="82" t="str"/>
      <x:c r="V130" s="80" t="str">
        <x:v>Action Racers</x:v>
      </x:c>
      <x:c r="W130" s="82" t="str">
        <x:v>https://hotwheels.fandom.com/wiki/Ferrari_328_GTS</x:v>
      </x:c>
      <x:c r="X130" s="82" t="str">
        <x:v>https://hotwheels.fandom.com/wiki/Ferrari_328_GTS</x:v>
      </x:c>
    </x:row>
    <x:row r="131">
      <x:c r="A131" s="80" t="str">
        <x:v>Não</x:v>
      </x:c>
      <x:c r="B131" s="80" t="str">
        <x:v>Fora da meta principal</x:v>
      </x:c>
      <x:c r="C131" s="81" t="str"/>
      <x:c r="D131" s="80" t="str">
        <x:v>Ferrari 328 GTS</x:v>
      </x:c>
      <x:c r="E131" s="80" t="str">
        <x:v>Ferrari 328 GTS</x:v>
      </x:c>
      <x:c r="F131" s="82" t="str">
        <x:v>Giants Action Racers</x:v>
      </x:c>
      <x:c r="G131" s="80" t="str"/>
      <x:c r="H131" s="80" t="str"/>
      <x:c r="I131" s="83" t="str">
        <x:v>No. 2415</x:v>
      </x:c>
      <x:c r="J131" s="80" t="str">
        <x:v>Yellow</x:v>
      </x:c>
      <x:c r="K131" s="82" t="str">
        <x:v>#5</x:v>
      </x:c>
      <x:c r="L131" s="82" t="str"/>
      <x:c r="M131" s="82" t="str">
        <x:v>Black / / / Plastic</x:v>
      </x:c>
      <x:c r="N131" s="82" t="str">
        <x:v>Clear</x:v>
      </x:c>
      <x:c r="O131" s="82" t="str">
        <x:v>Black</x:v>
      </x:c>
      <x:c r="P131" s="82" t="str">
        <x:v>China</x:v>
      </x:c>
      <x:c r="Q131" s="82" t="str"/>
      <x:c r="R131" s="82" t="str">
        <x:v>Outra linha</x:v>
      </x:c>
      <x:c r="S131" s="82" t="str">
        <x:v>Comum / atual</x:v>
      </x:c>
      <x:c r="T131" s="82" t="str">
        <x:v>Ano não documentado</x:v>
      </x:c>
      <x:c r="U131" s="82" t="str"/>
      <x:c r="V131" s="80" t="str">
        <x:v>Action Racers</x:v>
      </x:c>
      <x:c r="W131" s="82" t="str">
        <x:v>https://hotwheels.fandom.com/wiki/Ferrari_328_GTS</x:v>
      </x:c>
      <x:c r="X131" s="82" t="str">
        <x:v>https://hotwheels.fandom.com/wiki/Ferrari_328_GTS</x:v>
      </x:c>
    </x:row>
    <x:row r="132">
      <x:c r="A132" s="80" t="str">
        <x:v>Não</x:v>
      </x:c>
      <x:c r="B132" s="80" t="str">
        <x:v>Fora da meta principal</x:v>
      </x:c>
      <x:c r="C132" s="81" t="str"/>
      <x:c r="D132" s="80" t="str">
        <x:v>Ferrari F40 (Action Racers)</x:v>
      </x:c>
      <x:c r="E132" s="80" t="str">
        <x:v>Ferrari F40</x:v>
      </x:c>
      <x:c r="F132" s="82" t="str">
        <x:v>Action Racers</x:v>
      </x:c>
      <x:c r="G132" s="80" t="str"/>
      <x:c r="H132" s="80" t="str"/>
      <x:c r="I132" s="83" t="str"/>
      <x:c r="J132" s="80" t="str"/>
      <x:c r="K132" s="82" t="str"/>
      <x:c r="L132" s="82" t="str"/>
      <x:c r="M132" s="82" t="str">
        <x:v>Black / / / Plastic</x:v>
      </x:c>
      <x:c r="N132" s="82" t="str"/>
      <x:c r="O132" s="82" t="str"/>
      <x:c r="P132" s="82" t="str">
        <x:v>China</x:v>
      </x:c>
      <x:c r="Q132" s="82" t="str"/>
      <x:c r="R132" s="82" t="str">
        <x:v>Outra linha</x:v>
      </x:c>
      <x:c r="S132" s="82" t="str">
        <x:v>Comum / atual</x:v>
      </x:c>
      <x:c r="T132" s="82" t="str">
        <x:v>Ano não documentado</x:v>
      </x:c>
      <x:c r="U132" s="82" t="str"/>
      <x:c r="V132" s="80" t="str">
        <x:v>Action Racers</x:v>
      </x:c>
      <x:c r="W132" s="82" t="str">
        <x:v>https://hotwheels.fandom.com/wiki/Ferrari_F40_(Action_Racers)</x:v>
      </x:c>
      <x:c r="X132" s="82" t="str">
        <x:v>https://hotwheels.fandom.com/wiki/Ferrari_F40_(Action_Racers)</x:v>
      </x:c>
    </x:row>
    <x:row r="133">
      <x:c r="A133" s="80" t="str">
        <x:v>Não</x:v>
      </x:c>
      <x:c r="B133" s="80" t="str">
        <x:v>Fora da meta principal</x:v>
      </x:c>
      <x:c r="C133" s="81" t="str"/>
      <x:c r="D133" s="80" t="str">
        <x:v>Ferrari F40 (Action Racers)</x:v>
      </x:c>
      <x:c r="E133" s="80" t="str">
        <x:v>Ferrari F40</x:v>
      </x:c>
      <x:c r="F133" s="82" t="str">
        <x:v>Action Racers</x:v>
      </x:c>
      <x:c r="G133" s="80" t="str"/>
      <x:c r="H133" s="80" t="str"/>
      <x:c r="I133" s="83" t="str"/>
      <x:c r="J133" s="80" t="str">
        <x:v>Metallic Grey</x:v>
      </x:c>
      <x:c r="K133" s="82" t="str"/>
      <x:c r="L133" s="82" t="str"/>
      <x:c r="M133" s="82" t="str">
        <x:v>Black / / / Plastic</x:v>
      </x:c>
      <x:c r="N133" s="82" t="str">
        <x:v>Black</x:v>
      </x:c>
      <x:c r="O133" s="82" t="str">
        <x:v>N/A</x:v>
      </x:c>
      <x:c r="P133" s="82" t="str">
        <x:v>China</x:v>
      </x:c>
      <x:c r="Q133" s="82" t="str"/>
      <x:c r="R133" s="82" t="str">
        <x:v>Outra linha</x:v>
      </x:c>
      <x:c r="S133" s="82" t="str">
        <x:v>Comum / atual</x:v>
      </x:c>
      <x:c r="T133" s="82" t="str">
        <x:v>Ano não documentado</x:v>
      </x:c>
      <x:c r="U133" s="82" t="str"/>
      <x:c r="V133" s="80" t="str">
        <x:v>Action Racers</x:v>
      </x:c>
      <x:c r="W133" s="82" t="str">
        <x:v>https://hotwheels.fandom.com/wiki/Ferrari_F40_(Action_Racers)</x:v>
      </x:c>
      <x:c r="X133" s="82" t="str">
        <x:v>https://hotwheels.fandom.com/wiki/Ferrari_F40_(Action_Racers)</x:v>
      </x:c>
    </x:row>
    <x:row r="134">
      <x:c r="A134" s="80" t="str">
        <x:v>Não</x:v>
      </x:c>
      <x:c r="B134" s="80" t="str">
        <x:v>Fora da meta principal</x:v>
      </x:c>
      <x:c r="C134" s="81" t="str"/>
      <x:c r="D134" s="80" t="str">
        <x:v>Ferrari F40 (Action Racers)</x:v>
      </x:c>
      <x:c r="E134" s="80" t="str">
        <x:v>Ferrari F40</x:v>
      </x:c>
      <x:c r="F134" s="82" t="str">
        <x:v>Die-Cast Color Racers</x:v>
      </x:c>
      <x:c r="G134" s="80" t="str"/>
      <x:c r="H134" s="80" t="str"/>
      <x:c r="I134" s="83" t="str">
        <x:v>8348</x:v>
      </x:c>
      <x:c r="J134" s="80" t="str"/>
      <x:c r="K134" s="82" t="str"/>
      <x:c r="L134" s="82" t="str"/>
      <x:c r="M134" s="82" t="str">
        <x:v>Black / / / Plastic</x:v>
      </x:c>
      <x:c r="N134" s="82" t="str"/>
      <x:c r="O134" s="82" t="str"/>
      <x:c r="P134" s="82" t="str">
        <x:v>China</x:v>
      </x:c>
      <x:c r="Q134" s="82" t="str"/>
      <x:c r="R134" s="82" t="str">
        <x:v>Outra linha</x:v>
      </x:c>
      <x:c r="S134" s="82" t="str">
        <x:v>Comum / atual</x:v>
      </x:c>
      <x:c r="T134" s="82" t="str">
        <x:v>Ano não documentado</x:v>
      </x:c>
      <x:c r="U134" s="82" t="str"/>
      <x:c r="V134" s="80" t="str">
        <x:v>Action Racers</x:v>
      </x:c>
      <x:c r="W134" s="82" t="str">
        <x:v>https://hotwheels.fandom.com/wiki/Ferrari_F40_(Action_Racers)</x:v>
      </x:c>
      <x:c r="X134" s="82" t="str">
        <x:v>https://hotwheels.fandom.com/wiki/Ferrari_F40_(Action_Racers)</x:v>
      </x:c>
    </x:row>
    <x:row r="135">
      <x:c r="A135" s="80" t="str">
        <x:v>Não</x:v>
      </x:c>
      <x:c r="B135" s="80" t="str">
        <x:v>Fora da meta principal</x:v>
      </x:c>
      <x:c r="C135" s="81" t="str"/>
      <x:c r="D135" s="80" t="str">
        <x:v>Ferrari F40 (Action Racers)</x:v>
      </x:c>
      <x:c r="E135" s="80" t="str">
        <x:v>Ferrari F40</x:v>
      </x:c>
      <x:c r="F135" s="82" t="str">
        <x:v>Die-Cast Color Racers</x:v>
      </x:c>
      <x:c r="G135" s="80" t="str"/>
      <x:c r="H135" s="80" t="str"/>
      <x:c r="I135" s="83" t="str">
        <x:v>2441</x:v>
      </x:c>
      <x:c r="J135" s="80" t="str">
        <x:v>Bubblegum pink / greenish grey</x:v>
      </x:c>
      <x:c r="K135" s="82" t="str"/>
      <x:c r="L135" s="82" t="str"/>
      <x:c r="M135" s="82" t="str">
        <x:v>Black / / / Plastic</x:v>
      </x:c>
      <x:c r="N135" s="82" t="str"/>
      <x:c r="O135" s="82" t="str"/>
      <x:c r="P135" s="82" t="str">
        <x:v>China</x:v>
      </x:c>
      <x:c r="Q135" s="82" t="str"/>
      <x:c r="R135" s="82" t="str">
        <x:v>Outra linha</x:v>
      </x:c>
      <x:c r="S135" s="82" t="str">
        <x:v>Comum / atual</x:v>
      </x:c>
      <x:c r="T135" s="82" t="str">
        <x:v>Ano não documentado</x:v>
      </x:c>
      <x:c r="U135" s="82" t="str"/>
      <x:c r="V135" s="80" t="str">
        <x:v>Action Racers</x:v>
      </x:c>
      <x:c r="W135" s="82" t="str">
        <x:v>https://hotwheels.fandom.com/wiki/Ferrari_F40_(Action_Racers)</x:v>
      </x:c>
      <x:c r="X135" s="82" t="str">
        <x:v>https://hotwheels.fandom.com/wiki/Ferrari_F40_(Action_Racers)</x:v>
      </x:c>
    </x:row>
    <x:row r="136">
      <x:c r="A136" s="80" t="str">
        <x:v>Não</x:v>
      </x:c>
      <x:c r="B136" s="80" t="str">
        <x:v>Fora da meta principal</x:v>
      </x:c>
      <x:c r="C136" s="81" t="str"/>
      <x:c r="D136" s="80" t="str">
        <x:v>Ferrari F40 (Action Racers)</x:v>
      </x:c>
      <x:c r="E136" s="80" t="str">
        <x:v>Ferrari F40</x:v>
      </x:c>
      <x:c r="F136" s="82" t="str">
        <x:v>Metallic Paint Action Racers</x:v>
      </x:c>
      <x:c r="G136" s="80" t="str"/>
      <x:c r="H136" s="80" t="str"/>
      <x:c r="I136" s="83" t="str">
        <x:v>8188</x:v>
      </x:c>
      <x:c r="J136" s="80" t="str"/>
      <x:c r="K136" s="82" t="str"/>
      <x:c r="L136" s="82" t="str"/>
      <x:c r="M136" s="82" t="str">
        <x:v>Black / / / Plastic</x:v>
      </x:c>
      <x:c r="N136" s="82" t="str"/>
      <x:c r="O136" s="82" t="str"/>
      <x:c r="P136" s="82" t="str">
        <x:v>China</x:v>
      </x:c>
      <x:c r="Q136" s="82" t="str"/>
      <x:c r="R136" s="82" t="str">
        <x:v>Outra linha</x:v>
      </x:c>
      <x:c r="S136" s="82" t="str">
        <x:v>Comum / atual</x:v>
      </x:c>
      <x:c r="T136" s="82" t="str">
        <x:v>Ano não documentado</x:v>
      </x:c>
      <x:c r="U136" s="82" t="str"/>
      <x:c r="V136" s="80" t="str">
        <x:v>Action Racers</x:v>
      </x:c>
      <x:c r="W136" s="82" t="str">
        <x:v>https://hotwheels.fandom.com/wiki/Ferrari_F40_(Action_Racers)</x:v>
      </x:c>
      <x:c r="X136" s="82" t="str">
        <x:v>https://hotwheels.fandom.com/wiki/Ferrari_F40_(Action_Racers)</x:v>
      </x:c>
    </x:row>
    <x:row r="137">
      <x:c r="A137" s="80" t="str">
        <x:v>Não</x:v>
      </x:c>
      <x:c r="B137" s="80" t="str">
        <x:v>Fora da meta principal</x:v>
      </x:c>
      <x:c r="C137" s="81" t="str"/>
      <x:c r="D137" s="80" t="str">
        <x:v>Ferrari F40 (Action Racers)</x:v>
      </x:c>
      <x:c r="E137" s="80" t="str">
        <x:v>Ferrari F40</x:v>
      </x:c>
      <x:c r="F137" s="82" t="str">
        <x:v>Neon Bright Action Racers</x:v>
      </x:c>
      <x:c r="G137" s="80" t="str"/>
      <x:c r="H137" s="80" t="str"/>
      <x:c r="I137" s="83" t="str">
        <x:v>2440</x:v>
      </x:c>
      <x:c r="J137" s="80" t="str">
        <x:v>Orange neon</x:v>
      </x:c>
      <x:c r="K137" s="82" t="str"/>
      <x:c r="L137" s="82" t="str"/>
      <x:c r="M137" s="82" t="str">
        <x:v>Black / / / Plastic</x:v>
      </x:c>
      <x:c r="N137" s="82" t="str">
        <x:v>wind</x:v>
      </x:c>
      <x:c r="O137" s="82" t="str"/>
      <x:c r="P137" s="82" t="str">
        <x:v>China</x:v>
      </x:c>
      <x:c r="Q137" s="82" t="str"/>
      <x:c r="R137" s="82" t="str">
        <x:v>Outra linha</x:v>
      </x:c>
      <x:c r="S137" s="82" t="str">
        <x:v>Comum / atual</x:v>
      </x:c>
      <x:c r="T137" s="82" t="str">
        <x:v>Ano não documentado</x:v>
      </x:c>
      <x:c r="U137" s="82" t="str"/>
      <x:c r="V137" s="80" t="str">
        <x:v>Action Racers</x:v>
      </x:c>
      <x:c r="W137" s="82" t="str">
        <x:v>https://hotwheels.fandom.com/wiki/Ferrari_F40_(Action_Racers)</x:v>
      </x:c>
      <x:c r="X137" s="82" t="str">
        <x:v>https://hotwheels.fandom.com/wiki/Ferrari_F40_(Action_Racers)</x:v>
      </x:c>
    </x:row>
    <x:row r="138">
      <x:c r="A138" s="80" t="str">
        <x:v>Não</x:v>
      </x:c>
      <x:c r="B138" s="80" t="str">
        <x:v>Fora da meta principal</x:v>
      </x:c>
      <x:c r="C138" s="81" t="str"/>
      <x:c r="D138" s="80" t="str">
        <x:v>Ferrari F40 (Action Racers)</x:v>
      </x:c>
      <x:c r="E138" s="80" t="str">
        <x:v>Ferrari F40</x:v>
      </x:c>
      <x:c r="F138" s="82" t="str">
        <x:v>Neon Bright Action Racers</x:v>
      </x:c>
      <x:c r="G138" s="80" t="str"/>
      <x:c r="H138" s="80" t="str"/>
      <x:c r="I138" s="83" t="str">
        <x:v>2440</x:v>
      </x:c>
      <x:c r="J138" s="80" t="str">
        <x:v>Pink neon</x:v>
      </x:c>
      <x:c r="K138" s="82" t="str"/>
      <x:c r="L138" s="82" t="str"/>
      <x:c r="M138" s="82" t="str">
        <x:v>Black / / / Plastic</x:v>
      </x:c>
      <x:c r="N138" s="82" t="str"/>
      <x:c r="O138" s="82" t="str"/>
      <x:c r="P138" s="82" t="str">
        <x:v>China</x:v>
      </x:c>
      <x:c r="Q138" s="82" t="str"/>
      <x:c r="R138" s="82" t="str">
        <x:v>Outra linha</x:v>
      </x:c>
      <x:c r="S138" s="82" t="str">
        <x:v>Comum / atual</x:v>
      </x:c>
      <x:c r="T138" s="82" t="str">
        <x:v>Ano não documentado</x:v>
      </x:c>
      <x:c r="U138" s="82" t="str"/>
      <x:c r="V138" s="80" t="str">
        <x:v>Action Racers</x:v>
      </x:c>
      <x:c r="W138" s="82" t="str">
        <x:v>https://hotwheels.fandom.com/wiki/Ferrari_F40_(Action_Racers)</x:v>
      </x:c>
      <x:c r="X138" s="82" t="str">
        <x:v>https://hotwheels.fandom.com/wiki/Ferrari_F40_(Action_Racers)</x:v>
      </x:c>
    </x:row>
    <x:row r="139">
      <x:c r="A139" s="80" t="str">
        <x:v>Não</x:v>
      </x:c>
      <x:c r="B139" s="80" t="str">
        <x:v>Fora da meta principal</x:v>
      </x:c>
      <x:c r="C139" s="81" t="str"/>
      <x:c r="D139" s="80" t="str">
        <x:v>Ferrari F40 (Action Racers)</x:v>
      </x:c>
      <x:c r="E139" s="80" t="str">
        <x:v>Ferrari F40</x:v>
      </x:c>
      <x:c r="F139" s="82" t="str">
        <x:v>Neon Bright Action Racers multipack</x:v>
      </x:c>
      <x:c r="G139" s="80" t="str"/>
      <x:c r="H139" s="80" t="str"/>
      <x:c r="I139" s="83" t="str">
        <x:v>2598</x:v>
      </x:c>
      <x:c r="J139" s="80" t="str">
        <x:v>Neon Salmonberry</x:v>
      </x:c>
      <x:c r="K139" s="82" t="str"/>
      <x:c r="L139" s="82" t="str"/>
      <x:c r="M139" s="82" t="str">
        <x:v>Black / / / Plastic</x:v>
      </x:c>
      <x:c r="N139" s="82" t="str"/>
      <x:c r="O139" s="82" t="str"/>
      <x:c r="P139" s="82" t="str">
        <x:v>China</x:v>
      </x:c>
      <x:c r="Q139" s="82" t="str"/>
      <x:c r="R139" s="82" t="str">
        <x:v>Temática / multipack</x:v>
      </x:c>
      <x:c r="S139" s="82" t="str">
        <x:v>Comum / atual</x:v>
      </x:c>
      <x:c r="T139" s="82" t="str">
        <x:v>Ano não documentado</x:v>
      </x:c>
      <x:c r="U139" s="82" t="str">
        <x:v>From multipack cut out card</x:v>
      </x:c>
      <x:c r="V139" s="80" t="str">
        <x:v>Action Racers</x:v>
      </x:c>
      <x:c r="W139" s="82" t="str">
        <x:v>https://hotwheels.fandom.com/wiki/Ferrari_F40_(Action_Racers)</x:v>
      </x:c>
      <x:c r="X139" s="82" t="str">
        <x:v>https://hotwheels.fandom.com/wiki/Ferrari_F40_(Action_Racers)</x:v>
      </x:c>
    </x:row>
    <x:row r="140">
      <x:c r="A140" s="80" t="str">
        <x:v>Não</x:v>
      </x:c>
      <x:c r="B140" s="80" t="str">
        <x:v>Fora da meta principal</x:v>
      </x:c>
      <x:c r="C140" s="81" t="str"/>
      <x:c r="D140" s="80" t="str">
        <x:v>Ferrari Testarossa (Action Racers)</x:v>
      </x:c>
      <x:c r="E140" s="80" t="str">
        <x:v>Ferrari Testarossa</x:v>
      </x:c>
      <x:c r="F140" s="82" t="str">
        <x:v>Action Racers</x:v>
      </x:c>
      <x:c r="G140" s="80" t="str"/>
      <x:c r="H140" s="80" t="str"/>
      <x:c r="I140" s="83" t="str">
        <x:v>2415</x:v>
      </x:c>
      <x:c r="J140" s="80" t="str">
        <x:v>Black</x:v>
      </x:c>
      <x:c r="K140" s="82" t="str"/>
      <x:c r="L140" s="82" t="str"/>
      <x:c r="M140" s="82" t="str">
        <x:v>Black / / / Plastic</x:v>
      </x:c>
      <x:c r="N140" s="82" t="str">
        <x:v>Black</x:v>
      </x:c>
      <x:c r="O140" s="82" t="str"/>
      <x:c r="P140" s="82" t="str">
        <x:v>China</x:v>
      </x:c>
      <x:c r="Q140" s="82" t="str"/>
      <x:c r="R140" s="82" t="str">
        <x:v>Outra linha</x:v>
      </x:c>
      <x:c r="S140" s="82" t="str">
        <x:v>Comum / atual</x:v>
      </x:c>
      <x:c r="T140" s="82" t="str">
        <x:v>Ano não documentado</x:v>
      </x:c>
      <x:c r="U140" s="82" t="str"/>
      <x:c r="V140" s="80" t="str">
        <x:v>Action Racers</x:v>
      </x:c>
      <x:c r="W140" s="82" t="str">
        <x:v>https://hotwheels.fandom.com/wiki/Ferrari_Testarossa_(Action_Racers)</x:v>
      </x:c>
      <x:c r="X140" s="82" t="str">
        <x:v>https://hotwheels.fandom.com/wiki/Ferrari_Testarossa_(Action_Racers)</x:v>
      </x:c>
    </x:row>
    <x:row r="141">
      <x:c r="A141" s="80" t="str">
        <x:v>Não</x:v>
      </x:c>
      <x:c r="B141" s="80" t="str">
        <x:v>Fora da meta principal</x:v>
      </x:c>
      <x:c r="C141" s="81" t="str"/>
      <x:c r="D141" s="80" t="str">
        <x:v>Ferrari Testarossa (Action Racers)</x:v>
      </x:c>
      <x:c r="E141" s="80" t="str">
        <x:v>Ferrari Testarossa</x:v>
      </x:c>
      <x:c r="F141" s="82" t="str">
        <x:v>Action Racers</x:v>
      </x:c>
      <x:c r="G141" s="80" t="str"/>
      <x:c r="H141" s="80" t="str"/>
      <x:c r="I141" s="83" t="str">
        <x:v>2415</x:v>
      </x:c>
      <x:c r="J141" s="80" t="str">
        <x:v>White</x:v>
      </x:c>
      <x:c r="K141" s="82" t="str"/>
      <x:c r="L141" s="82" t="str"/>
      <x:c r="M141" s="82" t="str">
        <x:v>Black / / / Plastic</x:v>
      </x:c>
      <x:c r="N141" s="82" t="str">
        <x:v>Black</x:v>
      </x:c>
      <x:c r="O141" s="82" t="str"/>
      <x:c r="P141" s="82" t="str">
        <x:v>China</x:v>
      </x:c>
      <x:c r="Q141" s="82" t="str"/>
      <x:c r="R141" s="82" t="str">
        <x:v>Outra linha</x:v>
      </x:c>
      <x:c r="S141" s="82" t="str">
        <x:v>Comum / atual</x:v>
      </x:c>
      <x:c r="T141" s="82" t="str">
        <x:v>Ano não documentado</x:v>
      </x:c>
      <x:c r="U141" s="82" t="str"/>
      <x:c r="V141" s="80" t="str">
        <x:v>Action Racers</x:v>
      </x:c>
      <x:c r="W141" s="82" t="str">
        <x:v>https://hotwheels.fandom.com/wiki/Ferrari_Testarossa_(Action_Racers)</x:v>
      </x:c>
      <x:c r="X141" s="82" t="str">
        <x:v>https://hotwheels.fandom.com/wiki/Ferrari_Testarossa_(Action_Racers)</x:v>
      </x:c>
    </x:row>
    <x:row r="142">
      <x:c r="A142" s="80" t="str">
        <x:v>Não</x:v>
      </x:c>
      <x:c r="B142" s="80" t="str">
        <x:v>Fora da meta principal</x:v>
      </x:c>
      <x:c r="C142" s="81" t="str"/>
      <x:c r="D142" s="80" t="str">
        <x:v>Ferrari Testarossa (Action Racers)</x:v>
      </x:c>
      <x:c r="E142" s="80" t="str">
        <x:v>Ferrari Testarossa</x:v>
      </x:c>
      <x:c r="F142" s="82" t="str">
        <x:v>Action Racers Color Racers</x:v>
      </x:c>
      <x:c r="G142" s="80" t="str"/>
      <x:c r="H142" s="80" t="str"/>
      <x:c r="I142" s="83" t="str">
        <x:v>2543</x:v>
      </x:c>
      <x:c r="J142" s="80" t="str"/>
      <x:c r="K142" s="82" t="str"/>
      <x:c r="L142" s="82" t="str"/>
      <x:c r="M142" s="82" t="str">
        <x:v>Black / / / Plastic</x:v>
      </x:c>
      <x:c r="N142" s="82" t="str">
        <x:v>Black</x:v>
      </x:c>
      <x:c r="O142" s="82" t="str"/>
      <x:c r="P142" s="82" t="str">
        <x:v>China</x:v>
      </x:c>
      <x:c r="Q142" s="82" t="str"/>
      <x:c r="R142" s="82" t="str">
        <x:v>Outra linha</x:v>
      </x:c>
      <x:c r="S142" s="82" t="str">
        <x:v>Comum / atual</x:v>
      </x:c>
      <x:c r="T142" s="82" t="str">
        <x:v>Ano não documentado</x:v>
      </x:c>
      <x:c r="U142" s="82" t="str"/>
      <x:c r="V142" s="80" t="str">
        <x:v>Action Racers</x:v>
      </x:c>
      <x:c r="W142" s="82" t="str">
        <x:v>https://hotwheels.fandom.com/wiki/Ferrari_Testarossa_(Action_Racers)</x:v>
      </x:c>
      <x:c r="X142" s="82" t="str">
        <x:v>https://hotwheels.fandom.com/wiki/Ferrari_Testarossa_(Action_Racers)</x:v>
      </x:c>
    </x:row>
    <x:row r="143">
      <x:c r="A143" s="80" t="str">
        <x:v>Não</x:v>
      </x:c>
      <x:c r="B143" s="80" t="str">
        <x:v>Fora da meta principal</x:v>
      </x:c>
      <x:c r="C143" s="81" t="str"/>
      <x:c r="D143" s="80" t="str">
        <x:v>Ferrari Testarossa (Action Racers)</x:v>
      </x:c>
      <x:c r="E143" s="80" t="str">
        <x:v>Ferrari Testarossa</x:v>
      </x:c>
      <x:c r="F143" s="82" t="str">
        <x:v>Action Racers Color Racers</x:v>
      </x:c>
      <x:c r="G143" s="80" t="str"/>
      <x:c r="H143" s="80" t="str"/>
      <x:c r="I143" s="83" t="str">
        <x:v>2543</x:v>
      </x:c>
      <x:c r="J143" s="80" t="str">
        <x:v>Salmon</x:v>
      </x:c>
      <x:c r="K143" s="82" t="str"/>
      <x:c r="L143" s="82" t="str"/>
      <x:c r="M143" s="82" t="str">
        <x:v>Black / / / Plastic</x:v>
      </x:c>
      <x:c r="N143" s="82" t="str">
        <x:v>Black</x:v>
      </x:c>
      <x:c r="O143" s="82" t="str"/>
      <x:c r="P143" s="82" t="str">
        <x:v>China</x:v>
      </x:c>
      <x:c r="Q143" s="82" t="str"/>
      <x:c r="R143" s="82" t="str">
        <x:v>Outra linha</x:v>
      </x:c>
      <x:c r="S143" s="82" t="str">
        <x:v>Comum / atual</x:v>
      </x:c>
      <x:c r="T143" s="82" t="str">
        <x:v>Ano não documentado</x:v>
      </x:c>
      <x:c r="U143" s="82" t="str"/>
      <x:c r="V143" s="80" t="str">
        <x:v>Action Racers</x:v>
      </x:c>
      <x:c r="W143" s="82" t="str">
        <x:v>https://hotwheels.fandom.com/wiki/Ferrari_Testarossa_(Action_Racers)</x:v>
      </x:c>
      <x:c r="X143" s="82" t="str">
        <x:v>https://hotwheels.fandom.com/wiki/Ferrari_Testarossa_(Action_Racers)</x:v>
      </x:c>
    </x:row>
    <x:row r="144">
      <x:c r="A144" s="80" t="str">
        <x:v>Não</x:v>
      </x:c>
      <x:c r="B144" s="80" t="str">
        <x:v>Fora da meta principal</x:v>
      </x:c>
      <x:c r="C144" s="81" t="str"/>
      <x:c r="D144" s="80" t="str">
        <x:v>Ferrari Testarossa (Action Racers)</x:v>
      </x:c>
      <x:c r="E144" s="80" t="str">
        <x:v>Ferrari Testarossa</x:v>
      </x:c>
      <x:c r="F144" s="82" t="str">
        <x:v>Metallic Paint Action Racers</x:v>
      </x:c>
      <x:c r="G144" s="80" t="str"/>
      <x:c r="H144" s="80" t="str"/>
      <x:c r="I144" s="83" t="str">
        <x:v>8188</x:v>
      </x:c>
      <x:c r="J144" s="80" t="str">
        <x:v>Black Metallic</x:v>
      </x:c>
      <x:c r="K144" s="82" t="str"/>
      <x:c r="L144" s="82" t="str"/>
      <x:c r="M144" s="82" t="str">
        <x:v>Black / / / Plastic</x:v>
      </x:c>
      <x:c r="N144" s="82" t="str">
        <x:v>Black</x:v>
      </x:c>
      <x:c r="O144" s="82" t="str"/>
      <x:c r="P144" s="82" t="str">
        <x:v>China</x:v>
      </x:c>
      <x:c r="Q144" s="82" t="str"/>
      <x:c r="R144" s="82" t="str">
        <x:v>Outra linha</x:v>
      </x:c>
      <x:c r="S144" s="82" t="str">
        <x:v>Comum / atual</x:v>
      </x:c>
      <x:c r="T144" s="82" t="str">
        <x:v>Ano não documentado</x:v>
      </x:c>
      <x:c r="U144" s="82" t="str"/>
      <x:c r="V144" s="80" t="str">
        <x:v>Action Racers</x:v>
      </x:c>
      <x:c r="W144" s="82" t="str">
        <x:v>https://hotwheels.fandom.com/wiki/Ferrari_Testarossa_(Action_Racers)</x:v>
      </x:c>
      <x:c r="X144" s="82" t="str">
        <x:v>https://hotwheels.fandom.com/wiki/Ferrari_Testarossa_(Action_Racers)</x:v>
      </x:c>
    </x:row>
    <x:row r="145">
      <x:c r="A145" s="80" t="str">
        <x:v>Não</x:v>
      </x:c>
      <x:c r="B145" s="80" t="str">
        <x:v>Fora da meta principal</x:v>
      </x:c>
      <x:c r="C145" s="81" t="str"/>
      <x:c r="D145" s="80" t="str">
        <x:v>Ferrari Testarossa (Action Racers)</x:v>
      </x:c>
      <x:c r="E145" s="80" t="str">
        <x:v>Ferrari Testarossa</x:v>
      </x:c>
      <x:c r="F145" s="82" t="str">
        <x:v>Metallic Paint Action Racers</x:v>
      </x:c>
      <x:c r="G145" s="80" t="str"/>
      <x:c r="H145" s="80" t="str"/>
      <x:c r="I145" s="83" t="str">
        <x:v>8818</x:v>
      </x:c>
      <x:c r="J145" s="80" t="str">
        <x:v>Blue Metallic</x:v>
      </x:c>
      <x:c r="K145" s="82" t="str">
        <x:v>Red Hot Wheels logos</x:v>
      </x:c>
      <x:c r="L145" s="82" t="str"/>
      <x:c r="M145" s="82" t="str">
        <x:v>Black / / / Plastic</x:v>
      </x:c>
      <x:c r="N145" s="82" t="str">
        <x:v>Black</x:v>
      </x:c>
      <x:c r="O145" s="82" t="str"/>
      <x:c r="P145" s="82" t="str">
        <x:v>China</x:v>
      </x:c>
      <x:c r="Q145" s="82" t="str"/>
      <x:c r="R145" s="82" t="str">
        <x:v>Outra linha</x:v>
      </x:c>
      <x:c r="S145" s="82" t="str">
        <x:v>Comum / atual</x:v>
      </x:c>
      <x:c r="T145" s="82" t="str">
        <x:v>Ano não documentado</x:v>
      </x:c>
      <x:c r="U145" s="82" t="str"/>
      <x:c r="V145" s="80" t="str">
        <x:v>Action Racers</x:v>
      </x:c>
      <x:c r="W145" s="82" t="str">
        <x:v>https://hotwheels.fandom.com/wiki/Ferrari_Testarossa_(Action_Racers)</x:v>
      </x:c>
      <x:c r="X145" s="82" t="str">
        <x:v>https://hotwheels.fandom.com/wiki/Ferrari_Testarossa_(Action_Racers)</x:v>
      </x:c>
    </x:row>
    <x:row r="146">
      <x:c r="A146" s="80" t="str">
        <x:v>Não</x:v>
      </x:c>
      <x:c r="B146" s="80" t="str">
        <x:v>Fora da meta principal</x:v>
      </x:c>
      <x:c r="C146" s="81" t="str"/>
      <x:c r="D146" s="80" t="str">
        <x:v>Ferrari Testarossa (Action Racers)</x:v>
      </x:c>
      <x:c r="E146" s="80" t="str">
        <x:v>Ferrari Testarossa</x:v>
      </x:c>
      <x:c r="F146" s="82" t="str">
        <x:v>Neon Bright Action Racers</x:v>
      </x:c>
      <x:c r="G146" s="80" t="str"/>
      <x:c r="H146" s="80" t="str"/>
      <x:c r="I146" s="83" t="str">
        <x:v>2440</x:v>
      </x:c>
      <x:c r="J146" s="80" t="str">
        <x:v>Green Neon</x:v>
      </x:c>
      <x:c r="K146" s="82" t="str"/>
      <x:c r="L146" s="82" t="str"/>
      <x:c r="M146" s="82" t="str">
        <x:v>Black / / / Plastic</x:v>
      </x:c>
      <x:c r="N146" s="82" t="str">
        <x:v>Black</x:v>
      </x:c>
      <x:c r="O146" s="82" t="str"/>
      <x:c r="P146" s="82" t="str">
        <x:v>China</x:v>
      </x:c>
      <x:c r="Q146" s="82" t="str"/>
      <x:c r="R146" s="82" t="str">
        <x:v>Outra linha</x:v>
      </x:c>
      <x:c r="S146" s="82" t="str">
        <x:v>Comum / atual</x:v>
      </x:c>
      <x:c r="T146" s="82" t="str">
        <x:v>Ano não documentado</x:v>
      </x:c>
      <x:c r="U146" s="82" t="str"/>
      <x:c r="V146" s="80" t="str">
        <x:v>Action Racers</x:v>
      </x:c>
      <x:c r="W146" s="82" t="str">
        <x:v>https://hotwheels.fandom.com/wiki/Ferrari_Testarossa_(Action_Racers)</x:v>
      </x:c>
      <x:c r="X146" s="82" t="str">
        <x:v>https://hotwheels.fandom.com/wiki/Ferrari_Testarossa_(Action_Racers)</x:v>
      </x:c>
    </x:row>
    <x:row r="147">
      <x:c r="A147" s="80" t="str">
        <x:v>Não</x:v>
      </x:c>
      <x:c r="B147" s="80" t="str">
        <x:v>Fora da meta principal</x:v>
      </x:c>
      <x:c r="C147" s="81" t="str"/>
      <x:c r="D147" s="80" t="str">
        <x:v>Ferrari Testarossa (micro)</x:v>
      </x:c>
      <x:c r="E147" s="80" t="str">
        <x:v>Ferrari Testarossa</x:v>
      </x:c>
      <x:c r="F147" s="82" t="str">
        <x:v>Mini Formula Racers</x:v>
      </x:c>
      <x:c r="G147" s="80" t="str"/>
      <x:c r="H147" s="80" t="str"/>
      <x:c r="I147" s="83" t="str"/>
      <x:c r="J147" s="80" t="str">
        <x:v>Silver Metalflake Hues / various hues of Silver, Grey, Slate</x:v>
      </x:c>
      <x:c r="K147" s="82" t="str"/>
      <x:c r="L147" s="82" t="str"/>
      <x:c r="M147" s="82" t="str">
        <x:v>various colours / / / Plastic</x:v>
      </x:c>
      <x:c r="N147" s="82" t="str"/>
      <x:c r="O147" s="82" t="str"/>
      <x:c r="P147" s="82" t="str"/>
      <x:c r="Q147" s="82" t="str"/>
      <x:c r="R147" s="82" t="str">
        <x:v>Outra linha</x:v>
      </x:c>
      <x:c r="S147" s="82" t="str">
        <x:v>Comum / atual</x:v>
      </x:c>
      <x:c r="T147" s="82" t="str">
        <x:v>Ano não documentado</x:v>
      </x:c>
      <x:c r="U147" s="82" t="str"/>
      <x:c r="V147" s="80" t="str">
        <x:v>Micro</x:v>
      </x:c>
      <x:c r="W147" s="82" t="str">
        <x:v>https://hotwheels.fandom.com/wiki/Ferrari_Testarossa_(micro)</x:v>
      </x:c>
      <x:c r="X147" s="82" t="str">
        <x:v>https://hotwheels.fandom.com/wiki/Ferrari_Testarossa_(micro)</x:v>
      </x:c>
    </x:row>
    <x:row r="148">
      <x:c r="A148" s="80" t="str">
        <x:v>Não</x:v>
      </x:c>
      <x:c r="B148" s="80" t="str">
        <x:v>2 — Completar aos poucos</x:v>
      </x:c>
      <x:c r="C148" s="81" t="n">
        <x:v>1981</x:v>
      </x:c>
      <x:c r="D148" s="80" t="str">
        <x:v>Turbo 928</x:v>
      </x:c>
      <x:c r="E148" s="80" t="str">
        <x:v>Turbo 928</x:v>
      </x:c>
      <x:c r="F148" s="82" t="str">
        <x:v>Scorchers</x:v>
      </x:c>
      <x:c r="G148" s="80" t="str"/>
      <x:c r="H148" s="80" t="str"/>
      <x:c r="I148" s="83" t="str">
        <x:v>1593</x:v>
      </x:c>
      <x:c r="J148" s="80" t="str">
        <x:v>Black</x:v>
      </x:c>
      <x:c r="K148" s="82" t="str">
        <x:v>'928 Turbo' on sides, 'Turbo' on hood, yellow and red tampos</x:v>
      </x:c>
      <x:c r="L148" s="82" t="str">
        <x:v>8SP</x:v>
      </x:c>
      <x:c r="M148" s="82" t="str">
        <x:v>Black / Plastic</x:v>
      </x:c>
      <x:c r="N148" s="82" t="str">
        <x:v>Chrome</x:v>
      </x:c>
      <x:c r="O148" s="82" t="str">
        <x:v>None</x:v>
      </x:c>
      <x:c r="P148" s="82" t="str">
        <x:v>Hong Kong</x:v>
      </x:c>
      <x:c r="Q148" s="82" t="str"/>
      <x:c r="R148" s="82" t="str">
        <x:v>Outra linha</x:v>
      </x:c>
      <x:c r="S148" s="82" t="str">
        <x:v>Rara</x:v>
      </x:c>
      <x:c r="T148" s="82" t="str">
        <x:v>Lançado</x:v>
      </x:c>
      <x:c r="U148" s="82" t="str"/>
      <x:c r="V148" s="80" t="str">
        <x:v>Sizzlers/Scorchers</x:v>
      </x:c>
      <x:c r="W148" s="82" t="str">
        <x:v>https://hotwheels.fandom.com/wiki/Turbo_928</x:v>
      </x:c>
      <x:c r="X148" s="82" t="str">
        <x:v>https://hotwheels.fandom.com/wiki/Turbo_928</x:v>
      </x:c>
    </x:row>
    <x:row r="149">
      <x:c r="A149" s="80" t="str">
        <x:v>Não</x:v>
      </x:c>
      <x:c r="B149" s="80" t="str">
        <x:v>2 — Completar aos poucos</x:v>
      </x:c>
      <x:c r="C149" s="81" t="n">
        <x:v>1981</x:v>
      </x:c>
      <x:c r="D149" s="80" t="str">
        <x:v>Turbo 928</x:v>
      </x:c>
      <x:c r="E149" s="80" t="str">
        <x:v>Turbo 928</x:v>
      </x:c>
      <x:c r="F149" s="82" t="str">
        <x:v>Scorchers</x:v>
      </x:c>
      <x:c r="G149" s="80" t="str"/>
      <x:c r="H149" s="80" t="str"/>
      <x:c r="I149" s="83" t="str">
        <x:v>1596</x:v>
      </x:c>
      <x:c r="J149" s="80" t="str">
        <x:v>Grey</x:v>
      </x:c>
      <x:c r="K149" s="82" t="str">
        <x:v>Number '2', red and yellow stripes, red and blue stripes</x:v>
      </x:c>
      <x:c r="L149" s="82" t="str">
        <x:v>8SP</x:v>
      </x:c>
      <x:c r="M149" s="82" t="str">
        <x:v>Black / Plastic</x:v>
      </x:c>
      <x:c r="N149" s="82" t="str">
        <x:v>Chrome</x:v>
      </x:c>
      <x:c r="O149" s="82" t="str">
        <x:v>None</x:v>
      </x:c>
      <x:c r="P149" s="82" t="str">
        <x:v>Hong Kong</x:v>
      </x:c>
      <x:c r="Q149" s="82" t="str"/>
      <x:c r="R149" s="82" t="str">
        <x:v>Outra linha</x:v>
      </x:c>
      <x:c r="S149" s="82" t="str">
        <x:v>Rara</x:v>
      </x:c>
      <x:c r="T149" s="82" t="str">
        <x:v>Lançado</x:v>
      </x:c>
      <x:c r="U149" s="82" t="str"/>
      <x:c r="V149" s="80" t="str">
        <x:v>Sizzlers/Scorchers</x:v>
      </x:c>
      <x:c r="W149" s="82" t="str">
        <x:v>https://hotwheels.fandom.com/wiki/Turbo_928</x:v>
      </x:c>
      <x:c r="X149" s="82" t="str">
        <x:v>https://hotwheels.fandom.com/wiki/Turbo_928</x:v>
      </x:c>
    </x:row>
    <x:row r="150">
      <x:c r="A150" s="80" t="str">
        <x:v>Não</x:v>
      </x:c>
      <x:c r="B150" s="80" t="str">
        <x:v>2 — Completar aos poucos</x:v>
      </x:c>
      <x:c r="C150" s="81" t="n">
        <x:v>1978</x:v>
      </x:c>
      <x:c r="D150" s="80" t="str">
        <x:v>Moon Ghost</x:v>
      </x:c>
      <x:c r="E150" s="80" t="str">
        <x:v>Moon Ghost</x:v>
      </x:c>
      <x:c r="F150" s="82" t="str">
        <x:v>Night Ridin' Sizzlers</x:v>
      </x:c>
      <x:c r="G150" s="80" t="str"/>
      <x:c r="H150" s="80" t="str"/>
      <x:c r="I150" s="83" t="str">
        <x:v>2354</x:v>
      </x:c>
      <x:c r="J150" s="80" t="str">
        <x:v>Grand Prix White</x:v>
      </x:c>
      <x:c r="K150" s="82" t="str">
        <x:v>None</x:v>
      </x:c>
      <x:c r="L150" s="82" t="str">
        <x:v>RL</x:v>
      </x:c>
      <x:c r="M150" s="82" t="str">
        <x:v>Black / Plastic</x:v>
      </x:c>
      <x:c r="N150" s="82" t="str">
        <x:v>Black</x:v>
      </x:c>
      <x:c r="O150" s="82" t="str">
        <x:v>None</x:v>
      </x:c>
      <x:c r="P150" s="82" t="str">
        <x:v>Hong Kong</x:v>
      </x:c>
      <x:c r="Q150" s="82" t="str"/>
      <x:c r="R150" s="82" t="str">
        <x:v>Outra linha</x:v>
      </x:c>
      <x:c r="S150" s="82" t="str">
        <x:v>Rara</x:v>
      </x:c>
      <x:c r="T150" s="82" t="str">
        <x:v>Lançado</x:v>
      </x:c>
      <x:c r="U150" s="82" t="str">
        <x:v>Also included in Nightmare Alley trackset</x:v>
      </x:c>
      <x:c r="V150" s="80" t="str">
        <x:v>Sizzlers/Scorchers</x:v>
      </x:c>
      <x:c r="W150" s="82" t="str">
        <x:v>https://hotwheels.fandom.com/wiki/Moon_Ghost</x:v>
      </x:c>
      <x:c r="X150" s="82" t="str">
        <x:v>https://hotwheels.fandom.com/wiki/Moon_Ghost</x:v>
      </x:c>
    </x:row>
    <x:row r="151">
      <x:c r="A151" s="80" t="str">
        <x:v>Não</x:v>
      </x:c>
      <x:c r="B151" s="80" t="str">
        <x:v>2 — Completar aos poucos</x:v>
      </x:c>
      <x:c r="C151" s="81" t="n">
        <x:v>1970</x:v>
      </x:c>
      <x:c r="D151" s="80" t="str">
        <x:v>Porsche 912</x:v>
      </x:c>
      <x:c r="E151" s="80" t="str">
        <x:v>Porsche 912</x:v>
      </x:c>
      <x:c r="F151" s="82" t="str">
        <x:v>Gran Toros</x:v>
      </x:c>
      <x:c r="G151" s="80" t="str"/>
      <x:c r="H151" s="80" t="str"/>
      <x:c r="I151" s="83" t="str">
        <x:v>7612</x:v>
      </x:c>
      <x:c r="J151" s="80" t="str"/>
      <x:c r="K151" s="82" t="str"/>
      <x:c r="L151" s="82" t="str"/>
      <x:c r="M151" s="82" t="str"/>
      <x:c r="N151" s="82" t="str"/>
      <x:c r="O151" s="82" t="str"/>
      <x:c r="P151" s="82" t="str"/>
      <x:c r="Q151" s="82" t="str"/>
      <x:c r="R151" s="82" t="str">
        <x:v>Outra linha</x:v>
      </x:c>
      <x:c r="S151" s="82" t="str">
        <x:v>Rara</x:v>
      </x:c>
      <x:c r="T151" s="82" t="str">
        <x:v>Lançado</x:v>
      </x:c>
      <x:c r="U151" s="82" t="str"/>
      <x:c r="V151" s="80" t="str">
        <x:v>Linha vintage / escala variável</x:v>
      </x:c>
      <x:c r="W151" s="82" t="str">
        <x:v>https://hotwheels.fandom.com/wiki/Porsche</x:v>
      </x:c>
      <x:c r="X151" s="82" t="str"/>
    </x:row>
    <x:row r="152">
      <x:c r="A152" s="80" t="str">
        <x:v>Não</x:v>
      </x:c>
      <x:c r="B152" s="80" t="str">
        <x:v>2 — Completar aos poucos</x:v>
      </x:c>
      <x:c r="C152" s="81" t="n">
        <x:v>1970</x:v>
      </x:c>
      <x:c r="D152" s="80" t="str">
        <x:v>Porsche 912 Rally</x:v>
      </x:c>
      <x:c r="E152" s="80" t="str">
        <x:v>Porsche 912 Rally</x:v>
      </x:c>
      <x:c r="F152" s="82" t="str">
        <x:v>Gran Toros</x:v>
      </x:c>
      <x:c r="G152" s="80" t="str"/>
      <x:c r="H152" s="80" t="str"/>
      <x:c r="I152" s="83" t="str">
        <x:v>7633</x:v>
      </x:c>
      <x:c r="J152" s="80" t="str"/>
      <x:c r="K152" s="82" t="str"/>
      <x:c r="L152" s="82" t="str"/>
      <x:c r="M152" s="82" t="str"/>
      <x:c r="N152" s="82" t="str"/>
      <x:c r="O152" s="82" t="str"/>
      <x:c r="P152" s="82" t="str"/>
      <x:c r="Q152" s="82" t="str"/>
      <x:c r="R152" s="82" t="str">
        <x:v>Outra linha</x:v>
      </x:c>
      <x:c r="S152" s="82" t="str">
        <x:v>Rara</x:v>
      </x:c>
      <x:c r="T152" s="82" t="str">
        <x:v>Lançado</x:v>
      </x:c>
      <x:c r="U152" s="82" t="str"/>
      <x:c r="V152" s="80" t="str">
        <x:v>Linha vintage / escala variável</x:v>
      </x:c>
      <x:c r="W152" s="82" t="str">
        <x:v>https://hotwheels.fandom.com/wiki/Porsche</x:v>
      </x:c>
      <x:c r="X152" s="82" t="str"/>
    </x:row>
    <x:row r="153">
      <x:c r="A153" s="80" t="str">
        <x:v>Não</x:v>
      </x:c>
      <x:c r="B153" s="80" t="str">
        <x:v>2 — Completar aos poucos</x:v>
      </x:c>
      <x:c r="C153" s="81" t="n">
        <x:v>1970</x:v>
      </x:c>
      <x:c r="D153" s="80" t="str">
        <x:v>Porsche 912 Rallye</x:v>
      </x:c>
      <x:c r="E153" s="80" t="str">
        <x:v>Porsche 912 Rallye</x:v>
      </x:c>
      <x:c r="F153" s="82" t="str">
        <x:v>Gran Toros / Mebetoys</x:v>
      </x:c>
      <x:c r="G153" s="80" t="str"/>
      <x:c r="H153" s="80" t="str"/>
      <x:c r="I153" s="83" t="str">
        <x:v>7651 A-51 (Mebetoys)</x:v>
      </x:c>
      <x:c r="J153" s="80" t="str"/>
      <x:c r="K153" s="82" t="str"/>
      <x:c r="L153" s="82" t="str"/>
      <x:c r="M153" s="82" t="str"/>
      <x:c r="N153" s="82" t="str"/>
      <x:c r="O153" s="82" t="str"/>
      <x:c r="P153" s="82" t="str"/>
      <x:c r="Q153" s="82" t="str"/>
      <x:c r="R153" s="82" t="str">
        <x:v>Outra linha</x:v>
      </x:c>
      <x:c r="S153" s="82" t="str">
        <x:v>Rara</x:v>
      </x:c>
      <x:c r="T153" s="82" t="str">
        <x:v>Lançado</x:v>
      </x:c>
      <x:c r="U153" s="82" t="str"/>
      <x:c r="V153" s="80" t="str">
        <x:v>Linha vintage / escala variável</x:v>
      </x:c>
      <x:c r="W153" s="82" t="str">
        <x:v>https://hotwheels.fandom.com/wiki/Porsche</x:v>
      </x:c>
      <x:c r="X153" s="82" t="str"/>
    </x:row>
    <x:row r="154">
      <x:c r="A154" s="80" t="str">
        <x:v>Não</x:v>
      </x:c>
      <x:c r="B154" s="80" t="str">
        <x:v>2 — Completar aos poucos</x:v>
      </x:c>
      <x:c r="C154" s="81" t="n">
        <x:v>1970</x:v>
      </x:c>
      <x:c r="D154" s="80" t="str">
        <x:v>Porsche 917 (Gran Toros)</x:v>
      </x:c>
      <x:c r="E154" s="80" t="str">
        <x:v>Porsche 917</x:v>
      </x:c>
      <x:c r="F154" s="82" t="str">
        <x:v>Gran Toros</x:v>
      </x:c>
      <x:c r="G154" s="80" t="str"/>
      <x:c r="H154" s="80" t="str"/>
      <x:c r="I154" s="83" t="str">
        <x:v>6623</x:v>
      </x:c>
      <x:c r="J154" s="80" t="str">
        <x:v>Gulf Racing blue</x:v>
      </x:c>
      <x:c r="K154" s="82" t="str">
        <x:v>"5" stickers, orange striping, Gulf and Champion logos</x:v>
      </x:c>
      <x:c r="L154" s="82" t="str">
        <x:v>GT5SP</x:v>
      </x:c>
      <x:c r="M154" s="82" t="str">
        <x:v>Orange / / / Metal</x:v>
      </x:c>
      <x:c r="N154" s="82" t="str">
        <x:v>Clear</x:v>
      </x:c>
      <x:c r="O154" s="82" t="str">
        <x:v>Black</x:v>
      </x:c>
      <x:c r="P154" s="82" t="str">
        <x:v>Italy</x:v>
      </x:c>
      <x:c r="Q154" s="82" t="str"/>
      <x:c r="R154" s="82" t="str">
        <x:v>Outra linha</x:v>
      </x:c>
      <x:c r="S154" s="82" t="str">
        <x:v>Rara</x:v>
      </x:c>
      <x:c r="T154" s="82" t="str">
        <x:v>Lançado</x:v>
      </x:c>
      <x:c r="U154" s="82" t="str"/>
      <x:c r="V154" s="80" t="str">
        <x:v>Linha vintage / escala variável</x:v>
      </x:c>
      <x:c r="W154" s="82" t="str">
        <x:v>https://hotwheels.fandom.com/wiki/Porsche_917_(Gran_Toros)</x:v>
      </x:c>
      <x:c r="X154" s="82" t="str">
        <x:v>https://hotwheels.fandom.com/wiki/Porsche_917_(Gran_Toros)</x:v>
      </x:c>
    </x:row>
    <x:row r="155">
      <x:c r="A155" s="80" t="str">
        <x:v>Não</x:v>
      </x:c>
      <x:c r="B155" s="80" t="str">
        <x:v>2 — Completar aos poucos</x:v>
      </x:c>
      <x:c r="C155" s="81" t="n">
        <x:v>1970</x:v>
      </x:c>
      <x:c r="D155" s="80" t="str">
        <x:v>Porsche 917 (Gran Toros)</x:v>
      </x:c>
      <x:c r="E155" s="80" t="str">
        <x:v>Porsche 917</x:v>
      </x:c>
      <x:c r="F155" s="82" t="str">
        <x:v>Gran Toros</x:v>
      </x:c>
      <x:c r="G155" s="80" t="str"/>
      <x:c r="H155" s="80" t="str"/>
      <x:c r="I155" s="83" t="str">
        <x:v>6623</x:v>
      </x:c>
      <x:c r="J155" s="80" t="str">
        <x:v>Silver</x:v>
      </x:c>
      <x:c r="K155" s="82" t="str">
        <x:v>"5" stickers, orange striping, Gulf and Champion logos</x:v>
      </x:c>
      <x:c r="L155" s="82" t="str">
        <x:v>GT5SP</x:v>
      </x:c>
      <x:c r="M155" s="82" t="str">
        <x:v>ZAMAC</x:v>
      </x:c>
      <x:c r="N155" s="82" t="str">
        <x:v>Clear</x:v>
      </x:c>
      <x:c r="O155" s="82" t="str">
        <x:v>Black</x:v>
      </x:c>
      <x:c r="P155" s="82" t="str">
        <x:v>Italy</x:v>
      </x:c>
      <x:c r="Q155" s="82" t="str"/>
      <x:c r="R155" s="82" t="str">
        <x:v>Outra linha</x:v>
      </x:c>
      <x:c r="S155" s="82" t="str">
        <x:v>Rara</x:v>
      </x:c>
      <x:c r="T155" s="82" t="str">
        <x:v>Lançado</x:v>
      </x:c>
      <x:c r="U155" s="82" t="str"/>
      <x:c r="V155" s="80" t="str">
        <x:v>Linha vintage / escala variável</x:v>
      </x:c>
      <x:c r="W155" s="82" t="str">
        <x:v>https://hotwheels.fandom.com/wiki/Porsche_917_(Gran_Toros)</x:v>
      </x:c>
      <x:c r="X155" s="82" t="str">
        <x:v>https://hotwheels.fandom.com/wiki/Porsche_917_(Gran_Toros)</x:v>
      </x:c>
    </x:row>
    <x:row r="156">
      <x:c r="A156" s="80" t="str">
        <x:v>Não</x:v>
      </x:c>
      <x:c r="B156" s="80" t="str">
        <x:v>2 — Completar aos poucos</x:v>
      </x:c>
      <x:c r="C156" s="81" t="n">
        <x:v>1970</x:v>
      </x:c>
      <x:c r="D156" s="80" t="str">
        <x:v>Porsche 917 (Gran Toros)</x:v>
      </x:c>
      <x:c r="E156" s="80" t="str">
        <x:v>Porsche 917</x:v>
      </x:c>
      <x:c r="F156" s="82" t="str">
        <x:v>Gran Toros</x:v>
      </x:c>
      <x:c r="G156" s="80" t="str"/>
      <x:c r="H156" s="80" t="str"/>
      <x:c r="I156" s="83" t="str">
        <x:v>6623</x:v>
      </x:c>
      <x:c r="J156" s="80" t="str">
        <x:v>Yellow</x:v>
      </x:c>
      <x:c r="K156" s="82" t="str">
        <x:v>"5" stickers, orange striping, Gulf and Champion logos</x:v>
      </x:c>
      <x:c r="L156" s="82" t="str">
        <x:v>GT5SP</x:v>
      </x:c>
      <x:c r="M156" s="82" t="str">
        <x:v>Metal</x:v>
      </x:c>
      <x:c r="N156" s="82" t="str">
        <x:v>Clear</x:v>
      </x:c>
      <x:c r="O156" s="82" t="str">
        <x:v>Black</x:v>
      </x:c>
      <x:c r="P156" s="82" t="str">
        <x:v>Italy</x:v>
      </x:c>
      <x:c r="Q156" s="82" t="str"/>
      <x:c r="R156" s="82" t="str">
        <x:v>Outra linha</x:v>
      </x:c>
      <x:c r="S156" s="82" t="str">
        <x:v>Rara</x:v>
      </x:c>
      <x:c r="T156" s="82" t="str">
        <x:v>Lançado</x:v>
      </x:c>
      <x:c r="U156" s="82" t="str"/>
      <x:c r="V156" s="80" t="str">
        <x:v>Linha vintage / escala variável</x:v>
      </x:c>
      <x:c r="W156" s="82" t="str">
        <x:v>https://hotwheels.fandom.com/wiki/Porsche_917_(Gran_Toros)</x:v>
      </x:c>
      <x:c r="X156" s="82" t="str">
        <x:v>https://hotwheels.fandom.com/wiki/Porsche_917_(Gran_Toros)</x:v>
      </x:c>
    </x:row>
    <x:row r="157">
      <x:c r="A157" s="80" t="str">
        <x:v>Não</x:v>
      </x:c>
      <x:c r="B157" s="80" t="str">
        <x:v>2 — Completar aos poucos</x:v>
      </x:c>
      <x:c r="C157" s="81" t="n">
        <x:v>1970</x:v>
      </x:c>
      <x:c r="D157" s="80" t="str">
        <x:v>Porsche Carrera 10 (Gran Toros)</x:v>
      </x:c>
      <x:c r="E157" s="80" t="str">
        <x:v>Porsche Carrera 10</x:v>
      </x:c>
      <x:c r="F157" s="82" t="str">
        <x:v>Gran Toros</x:v>
      </x:c>
      <x:c r="G157" s="80" t="str"/>
      <x:c r="H157" s="80" t="str"/>
      <x:c r="I157" s="83" t="str">
        <x:v>6613</x:v>
      </x:c>
      <x:c r="J157" s="80" t="str">
        <x:v>Ochre</x:v>
      </x:c>
      <x:c r="K157" s="82" t="str">
        <x:v>Red taillights, checkered pinstriping, "16" stickers on body, "16" on white Hatch, German license plate</x:v>
      </x:c>
      <x:c r="L157" s="82" t="str">
        <x:v>GT5SP</x:v>
      </x:c>
      <x:c r="M157" s="82" t="str">
        <x:v>ZAMAC</x:v>
      </x:c>
      <x:c r="N157" s="82" t="str">
        <x:v>Clear</x:v>
      </x:c>
      <x:c r="O157" s="82" t="str">
        <x:v>Black</x:v>
      </x:c>
      <x:c r="P157" s="82" t="str">
        <x:v>Italy</x:v>
      </x:c>
      <x:c r="Q157" s="82" t="str"/>
      <x:c r="R157" s="82" t="str">
        <x:v>Outra linha</x:v>
      </x:c>
      <x:c r="S157" s="82" t="str">
        <x:v>Rara</x:v>
      </x:c>
      <x:c r="T157" s="82" t="str">
        <x:v>Lançado</x:v>
      </x:c>
      <x:c r="U157" s="82" t="str"/>
      <x:c r="V157" s="80" t="str">
        <x:v>Linha vintage / escala variável</x:v>
      </x:c>
      <x:c r="W157" s="82" t="str">
        <x:v>https://hotwheels.fandom.com/wiki/Porsche_Carrera_10_(Gran_Toros)</x:v>
      </x:c>
      <x:c r="X157" s="82" t="str">
        <x:v>https://hotwheels.fandom.com/wiki/Porsche_Carrera_10_(Gran_Toros)</x:v>
      </x:c>
    </x:row>
    <x:row r="158">
      <x:c r="A158" s="80" t="str">
        <x:v>Não</x:v>
      </x:c>
      <x:c r="B158" s="80" t="str">
        <x:v>2 — Completar aos poucos</x:v>
      </x:c>
      <x:c r="C158" s="81" t="n">
        <x:v>1970</x:v>
      </x:c>
      <x:c r="D158" s="80" t="str">
        <x:v>Porsche Carrera 10 (Gran Toros)</x:v>
      </x:c>
      <x:c r="E158" s="80" t="str">
        <x:v>Porsche Carrera 10</x:v>
      </x:c>
      <x:c r="F158" s="82" t="str">
        <x:v>Gran Toros</x:v>
      </x:c>
      <x:c r="G158" s="80" t="str"/>
      <x:c r="H158" s="80" t="str"/>
      <x:c r="I158" s="83" t="str">
        <x:v>6613</x:v>
      </x:c>
      <x:c r="J158" s="80" t="str">
        <x:v>Olive</x:v>
      </x:c>
      <x:c r="K158" s="82" t="str">
        <x:v>Red taillights, checkered pinstriping, "16" stickers on body, German license plate</x:v>
      </x:c>
      <x:c r="L158" s="82" t="str">
        <x:v>GT5SP</x:v>
      </x:c>
      <x:c r="M158" s="82" t="str">
        <x:v>ZAMAC</x:v>
      </x:c>
      <x:c r="N158" s="82" t="str">
        <x:v>Clear</x:v>
      </x:c>
      <x:c r="O158" s="82" t="str">
        <x:v>Black</x:v>
      </x:c>
      <x:c r="P158" s="82" t="str">
        <x:v>Italy</x:v>
      </x:c>
      <x:c r="Q158" s="82" t="str"/>
      <x:c r="R158" s="82" t="str">
        <x:v>Outra linha</x:v>
      </x:c>
      <x:c r="S158" s="82" t="str">
        <x:v>Rara</x:v>
      </x:c>
      <x:c r="T158" s="82" t="str">
        <x:v>Lançado</x:v>
      </x:c>
      <x:c r="U158" s="82" t="str"/>
      <x:c r="V158" s="80" t="str">
        <x:v>Linha vintage / escala variável</x:v>
      </x:c>
      <x:c r="W158" s="82" t="str">
        <x:v>https://hotwheels.fandom.com/wiki/Porsche_Carrera_10_(Gran_Toros)</x:v>
      </x:c>
      <x:c r="X158" s="82" t="str">
        <x:v>https://hotwheels.fandom.com/wiki/Porsche_Carrera_10_(Gran_Toros)</x:v>
      </x:c>
    </x:row>
    <x:row r="159">
      <x:c r="A159" s="80" t="str">
        <x:v>Não</x:v>
      </x:c>
      <x:c r="B159" s="80" t="str">
        <x:v>2 — Completar aos poucos</x:v>
      </x:c>
      <x:c r="C159" s="81" t="n">
        <x:v>1970</x:v>
      </x:c>
      <x:c r="D159" s="80" t="str">
        <x:v>Porsche Carrera 10 (Gran Toros)</x:v>
      </x:c>
      <x:c r="E159" s="80" t="str">
        <x:v>Porsche Carrera 10</x:v>
      </x:c>
      <x:c r="F159" s="82" t="str">
        <x:v>Gran Toros</x:v>
      </x:c>
      <x:c r="G159" s="80" t="str"/>
      <x:c r="H159" s="80" t="str"/>
      <x:c r="I159" s="83" t="str">
        <x:v>6613</x:v>
      </x:c>
      <x:c r="J159" s="80" t="str">
        <x:v>White</x:v>
      </x:c>
      <x:c r="K159" s="82" t="str">
        <x:v>Red taillights, checkered pinstriping, "16" stickers on body, German license plate</x:v>
      </x:c>
      <x:c r="L159" s="82" t="str">
        <x:v>GT5SP</x:v>
      </x:c>
      <x:c r="M159" s="82" t="str">
        <x:v>ZAMAC</x:v>
      </x:c>
      <x:c r="N159" s="82" t="str">
        <x:v>Clear</x:v>
      </x:c>
      <x:c r="O159" s="82" t="str">
        <x:v>Black</x:v>
      </x:c>
      <x:c r="P159" s="82" t="str">
        <x:v>Italy</x:v>
      </x:c>
      <x:c r="Q159" s="82" t="str"/>
      <x:c r="R159" s="82" t="str">
        <x:v>Outra linha</x:v>
      </x:c>
      <x:c r="S159" s="82" t="str">
        <x:v>Rara</x:v>
      </x:c>
      <x:c r="T159" s="82" t="str">
        <x:v>Lançado</x:v>
      </x:c>
      <x:c r="U159" s="82" t="str"/>
      <x:c r="V159" s="80" t="str">
        <x:v>Linha vintage / escala variável</x:v>
      </x:c>
      <x:c r="W159" s="82" t="str">
        <x:v>https://hotwheels.fandom.com/wiki/Porsche_Carrera_10_(Gran_Toros)</x:v>
      </x:c>
      <x:c r="X159" s="82" t="str">
        <x:v>https://hotwheels.fandom.com/wiki/Porsche_Carrera_10_(Gran_Toros)</x:v>
      </x:c>
    </x:row>
    <x:row r="160">
      <x:c r="A160" s="80" t="str">
        <x:v>Não</x:v>
      </x:c>
      <x:c r="B160" s="80" t="str">
        <x:v>2 — Completar aos poucos</x:v>
      </x:c>
      <x:c r="C160" s="81" t="n">
        <x:v>1970</x:v>
      </x:c>
      <x:c r="D160" s="80" t="str">
        <x:v>Porsche Carrera 10 (Sizzlers)</x:v>
      </x:c>
      <x:c r="E160" s="80" t="str">
        <x:v>Porsche Carrera 10</x:v>
      </x:c>
      <x:c r="F160" s="82" t="str">
        <x:v>Sizzlers</x:v>
      </x:c>
      <x:c r="G160" s="80" t="str"/>
      <x:c r="H160" s="80" t="str"/>
      <x:c r="I160" s="83" t="str">
        <x:v>6652</x:v>
      </x:c>
      <x:c r="J160" s="80" t="str">
        <x:v>Blue over Chrome</x:v>
      </x:c>
      <x:c r="K160" s="82" t="str">
        <x:v>"2" sticker</x:v>
      </x:c>
      <x:c r="L160" s="82" t="str">
        <x:v>RL</x:v>
      </x:c>
      <x:c r="M160" s="82" t="str">
        <x:v>Black / / / Plastic</x:v>
      </x:c>
      <x:c r="N160" s="82" t="str">
        <x:v>Black</x:v>
      </x:c>
      <x:c r="O160" s="82" t="str">
        <x:v>None</x:v>
      </x:c>
      <x:c r="P160" s="82" t="str">
        <x:v>Italy</x:v>
      </x:c>
      <x:c r="Q160" s="82" t="str"/>
      <x:c r="R160" s="82" t="str">
        <x:v>Outra linha</x:v>
      </x:c>
      <x:c r="S160" s="82" t="str">
        <x:v>Rara</x:v>
      </x:c>
      <x:c r="T160" s="82" t="str">
        <x:v>Lançado</x:v>
      </x:c>
      <x:c r="U160" s="82" t="str"/>
      <x:c r="V160" s="80" t="str">
        <x:v>Sizzlers/Scorchers</x:v>
      </x:c>
      <x:c r="W160" s="82" t="str">
        <x:v>https://hotwheels.fandom.com/wiki/Porsche_Carrera_10_(Sizzlers)</x:v>
      </x:c>
      <x:c r="X160" s="82" t="str">
        <x:v>https://hotwheels.fandom.com/wiki/Porsche_Carrera_10_(Sizzlers)</x:v>
      </x:c>
    </x:row>
    <x:row r="161">
      <x:c r="A161" s="80" t="str">
        <x:v>Não</x:v>
      </x:c>
      <x:c r="B161" s="80" t="str">
        <x:v>Fora da meta principal</x:v>
      </x:c>
      <x:c r="C161" s="81" t="n">
        <x:v>2026</x:v>
      </x:c>
      <x:c r="D161" s="80" t="str">
        <x:v>Porsche 911 GT3 (Pull-Back Speeders)</x:v>
      </x:c>
      <x:c r="E161" s="80" t="str">
        <x:v>Porsche 911 GT3 (Pull-Back Speeders)</x:v>
      </x:c>
      <x:c r="F161" s="82" t="str">
        <x:v>Themed Multi-Packs / European 6-Pack</x:v>
      </x:c>
      <x:c r="G161" s="80" t="str"/>
      <x:c r="H161" s="80" t="str"/>
      <x:c r="I161" s="83" t="str"/>
      <x:c r="J161" s="80" t="str"/>
      <x:c r="K161" s="82" t="str"/>
      <x:c r="L161" s="82" t="str"/>
      <x:c r="M161" s="82" t="str"/>
      <x:c r="N161" s="82" t="str"/>
      <x:c r="O161" s="82" t="str"/>
      <x:c r="P161" s="82" t="str"/>
      <x:c r="Q161" s="82" t="str"/>
      <x:c r="R161" s="82" t="str">
        <x:v>Temática / multipack</x:v>
      </x:c>
      <x:c r="S161" s="82" t="str">
        <x:v>Comum / atual</x:v>
      </x:c>
      <x:c r="T161" s="82" t="str">
        <x:v>2026 — listado; confirmar disponibilidade</x:v>
      </x:c>
      <x:c r="U161" s="82" t="str"/>
      <x:c r="V161" s="80" t="str">
        <x:v>Pull-Back</x:v>
      </x:c>
      <x:c r="W161" s="82" t="str">
        <x:v>https://orangetrackdiecast.com/2026-hot-wheels-master-list-of-all-lines/</x:v>
      </x:c>
      <x:c r="X161" s="82" t="str">
        <x:v>https://hotwheels.fandom.com/wiki/Porsche_911_GT3_(Pull-Back_Speeders)</x:v>
      </x:c>
    </x:row>
    <x:row r="162">
      <x:c r="A162" s="80" t="str">
        <x:v>Não</x:v>
      </x:c>
      <x:c r="B162" s="80" t="str">
        <x:v>Fora da meta principal</x:v>
      </x:c>
      <x:c r="C162" s="81" t="n">
        <x:v>2026</x:v>
      </x:c>
      <x:c r="D162" s="80" t="str">
        <x:v>Porsche 914 Safari (Pull-Back Speeders)</x:v>
      </x:c>
      <x:c r="E162" s="80" t="str">
        <x:v>Porsche 914 Safari (Pull-Back Speeders)</x:v>
      </x:c>
      <x:c r="F162" s="82" t="str">
        <x:v>Car Culture / Thrill Climbers (Q)</x:v>
      </x:c>
      <x:c r="G162" s="80" t="str"/>
      <x:c r="H162" s="80" t="str">
        <x:v>2/5</x:v>
      </x:c>
      <x:c r="I162" s="83" t="str"/>
      <x:c r="J162" s="80" t="str"/>
      <x:c r="K162" s="82" t="str"/>
      <x:c r="L162" s="82" t="str"/>
      <x:c r="M162" s="82" t="str"/>
      <x:c r="N162" s="82" t="str"/>
      <x:c r="O162" s="82" t="str"/>
      <x:c r="P162" s="82" t="str"/>
      <x:c r="Q162" s="82" t="str"/>
      <x:c r="R162" s="82" t="str">
        <x:v>Premium</x:v>
      </x:c>
      <x:c r="S162" s="82" t="str">
        <x:v>Incomum</x:v>
      </x:c>
      <x:c r="T162" s="82" t="str">
        <x:v>2026 — listado; confirmar disponibilidade</x:v>
      </x:c>
      <x:c r="U162" s="82" t="str"/>
      <x:c r="V162" s="80" t="str">
        <x:v>Pull-Back</x:v>
      </x:c>
      <x:c r="W162" s="82" t="str">
        <x:v>https://orangetrackdiecast.com/2026-hot-wheels-master-list-of-all-lines/</x:v>
      </x:c>
      <x:c r="X162" s="82" t="str">
        <x:v>https://hotwheels.fandom.com/wiki/Porsche_914_Safari_(Pull-Back_Speeders)</x:v>
      </x:c>
    </x:row>
    <x:row r="163">
      <x:c r="A163" s="80" t="str">
        <x:v>Não</x:v>
      </x:c>
      <x:c r="B163" s="80" t="str">
        <x:v>Fora da meta principal</x:v>
      </x:c>
      <x:c r="C163" s="81" t="n">
        <x:v>2026</x:v>
      </x:c>
      <x:c r="D163" s="80" t="str">
        <x:v>Porsche 914 Safari (Pull-Back Speeders)</x:v>
      </x:c>
      <x:c r="E163" s="80" t="str">
        <x:v>Porsche 914 Safari (Pull-Back Speeders)</x:v>
      </x:c>
      <x:c r="F163" s="82" t="str">
        <x:v>Pull-Back Speeders / 8/32</x:v>
      </x:c>
      <x:c r="G163" s="80" t="str"/>
      <x:c r="H163" s="80" t="str"/>
      <x:c r="I163" s="83" t="str">
        <x:v>HWH34</x:v>
      </x:c>
      <x:c r="J163" s="80" t="str">
        <x:v>Yellow</x:v>
      </x:c>
      <x:c r="K163" s="82" t="str">
        <x:v>Detailed front indicators and taillights, orange and red stripes, "21", Hot Wheels logo and Porsche wordmark on frunk and sides, white &amp; black half circle, assorted Hot Wheels logos, "DV", "JT", "HWGRFX", and "DIMA" on sides</x:v>
      </x:c>
      <x:c r="L163" s="82" t="str">
        <x:v>Red Lip, Grey BLOR</x:v>
      </x:c>
      <x:c r="M163" s="82" t="str">
        <x:v>Black / / / Plastic</x:v>
      </x:c>
      <x:c r="N163" s="82" t="str">
        <x:v>Smoke tint</x:v>
      </x:c>
      <x:c r="O163" s="82" t="str">
        <x:v>Black</x:v>
      </x:c>
      <x:c r="P163" s="82" t="str">
        <x:v>China</x:v>
      </x:c>
      <x:c r="Q163" s="82" t="str"/>
      <x:c r="R163" s="82" t="str">
        <x:v>Outra linha</x:v>
      </x:c>
      <x:c r="S163" s="82" t="str">
        <x:v>Comum / atual</x:v>
      </x:c>
      <x:c r="T163" s="82" t="str">
        <x:v>2026 — listado; confirmar disponibilidade</x:v>
      </x:c>
      <x:c r="U163" s="82" t="str">
        <x:v>Base code(s): 2635EAA</x:v>
      </x:c>
      <x:c r="V163" s="80" t="str">
        <x:v>Pull-Back</x:v>
      </x:c>
      <x:c r="W163" s="82" t="str">
        <x:v>https://hotwheels.fandom.com/wiki/Porsche_914_Safari_(Pull-Back_Speeders)</x:v>
      </x:c>
      <x:c r="X163" s="82" t="str">
        <x:v>https://hotwheels.fandom.com/wiki/Porsche_914_Safari_(Pull-Back_Speeders)</x:v>
      </x:c>
    </x:row>
    <x:row r="164">
      <x:c r="A164" s="80" t="str">
        <x:v>Não</x:v>
      </x:c>
      <x:c r="B164" s="80" t="str">
        <x:v>Fora da meta principal</x:v>
      </x:c>
      <x:c r="C164" s="81" t="n">
        <x:v>2026</x:v>
      </x:c>
      <x:c r="D164" s="80" t="str">
        <x:v>Porsche 934.5 (Hot Wheels XL)</x:v>
      </x:c>
      <x:c r="E164" s="80" t="str">
        <x:v>Porsche 934.5</x:v>
      </x:c>
      <x:c r="F164" s="82" t="str">
        <x:v>Hot Wheels XL</x:v>
      </x:c>
      <x:c r="G164" s="80" t="str"/>
      <x:c r="H164" s="80" t="str">
        <x:v>1/24</x:v>
      </x:c>
      <x:c r="I164" s="83" t="str">
        <x:v>JKL09</x:v>
      </x:c>
      <x:c r="J164" s="80" t="str">
        <x:v>Blue Metallic</x:v>
      </x:c>
      <x:c r="K164" s="82" t="str">
        <x:v>Detailed headlights and Porsche badge on front, white "34" and "Porsche" on sides</x:v>
      </x:c>
      <x:c r="L164" s="82" t="str">
        <x:v>5SP white</x:v>
      </x:c>
      <x:c r="M164" s="82" t="str">
        <x:v>Black / / / Plastic</x:v>
      </x:c>
      <x:c r="N164" s="82" t="str">
        <x:v>Smoke tint</x:v>
      </x:c>
      <x:c r="O164" s="82" t="str">
        <x:v>Red</x:v>
      </x:c>
      <x:c r="P164" s="82" t="str">
        <x:v>China</x:v>
      </x:c>
      <x:c r="Q164" s="82" t="str"/>
      <x:c r="R164" s="82" t="str">
        <x:v>Mainline</x:v>
      </x:c>
      <x:c r="S164" s="82" t="str">
        <x:v>Comum / atual</x:v>
      </x:c>
      <x:c r="T164" s="82" t="str">
        <x:v>2026 — listado; confirmar disponibilidade</x:v>
      </x:c>
      <x:c r="U164" s="82" t="str">
        <x:v>Production code(s): 2905EAA, 2915EAA, 2935EAA, 2945EAA, 3015EAA</x:v>
      </x:c>
      <x:c r="V164" s="80" t="str">
        <x:v>Hot Wheels XL</x:v>
      </x:c>
      <x:c r="W164" s="82" t="str">
        <x:v>https://hotwheels.fandom.com/wiki/Porsche_934.5_(Hot_Wheels_XL)</x:v>
      </x:c>
      <x:c r="X164" s="82" t="str">
        <x:v>https://hotwheels.fandom.com/wiki/Porsche_934.5_(Hot_Wheels_XL)</x:v>
      </x:c>
    </x:row>
    <x:row r="165">
      <x:c r="A165" s="80" t="str">
        <x:v>Não</x:v>
      </x:c>
      <x:c r="B165" s="80" t="str">
        <x:v>Fora da meta principal</x:v>
      </x:c>
      <x:c r="C165" s="81" t="n">
        <x:v>2026</x:v>
      </x:c>
      <x:c r="D165" s="80" t="str">
        <x:v>Porsche 934.5 (Hot Wheels XL)</x:v>
      </x:c>
      <x:c r="E165" s="80" t="str">
        <x:v>Porsche 934.5</x:v>
      </x:c>
      <x:c r="F165" s="82" t="str">
        <x:v>Pantone / Mix 1 (A)</x:v>
      </x:c>
      <x:c r="G165" s="80" t="str"/>
      <x:c r="H165" s="80" t="str">
        <x:v>6/6</x:v>
      </x:c>
      <x:c r="I165" s="83" t="str"/>
      <x:c r="J165" s="80" t="str"/>
      <x:c r="K165" s="82" t="str"/>
      <x:c r="L165" s="82" t="str"/>
      <x:c r="M165" s="82" t="str"/>
      <x:c r="N165" s="82" t="str"/>
      <x:c r="O165" s="82" t="str"/>
      <x:c r="P165" s="82" t="str"/>
      <x:c r="Q165" s="82" t="str"/>
      <x:c r="R165" s="82" t="str">
        <x:v>Mainline</x:v>
      </x:c>
      <x:c r="S165" s="82" t="str">
        <x:v>Comum / atual</x:v>
      </x:c>
      <x:c r="T165" s="82" t="str">
        <x:v>2026 — listado; confirmar disponibilidade</x:v>
      </x:c>
      <x:c r="U165" s="82" t="str"/>
      <x:c r="V165" s="80" t="str">
        <x:v>Hot Wheels XL</x:v>
      </x:c>
      <x:c r="W165" s="82" t="str">
        <x:v>https://orangetrackdiecast.com/2026-hot-wheels-master-list-of-all-lines/</x:v>
      </x:c>
      <x:c r="X165" s="82" t="str">
        <x:v>https://hotwheels.fandom.com/wiki/Porsche_934.5_(Hot_Wheels_XL)</x:v>
      </x:c>
    </x:row>
    <x:row r="166">
      <x:c r="A166" s="80" t="str">
        <x:v>Não</x:v>
      </x:c>
      <x:c r="B166" s="80" t="str">
        <x:v>Fora da meta principal</x:v>
      </x:c>
      <x:c r="C166" s="81" t="n">
        <x:v>2025</x:v>
      </x:c>
      <x:c r="D166" s="80" t="str">
        <x:v>1970 Porsche 917</x:v>
      </x:c>
      <x:c r="E166" s="80" t="str">
        <x:v>1970 Porsche 917</x:v>
      </x:c>
      <x:c r="F166" s="82" t="str">
        <x:v>1:43 / #20</x:v>
      </x:c>
      <x:c r="G166" s="80" t="str"/>
      <x:c r="H166" s="80" t="str"/>
      <x:c r="I166" s="83" t="str">
        <x:v>HWG48</x:v>
      </x:c>
      <x:c r="J166" s="80" t="str">
        <x:v>Red</x:v>
      </x:c>
      <x:c r="K166" s="82" t="str">
        <x:v>Detailed headlights, taillights and trim, Porsche racing livery</x:v>
      </x:c>
      <x:c r="L166" s="82" t="str"/>
      <x:c r="M166" s="82" t="str">
        <x:v>Red / / / Metal</x:v>
      </x:c>
      <x:c r="N166" s="82" t="str">
        <x:v>Light smoke tint</x:v>
      </x:c>
      <x:c r="O166" s="82" t="str">
        <x:v>Black</x:v>
      </x:c>
      <x:c r="P166" s="82" t="str">
        <x:v>China</x:v>
      </x:c>
      <x:c r="Q166" s="82" t="str"/>
      <x:c r="R166" s="82" t="str">
        <x:v>Outra linha</x:v>
      </x:c>
      <x:c r="S166" s="82" t="str">
        <x:v>Comum / atual</x:v>
      </x:c>
      <x:c r="T166" s="82" t="str">
        <x:v>Lançado</x:v>
      </x:c>
      <x:c r="U166" s="82" t="str">
        <x:v>Production code(s): 3464EAA</x:v>
      </x:c>
      <x:c r="V166" s="80" t="str">
        <x:v>Escala 1:43</x:v>
      </x:c>
      <x:c r="W166" s="82" t="str">
        <x:v>https://hotwheels.fandom.com/wiki/1970_Porsche_917</x:v>
      </x:c>
      <x:c r="X166" s="82" t="str">
        <x:v>https://hotwheels.fandom.com/wiki/1970_Porsche_917</x:v>
      </x:c>
    </x:row>
    <x:row r="167">
      <x:c r="A167" s="80" t="str">
        <x:v>Não</x:v>
      </x:c>
      <x:c r="B167" s="80" t="str">
        <x:v>Fora da meta principal</x:v>
      </x:c>
      <x:c r="C167" s="81" t="n">
        <x:v>2025</x:v>
      </x:c>
      <x:c r="D167" s="80" t="str">
        <x:v>Porsche 911 GT3 (Pull-Back Speeders)</x:v>
      </x:c>
      <x:c r="E167" s="80" t="str">
        <x:v>Porsche 911 GT3 (Pull-Back Speeders)</x:v>
      </x:c>
      <x:c r="F167" s="82" t="str">
        <x:v>Pull-Back Speeders: Street Power / 4/4</x:v>
      </x:c>
      <x:c r="G167" s="80" t="str"/>
      <x:c r="H167" s="80" t="str"/>
      <x:c r="I167" s="83" t="str">
        <x:v>HPR79</x:v>
      </x:c>
      <x:c r="J167" s="80" t="str">
        <x:v>Lava Orange</x:v>
      </x:c>
      <x:c r="K167" s="82" t="str">
        <x:v>Black stripes, "Porsche" on sides</x:v>
      </x:c>
      <x:c r="L167" s="82" t="str">
        <x:v>Black PR5</x:v>
      </x:c>
      <x:c r="M167" s="82" t="str">
        <x:v>Black / / / Plastic</x:v>
      </x:c>
      <x:c r="N167" s="82" t="str"/>
      <x:c r="O167" s="82" t="str">
        <x:v>Gray</x:v>
      </x:c>
      <x:c r="P167" s="82" t="str">
        <x:v>Thailand</x:v>
      </x:c>
      <x:c r="Q167" s="82" t="str"/>
      <x:c r="R167" s="82" t="str">
        <x:v>Outra linha</x:v>
      </x:c>
      <x:c r="S167" s="82" t="str">
        <x:v>Comum / atual</x:v>
      </x:c>
      <x:c r="T167" s="82" t="str">
        <x:v>Lançado</x:v>
      </x:c>
      <x:c r="U167" s="82" t="str">
        <x:v>Base code(s):</x:v>
      </x:c>
      <x:c r="V167" s="80" t="str">
        <x:v>Pull-Back</x:v>
      </x:c>
      <x:c r="W167" s="82" t="str">
        <x:v>https://hotwheels.fandom.com/wiki/Porsche_911_GT3_(Pull-Back_Speeders)</x:v>
      </x:c>
      <x:c r="X167" s="82" t="str">
        <x:v>https://hotwheels.fandom.com/wiki/Porsche_911_GT3_(Pull-Back_Speeders)</x:v>
      </x:c>
    </x:row>
    <x:row r="168">
      <x:c r="A168" s="80" t="str">
        <x:v>Não</x:v>
      </x:c>
      <x:c r="B168" s="80" t="str">
        <x:v>Fora da meta principal</x:v>
      </x:c>
      <x:c r="C168" s="81" t="n">
        <x:v>2025</x:v>
      </x:c>
      <x:c r="D168" s="80" t="str">
        <x:v>Porsche 911 GT3 RS (1:43)</x:v>
      </x:c>
      <x:c r="E168" s="80" t="str">
        <x:v>Porsche 911 GT3 RS</x:v>
      </x:c>
      <x:c r="F168" s="82" t="str">
        <x:v>1:43</x:v>
      </x:c>
      <x:c r="G168" s="80" t="str"/>
      <x:c r="H168" s="80" t="str"/>
      <x:c r="I168" s="83" t="str">
        <x:v>JCN66</x:v>
      </x:c>
      <x:c r="J168" s="80" t="str">
        <x:v>Racing Yellow</x:v>
      </x:c>
      <x:c r="K168" s="82" t="str">
        <x:v>Detailed trim, "GT3RS" with red stripe on sides, "GT3RS" on rear, Porsche logo on hood</x:v>
      </x:c>
      <x:c r="L168" s="82" t="str"/>
      <x:c r="M168" s="82" t="str">
        <x:v>Black / / / Metal</x:v>
      </x:c>
      <x:c r="N168" s="82" t="str">
        <x:v>Light smoke tint</x:v>
      </x:c>
      <x:c r="O168" s="82" t="str">
        <x:v>Red &amp; Black</x:v>
      </x:c>
      <x:c r="P168" s="82" t="str">
        <x:v>China</x:v>
      </x:c>
      <x:c r="Q168" s="82" t="str"/>
      <x:c r="R168" s="82" t="str">
        <x:v>Outra linha</x:v>
      </x:c>
      <x:c r="S168" s="82" t="str">
        <x:v>Comum / atual</x:v>
      </x:c>
      <x:c r="T168" s="82" t="str">
        <x:v>Lançado</x:v>
      </x:c>
      <x:c r="U168" s="82" t="str">
        <x:v>Production code(s): 2935YY</x:v>
      </x:c>
      <x:c r="V168" s="80" t="str">
        <x:v>Escala 1:43</x:v>
      </x:c>
      <x:c r="W168" s="82" t="str">
        <x:v>https://hotwheels.fandom.com/wiki/Porsche_911_GT3_RS_(1:43)</x:v>
      </x:c>
      <x:c r="X168" s="82" t="str">
        <x:v>https://hotwheels.fandom.com/wiki/Porsche_911_GT3_RS_(1:43)</x:v>
      </x:c>
    </x:row>
    <x:row r="169">
      <x:c r="A169" s="80" t="str">
        <x:v>Não</x:v>
      </x:c>
      <x:c r="B169" s="80" t="str">
        <x:v>Fora da meta principal</x:v>
      </x:c>
      <x:c r="C169" s="81" t="n">
        <x:v>2025</x:v>
      </x:c>
      <x:c r="D169" s="80" t="str">
        <x:v>Porsche 914 Safari (Pull-Back Speeders)</x:v>
      </x:c>
      <x:c r="E169" s="80" t="str">
        <x:v>Porsche 914 Safari (Pull-Back Speeders)</x:v>
      </x:c>
      <x:c r="F169" s="82" t="str">
        <x:v>Pull-Back Speeders: HW Modified / 2/4</x:v>
      </x:c>
      <x:c r="G169" s="80" t="str"/>
      <x:c r="H169" s="80" t="str"/>
      <x:c r="I169" s="83" t="str">
        <x:v>HWH34</x:v>
      </x:c>
      <x:c r="J169" s="80" t="str">
        <x:v>Yellow</x:v>
      </x:c>
      <x:c r="K169" s="82" t="str">
        <x:v>Detailed front indicators and taillights, orange and red stripes, "21", Hot Wheels logo and Porsche wordmark on frunk and sides, white &amp; black half circle, assorted Hot Wheels logos, "DV", "JT", "HWGRFX", and "DIMA" on sides</x:v>
      </x:c>
      <x:c r="L169" s="82" t="str">
        <x:v>Red Lip, Grey BLOR</x:v>
      </x:c>
      <x:c r="M169" s="82" t="str">
        <x:v>Black / / / Plastic</x:v>
      </x:c>
      <x:c r="N169" s="82" t="str">
        <x:v>Smoke tint</x:v>
      </x:c>
      <x:c r="O169" s="82" t="str">
        <x:v>Black</x:v>
      </x:c>
      <x:c r="P169" s="82" t="str">
        <x:v>Thailand</x:v>
      </x:c>
      <x:c r="Q169" s="82" t="str"/>
      <x:c r="R169" s="82" t="str">
        <x:v>Mainline</x:v>
      </x:c>
      <x:c r="S169" s="82" t="str">
        <x:v>Comum / atual</x:v>
      </x:c>
      <x:c r="T169" s="82" t="str">
        <x:v>Lançado</x:v>
      </x:c>
      <x:c r="U169" s="82" t="str">
        <x:v>Base code(s):</x:v>
      </x:c>
      <x:c r="V169" s="80" t="str">
        <x:v>Pull-Back</x:v>
      </x:c>
      <x:c r="W169" s="82" t="str">
        <x:v>https://hotwheels.fandom.com/wiki/Porsche_914_Safari_(Pull-Back_Speeders)</x:v>
      </x:c>
      <x:c r="X169" s="82" t="str">
        <x:v>https://hotwheels.fandom.com/wiki/Porsche_914_Safari_(Pull-Back_Speeders)</x:v>
      </x:c>
    </x:row>
    <x:row r="170">
      <x:c r="A170" s="80" t="str">
        <x:v>Não</x:v>
      </x:c>
      <x:c r="B170" s="80" t="str">
        <x:v>Fora da meta principal</x:v>
      </x:c>
      <x:c r="C170" s="81" t="n">
        <x:v>2024</x:v>
      </x:c>
      <x:c r="D170" s="80" t="str">
        <x:v>Porsche 911 GT3 (Pull-Back Speeders)</x:v>
      </x:c>
      <x:c r="E170" s="80" t="str">
        <x:v>Porsche 911 GT3 (Pull-Back Speeders)</x:v>
      </x:c>
      <x:c r="F170" s="82" t="str">
        <x:v>Pull-Back Speeders: Factory Fresh / 2/4</x:v>
      </x:c>
      <x:c r="G170" s="80" t="str"/>
      <x:c r="H170" s="80" t="str"/>
      <x:c r="I170" s="83" t="str">
        <x:v>HWH47</x:v>
      </x:c>
      <x:c r="J170" s="80" t="str">
        <x:v>Shark Blue</x:v>
      </x:c>
      <x:c r="K170" s="82" t="str">
        <x:v>Detailed taillights and trim, "Porsche" on sides</x:v>
      </x:c>
      <x:c r="L170" s="82" t="str">
        <x:v>PR5</x:v>
      </x:c>
      <x:c r="M170" s="82" t="str">
        <x:v>Black / / / Plastic</x:v>
      </x:c>
      <x:c r="N170" s="82" t="str"/>
      <x:c r="O170" s="82" t="str">
        <x:v>Gray</x:v>
      </x:c>
      <x:c r="P170" s="82" t="str">
        <x:v>Thailand</x:v>
      </x:c>
      <x:c r="Q170" s="82" t="str"/>
      <x:c r="R170" s="82" t="str">
        <x:v>Mainline</x:v>
      </x:c>
      <x:c r="S170" s="82" t="str">
        <x:v>Comum / atual</x:v>
      </x:c>
      <x:c r="T170" s="82" t="str">
        <x:v>Lançado</x:v>
      </x:c>
      <x:c r="U170" s="82" t="str">
        <x:v>Base code(s):</x:v>
      </x:c>
      <x:c r="V170" s="80" t="str">
        <x:v>Pull-Back</x:v>
      </x:c>
      <x:c r="W170" s="82" t="str">
        <x:v>https://hotwheels.fandom.com/wiki/Porsche_911_GT3_(Pull-Back_Speeders)</x:v>
      </x:c>
      <x:c r="X170" s="82" t="str">
        <x:v>https://hotwheels.fandom.com/wiki/Porsche_911_GT3_(Pull-Back_Speeders)</x:v>
      </x:c>
    </x:row>
    <x:row r="171">
      <x:c r="A171" s="80" t="str">
        <x:v>Não</x:v>
      </x:c>
      <x:c r="B171" s="80" t="str">
        <x:v>Fora da meta principal</x:v>
      </x:c>
      <x:c r="C171" s="81" t="n">
        <x:v>2024</x:v>
      </x:c>
      <x:c r="D171" s="80" t="str">
        <x:v>Porsche 911 GT3 RS (1:43)</x:v>
      </x:c>
      <x:c r="E171" s="80" t="str">
        <x:v>Porsche 911 GT3 RS</x:v>
      </x:c>
      <x:c r="F171" s="82" t="str">
        <x:v>1:43 / #8</x:v>
      </x:c>
      <x:c r="G171" s="80" t="str"/>
      <x:c r="H171" s="80" t="str"/>
      <x:c r="I171" s="83" t="str">
        <x:v>HWT03</x:v>
      </x:c>
      <x:c r="J171" s="80" t="str">
        <x:v>White</x:v>
      </x:c>
      <x:c r="K171" s="82" t="str">
        <x:v>Detailed trim, "GT3RS" with red stripe on sides, "GT3RS" on rear, Porsche logo on hood</x:v>
      </x:c>
      <x:c r="L171" s="82" t="str"/>
      <x:c r="M171" s="82" t="str">
        <x:v>Black / / / Metal</x:v>
      </x:c>
      <x:c r="N171" s="82" t="str">
        <x:v>Light smoke tint</x:v>
      </x:c>
      <x:c r="O171" s="82" t="str">
        <x:v>Red &amp; Black</x:v>
      </x:c>
      <x:c r="P171" s="82" t="str">
        <x:v>China</x:v>
      </x:c>
      <x:c r="Q171" s="82" t="str"/>
      <x:c r="R171" s="82" t="str">
        <x:v>Outra linha</x:v>
      </x:c>
      <x:c r="S171" s="82" t="str">
        <x:v>Comum / atual</x:v>
      </x:c>
      <x:c r="T171" s="82" t="str">
        <x:v>Lançado</x:v>
      </x:c>
      <x:c r="U171" s="82" t="str">
        <x:v>Production code(s): 0674EAA, 0744EAA, 1024EAA</x:v>
      </x:c>
      <x:c r="V171" s="80" t="str">
        <x:v>Escala 1:43</x:v>
      </x:c>
      <x:c r="W171" s="82" t="str">
        <x:v>https://hotwheels.fandom.com/wiki/Porsche_911_GT3_RS_(1:43)</x:v>
      </x:c>
      <x:c r="X171" s="82" t="str">
        <x:v>https://hotwheels.fandom.com/wiki/Porsche_911_GT3_RS_(1:43)</x:v>
      </x:c>
    </x:row>
    <x:row r="172">
      <x:c r="A172" s="80" t="str">
        <x:v>Não</x:v>
      </x:c>
      <x:c r="B172" s="80" t="str">
        <x:v>Fora da meta principal</x:v>
      </x:c>
      <x:c r="C172" s="81" t="n">
        <x:v>2024</x:v>
      </x:c>
      <x:c r="D172" s="80" t="str">
        <x:v>Porsche 914 Safari (Pull-Back Speeders)</x:v>
      </x:c>
      <x:c r="E172" s="80" t="str">
        <x:v>Porsche 914 Safari (Pull-Back Speeders)</x:v>
      </x:c>
      <x:c r="F172" s="82" t="str">
        <x:v>Pull-Back Speeders: HW Speed Graphics / 1/3</x:v>
      </x:c>
      <x:c r="G172" s="80" t="str"/>
      <x:c r="H172" s="80" t="str"/>
      <x:c r="I172" s="83" t="str">
        <x:v>JDB02</x:v>
      </x:c>
      <x:c r="J172" s="80" t="str">
        <x:v>Blue</x:v>
      </x:c>
      <x:c r="K172" s="82" t="str">
        <x:v>Detailed front indicators and taillights, blue and yellow stripes, "21", Hot Wheels logo and Porsche wordmark on frunk and sides, white &amp; black half circle, assorted Hot Wheels logos, "DV", "JT", "HWGRFX", and "DIMA" on sides</x:v>
      </x:c>
      <x:c r="L172" s="82" t="str">
        <x:v>Chrome rim, Yellow BLOR</x:v>
      </x:c>
      <x:c r="M172" s="82" t="str">
        <x:v>Black / / / Plastic</x:v>
      </x:c>
      <x:c r="N172" s="82" t="str">
        <x:v>Smoke tint</x:v>
      </x:c>
      <x:c r="O172" s="82" t="str">
        <x:v>Black</x:v>
      </x:c>
      <x:c r="P172" s="82" t="str">
        <x:v>Thailand</x:v>
      </x:c>
      <x:c r="Q172" s="82" t="str"/>
      <x:c r="R172" s="82" t="str">
        <x:v>Mainline</x:v>
      </x:c>
      <x:c r="S172" s="82" t="str">
        <x:v>Comum / atual</x:v>
      </x:c>
      <x:c r="T172" s="82" t="str">
        <x:v>Lançado</x:v>
      </x:c>
      <x:c r="U172" s="82" t="str">
        <x:v>Base code(s): T11A, T12A</x:v>
      </x:c>
      <x:c r="V172" s="80" t="str">
        <x:v>Pull-Back</x:v>
      </x:c>
      <x:c r="W172" s="82" t="str">
        <x:v>https://hotwheels.fandom.com/wiki/Porsche_914_Safari_(Pull-Back_Speeders)</x:v>
      </x:c>
      <x:c r="X172" s="82" t="str">
        <x:v>https://hotwheels.fandom.com/wiki/Porsche_914_Safari_(Pull-Back_Speeders)</x:v>
      </x:c>
    </x:row>
    <x:row r="173">
      <x:c r="A173" s="80" t="str">
        <x:v>Não</x:v>
      </x:c>
      <x:c r="B173" s="80" t="str">
        <x:v>Fora da meta principal</x:v>
      </x:c>
      <x:c r="C173" s="81" t="n">
        <x:v>2024</x:v>
      </x:c>
      <x:c r="D173" s="80" t="str">
        <x:v>Porsche 914 Safari (Pull-Back Speeders)</x:v>
      </x:c>
      <x:c r="E173" s="80" t="str">
        <x:v>Porsche 914 Safari (Pull-Back Speeders)</x:v>
      </x:c>
      <x:c r="F173" s="82" t="str">
        <x:v>Pull-Back Speeders: HW Speed Graphics / 1/3</x:v>
      </x:c>
      <x:c r="G173" s="80" t="str"/>
      <x:c r="H173" s="80" t="str"/>
      <x:c r="I173" s="83" t="str">
        <x:v>HWH34</x:v>
      </x:c>
      <x:c r="J173" s="80" t="str">
        <x:v>Yellow</x:v>
      </x:c>
      <x:c r="K173" s="82" t="str">
        <x:v>Detailed front indicators and taillights, orange and red stripes, "21", Hot Wheels logo and Porsche wordmark on frunk and sides, white &amp; black half circle, assorted Hot Wheels logos, "DV", "JT", "HWGRFX", and "DIMA" on sides</x:v>
      </x:c>
      <x:c r="L173" s="82" t="str">
        <x:v>Red Lip, Grey BLOR</x:v>
      </x:c>
      <x:c r="M173" s="82" t="str">
        <x:v>Black / / / Plastic</x:v>
      </x:c>
      <x:c r="N173" s="82" t="str">
        <x:v>Smoke tint</x:v>
      </x:c>
      <x:c r="O173" s="82" t="str">
        <x:v>Black</x:v>
      </x:c>
      <x:c r="P173" s="82" t="str">
        <x:v>Thailand</x:v>
      </x:c>
      <x:c r="Q173" s="82" t="str"/>
      <x:c r="R173" s="82" t="str">
        <x:v>Mainline</x:v>
      </x:c>
      <x:c r="S173" s="82" t="str">
        <x:v>Comum / atual</x:v>
      </x:c>
      <x:c r="T173" s="82" t="str">
        <x:v>Lançado</x:v>
      </x:c>
      <x:c r="U173" s="82" t="str">
        <x:v>Base code(s): S41A, S48A, S50A</x:v>
      </x:c>
      <x:c r="V173" s="80" t="str">
        <x:v>Pull-Back</x:v>
      </x:c>
      <x:c r="W173" s="82" t="str">
        <x:v>https://hotwheels.fandom.com/wiki/Porsche_914_Safari_(Pull-Back_Speeders)</x:v>
      </x:c>
      <x:c r="X173" s="82" t="str">
        <x:v>https://hotwheels.fandom.com/wiki/Porsche_914_Safari_(Pull-Back_Speeders)</x:v>
      </x:c>
    </x:row>
    <x:row r="174">
      <x:c r="A174" s="80" t="str">
        <x:v>Não</x:v>
      </x:c>
      <x:c r="B174" s="80" t="str">
        <x:v>Fora da meta principal</x:v>
      </x:c>
      <x:c r="C174" s="81" t="n">
        <x:v>2024</x:v>
      </x:c>
      <x:c r="D174" s="80" t="str">
        <x:v>Porsche Taycan Turbo S Cross Turismo</x:v>
      </x:c>
      <x:c r="E174" s="80" t="str">
        <x:v>Porsche Taycan Turbo S Cross Turismo</x:v>
      </x:c>
      <x:c r="F174" s="82" t="str">
        <x:v>1:43 / #11</x:v>
      </x:c>
      <x:c r="G174" s="80" t="str"/>
      <x:c r="H174" s="80" t="str"/>
      <x:c r="I174" s="83" t="str">
        <x:v>HWT10</x:v>
      </x:c>
      <x:c r="J174" s="80" t="str">
        <x:v>Jet Black</x:v>
      </x:c>
      <x:c r="K174" s="82" t="str">
        <x:v>Porsche logo on hood; "PORSCHE" &amp; "Taycan Turbo S" on rear; detailed trim, headlights, &amp; taillights</x:v>
      </x:c>
      <x:c r="L174" s="82" t="str"/>
      <x:c r="M174" s="82" t="str">
        <x:v>Black / / / Metal</x:v>
      </x:c>
      <x:c r="N174" s="82" t="str">
        <x:v>Light smoke tint</x:v>
      </x:c>
      <x:c r="O174" s="82" t="str">
        <x:v>Black &amp; red</x:v>
      </x:c>
      <x:c r="P174" s="82" t="str">
        <x:v>China</x:v>
      </x:c>
      <x:c r="Q174" s="82" t="str"/>
      <x:c r="R174" s="82" t="str">
        <x:v>Outra linha</x:v>
      </x:c>
      <x:c r="S174" s="82" t="str">
        <x:v>Comum / atual</x:v>
      </x:c>
      <x:c r="T174" s="82" t="str">
        <x:v>Lançado</x:v>
      </x:c>
      <x:c r="U174" s="82" t="str">
        <x:v>Production code(s): 1374EAA, 1724EAA, 1794EAA</x:v>
      </x:c>
      <x:c r="V174" s="80" t="str">
        <x:v>Escala 1:43</x:v>
      </x:c>
      <x:c r="W174" s="82" t="str">
        <x:v>https://hotwheels.fandom.com/wiki/Porsche_Taycan_Turbo_S_Cross_Turismo</x:v>
      </x:c>
      <x:c r="X174" s="82" t="str">
        <x:v>https://hotwheels.fandom.com/wiki/Porsche_Taycan_Turbo_S_Cross_Turismo</x:v>
      </x:c>
    </x:row>
    <x:row r="175">
      <x:c r="A175" s="80" t="str">
        <x:v>Não</x:v>
      </x:c>
      <x:c r="B175" s="80" t="str">
        <x:v>Fora da meta principal</x:v>
      </x:c>
      <x:c r="C175" s="81" t="n">
        <x:v>2023</x:v>
      </x:c>
      <x:c r="D175" s="80" t="str">
        <x:v>Porsche 911 GT3 (Pull-Back Speeders)</x:v>
      </x:c>
      <x:c r="E175" s="80" t="str">
        <x:v>Porsche 911 GT3 (Pull-Back Speeders)</x:v>
      </x:c>
      <x:c r="F175" s="82" t="str">
        <x:v>Pull-Back Speeders</x:v>
      </x:c>
      <x:c r="G175" s="80" t="str"/>
      <x:c r="H175" s="80" t="str"/>
      <x:c r="I175" s="83" t="str">
        <x:v>HPR79</x:v>
      </x:c>
      <x:c r="J175" s="80" t="str">
        <x:v>Lava Orange</x:v>
      </x:c>
      <x:c r="K175" s="82" t="str">
        <x:v>Black stripes, "Porsche" on sides</x:v>
      </x:c>
      <x:c r="L175" s="82" t="str">
        <x:v>Black PR5</x:v>
      </x:c>
      <x:c r="M175" s="82" t="str">
        <x:v>Black / / / Plastic</x:v>
      </x:c>
      <x:c r="N175" s="82" t="str"/>
      <x:c r="O175" s="82" t="str">
        <x:v>Gray</x:v>
      </x:c>
      <x:c r="P175" s="82" t="str">
        <x:v>Thailand</x:v>
      </x:c>
      <x:c r="Q175" s="82" t="str"/>
      <x:c r="R175" s="82" t="str">
        <x:v>Outra linha</x:v>
      </x:c>
      <x:c r="S175" s="82" t="str">
        <x:v>Comum / atual</x:v>
      </x:c>
      <x:c r="T175" s="82" t="str">
        <x:v>Lançado</x:v>
      </x:c>
      <x:c r="U175" s="82" t="str">
        <x:v>Base code(s): S41A</x:v>
      </x:c>
      <x:c r="V175" s="80" t="str">
        <x:v>Pull-Back</x:v>
      </x:c>
      <x:c r="W175" s="82" t="str">
        <x:v>https://hotwheels.fandom.com/wiki/Porsche_911_GT3_(Pull-Back_Speeders)</x:v>
      </x:c>
      <x:c r="X175" s="82" t="str">
        <x:v>https://hotwheels.fandom.com/wiki/Porsche_911_GT3_(Pull-Back_Speeders)</x:v>
      </x:c>
    </x:row>
    <x:row r="176">
      <x:c r="A176" s="80" t="str">
        <x:v>Não</x:v>
      </x:c>
      <x:c r="B176" s="80" t="str">
        <x:v>Fora da meta principal</x:v>
      </x:c>
      <x:c r="C176" s="81" t="n">
        <x:v>2023</x:v>
      </x:c>
      <x:c r="D176" s="80" t="str">
        <x:v>Porsche 911 GT3 (Pull-Back Speeders)</x:v>
      </x:c>
      <x:c r="E176" s="80" t="str">
        <x:v>Porsche 911 GT3 (Pull-Back Speeders)</x:v>
      </x:c>
      <x:c r="F176" s="82" t="str">
        <x:v>Pull-Back Speeders</x:v>
      </x:c>
      <x:c r="G176" s="80" t="str"/>
      <x:c r="H176" s="80" t="str"/>
      <x:c r="I176" s="83" t="str">
        <x:v>HPR89</x:v>
      </x:c>
      <x:c r="J176" s="80" t="str">
        <x:v>Python Green</x:v>
      </x:c>
      <x:c r="K176" s="82" t="str">
        <x:v>Black stripes, "Porsche" on sides</x:v>
      </x:c>
      <x:c r="L176" s="82" t="str">
        <x:v>Black PR5</x:v>
      </x:c>
      <x:c r="M176" s="82" t="str">
        <x:v>Black / / / Plastic</x:v>
      </x:c>
      <x:c r="N176" s="82" t="str"/>
      <x:c r="O176" s="82" t="str">
        <x:v>Gray</x:v>
      </x:c>
      <x:c r="P176" s="82" t="str">
        <x:v>Thailand</x:v>
      </x:c>
      <x:c r="Q176" s="82" t="str"/>
      <x:c r="R176" s="82" t="str">
        <x:v>Outra linha</x:v>
      </x:c>
      <x:c r="S176" s="82" t="str">
        <x:v>Comum / atual</x:v>
      </x:c>
      <x:c r="T176" s="82" t="str">
        <x:v>Lançado</x:v>
      </x:c>
      <x:c r="U176" s="82" t="str">
        <x:v>Base code(s):</x:v>
      </x:c>
      <x:c r="V176" s="80" t="str">
        <x:v>Pull-Back</x:v>
      </x:c>
      <x:c r="W176" s="82" t="str">
        <x:v>https://hotwheels.fandom.com/wiki/Porsche_911_GT3_(Pull-Back_Speeders)</x:v>
      </x:c>
      <x:c r="X176" s="82" t="str">
        <x:v>https://hotwheels.fandom.com/wiki/Porsche_911_GT3_(Pull-Back_Speeders)</x:v>
      </x:c>
    </x:row>
    <x:row r="177">
      <x:c r="A177" s="80" t="str">
        <x:v>Não</x:v>
      </x:c>
      <x:c r="B177" s="80" t="str">
        <x:v>Fora da meta principal</x:v>
      </x:c>
      <x:c r="C177" s="81" t="n">
        <x:v>2023</x:v>
      </x:c>
      <x:c r="D177" s="80" t="str">
        <x:v>Porsche 911 GT3 (RC)</x:v>
      </x:c>
      <x:c r="E177" s="80" t="str">
        <x:v>Porsche 911 GT3 (RC)</x:v>
      </x:c>
      <x:c r="F177" s="82" t="str">
        <x:v>Hot Wheels RC</x:v>
      </x:c>
      <x:c r="G177" s="80" t="str"/>
      <x:c r="H177" s="80" t="str"/>
      <x:c r="I177" s="83" t="str">
        <x:v>HLT20</x:v>
      </x:c>
      <x:c r="J177" s="80" t="str">
        <x:v>Green</x:v>
      </x:c>
      <x:c r="K177" s="82" t="str">
        <x:v>Detalied rear light and plate</x:v>
      </x:c>
      <x:c r="L177" s="82" t="str">
        <x:v>Black PR5 (with rubber tires on back wheels)</x:v>
      </x:c>
      <x:c r="M177" s="82" t="str">
        <x:v>Black / / / Plastic</x:v>
      </x:c>
      <x:c r="N177" s="82" t="str">
        <x:v>Black (painted)</x:v>
      </x:c>
      <x:c r="O177" s="82" t="str">
        <x:v>None</x:v>
      </x:c>
      <x:c r="P177" s="82" t="str">
        <x:v>China</x:v>
      </x:c>
      <x:c r="Q177" s="82" t="str"/>
      <x:c r="R177" s="82" t="str">
        <x:v>Outra linha</x:v>
      </x:c>
      <x:c r="S177" s="82" t="str">
        <x:v>Comum / atual</x:v>
      </x:c>
      <x:c r="T177" s="82" t="str">
        <x:v>Lançado</x:v>
      </x:c>
      <x:c r="U177" s="82" t="str"/>
      <x:c r="V177" s="80" t="str">
        <x:v>RC</x:v>
      </x:c>
      <x:c r="W177" s="82" t="str">
        <x:v>https://hotwheels.fandom.com/wiki/Porsche_911_GT3_(RC)</x:v>
      </x:c>
      <x:c r="X177" s="82" t="str">
        <x:v>https://hotwheels.fandom.com/wiki/Porsche_911_GT3_(RC)</x:v>
      </x:c>
    </x:row>
    <x:row r="178">
      <x:c r="A178" s="80" t="str">
        <x:v>Não</x:v>
      </x:c>
      <x:c r="B178" s="80" t="str">
        <x:v>Fora da meta principal</x:v>
      </x:c>
      <x:c r="C178" s="81" t="n">
        <x:v>2008</x:v>
      </x:c>
      <x:c r="D178" s="80" t="str">
        <x:v>Porsche Cayman (1:87)</x:v>
      </x:c>
      <x:c r="E178" s="80" t="str">
        <x:v>Porche Cayman</x:v>
      </x:c>
      <x:c r="F178" s="82" t="str">
        <x:v>Hot Wheels 1:87 Scale</x:v>
      </x:c>
      <x:c r="G178" s="80" t="str"/>
      <x:c r="H178" s="80" t="str"/>
      <x:c r="I178" s="83" t="str">
        <x:v>N2040</x:v>
      </x:c>
      <x:c r="J178" s="80" t="str">
        <x:v>Metalflake Black</x:v>
      </x:c>
      <x:c r="K178" s="82" t="str">
        <x:v>Porsche emblem on hood, 'Cayman S' on trunk</x:v>
      </x:c>
      <x:c r="L178" s="82" t="str">
        <x:v>5SP</x:v>
      </x:c>
      <x:c r="M178" s="82" t="str">
        <x:v>Black / / / Plastic</x:v>
      </x:c>
      <x:c r="N178" s="82" t="str">
        <x:v>Tinted</x:v>
      </x:c>
      <x:c r="O178" s="82" t="str">
        <x:v>Black</x:v>
      </x:c>
      <x:c r="P178" s="82" t="str">
        <x:v>China</x:v>
      </x:c>
      <x:c r="Q178" s="82" t="str"/>
      <x:c r="R178" s="82" t="str">
        <x:v>Outra linha</x:v>
      </x:c>
      <x:c r="S178" s="82" t="str">
        <x:v>Incomum</x:v>
      </x:c>
      <x:c r="T178" s="82" t="str">
        <x:v>Lançado</x:v>
      </x:c>
      <x:c r="U178" s="82" t="str"/>
      <x:c r="V178" s="80" t="str">
        <x:v>Escala 1:87</x:v>
      </x:c>
      <x:c r="W178" s="82" t="str">
        <x:v>https://hotwheels.fandom.com/wiki/Porsche_Cayman_(1:87)</x:v>
      </x:c>
      <x:c r="X178" s="82" t="str">
        <x:v>https://hotwheels.fandom.com/wiki/Porsche_Cayman_(1:87)</x:v>
      </x:c>
    </x:row>
    <x:row r="179">
      <x:c r="A179" s="80" t="str">
        <x:v>Não</x:v>
      </x:c>
      <x:c r="B179" s="80" t="str">
        <x:v>Fora da meta principal</x:v>
      </x:c>
      <x:c r="C179" s="81" t="n">
        <x:v>2007</x:v>
      </x:c>
      <x:c r="D179" s="80" t="str">
        <x:v>Porsche Cayman (1:87)</x:v>
      </x:c>
      <x:c r="E179" s="80" t="str">
        <x:v>Porche Cayman</x:v>
      </x:c>
      <x:c r="F179" s="82" t="str">
        <x:v>Hot Wheels 1:87 Scale</x:v>
      </x:c>
      <x:c r="G179" s="80" t="str"/>
      <x:c r="H179" s="80" t="str"/>
      <x:c r="I179" s="83" t="str">
        <x:v>L7172</x:v>
      </x:c>
      <x:c r="J179" s="80" t="str">
        <x:v>Metalflake Blue</x:v>
      </x:c>
      <x:c r="K179" s="82" t="str">
        <x:v>Porsche emblem on hood, 'Cayman S' on trunk</x:v>
      </x:c>
      <x:c r="L179" s="82" t="str">
        <x:v>5SP</x:v>
      </x:c>
      <x:c r="M179" s="82" t="str">
        <x:v>Black / / / Plastic</x:v>
      </x:c>
      <x:c r="N179" s="82" t="str">
        <x:v>Tinted</x:v>
      </x:c>
      <x:c r="O179" s="82" t="str">
        <x:v>Gray</x:v>
      </x:c>
      <x:c r="P179" s="82" t="str">
        <x:v>China</x:v>
      </x:c>
      <x:c r="Q179" s="82" t="str"/>
      <x:c r="R179" s="82" t="str">
        <x:v>Outra linha</x:v>
      </x:c>
      <x:c r="S179" s="82" t="str">
        <x:v>Incomum</x:v>
      </x:c>
      <x:c r="T179" s="82" t="str">
        <x:v>Lançado</x:v>
      </x:c>
      <x:c r="U179" s="82" t="str"/>
      <x:c r="V179" s="80" t="str">
        <x:v>Escala 1:87</x:v>
      </x:c>
      <x:c r="W179" s="82" t="str">
        <x:v>https://hotwheels.fandom.com/wiki/Porsche_Cayman_(1:87)</x:v>
      </x:c>
      <x:c r="X179" s="82" t="str">
        <x:v>https://hotwheels.fandom.com/wiki/Porsche_Cayman_(1:87)</x:v>
      </x:c>
    </x:row>
    <x:row r="180">
      <x:c r="A180" s="80" t="str">
        <x:v>Não</x:v>
      </x:c>
      <x:c r="B180" s="80" t="str">
        <x:v>Fora da meta principal</x:v>
      </x:c>
      <x:c r="C180" s="81" t="n">
        <x:v>2007</x:v>
      </x:c>
      <x:c r="D180" s="80" t="str">
        <x:v>Porsche Cayman (1:87)</x:v>
      </x:c>
      <x:c r="E180" s="80" t="str">
        <x:v>Porche Cayman</x:v>
      </x:c>
      <x:c r="F180" s="82" t="str">
        <x:v>Hot Wheels 1:87 Scale</x:v>
      </x:c>
      <x:c r="G180" s="80" t="str"/>
      <x:c r="H180" s="80" t="str"/>
      <x:c r="I180" s="83" t="str">
        <x:v>L7173</x:v>
      </x:c>
      <x:c r="J180" s="80" t="str">
        <x:v>Metalflake Red</x:v>
      </x:c>
      <x:c r="K180" s="82" t="str">
        <x:v>Porsche emblem on hood, 'Cayman S' on trunk</x:v>
      </x:c>
      <x:c r="L180" s="82" t="str">
        <x:v>5SP</x:v>
      </x:c>
      <x:c r="M180" s="82" t="str">
        <x:v>Black / / / Plastic</x:v>
      </x:c>
      <x:c r="N180" s="82" t="str">
        <x:v>Tinted</x:v>
      </x:c>
      <x:c r="O180" s="82" t="str">
        <x:v>Beige</x:v>
      </x:c>
      <x:c r="P180" s="82" t="str">
        <x:v>China</x:v>
      </x:c>
      <x:c r="Q180" s="82" t="str"/>
      <x:c r="R180" s="82" t="str">
        <x:v>Outra linha</x:v>
      </x:c>
      <x:c r="S180" s="82" t="str">
        <x:v>Incomum</x:v>
      </x:c>
      <x:c r="T180" s="82" t="str">
        <x:v>Lançado</x:v>
      </x:c>
      <x:c r="U180" s="82" t="str"/>
      <x:c r="V180" s="80" t="str">
        <x:v>Escala 1:87</x:v>
      </x:c>
      <x:c r="W180" s="82" t="str">
        <x:v>https://hotwheels.fandom.com/wiki/Porsche_Cayman_(1:87)</x:v>
      </x:c>
      <x:c r="X180" s="82" t="str">
        <x:v>https://hotwheels.fandom.com/wiki/Porsche_Cayman_(1:87)</x:v>
      </x:c>
    </x:row>
    <x:row r="181">
      <x:c r="A181" s="80" t="str">
        <x:v>Não</x:v>
      </x:c>
      <x:c r="B181" s="80" t="str">
        <x:v>Fora da meta principal</x:v>
      </x:c>
      <x:c r="C181" s="81" t="n">
        <x:v>2007</x:v>
      </x:c>
      <x:c r="D181" s="80" t="str">
        <x:v>Porsche Cayman (1:87)</x:v>
      </x:c>
      <x:c r="E181" s="80" t="str">
        <x:v>Porche Cayman</x:v>
      </x:c>
      <x:c r="F181" s="82" t="str">
        <x:v>Hot Wheels 1:87 Scale</x:v>
      </x:c>
      <x:c r="G181" s="80" t="str"/>
      <x:c r="H181" s="80" t="str"/>
      <x:c r="I181" s="83" t="str">
        <x:v>L7171</x:v>
      </x:c>
      <x:c r="J181" s="80" t="str">
        <x:v>Metalflake Silver</x:v>
      </x:c>
      <x:c r="K181" s="82" t="str">
        <x:v>Porsche emblem on hood, 'Cayman S' on trunk</x:v>
      </x:c>
      <x:c r="L181" s="82" t="str">
        <x:v>5SP</x:v>
      </x:c>
      <x:c r="M181" s="82" t="str">
        <x:v>Black / / / Plastic</x:v>
      </x:c>
      <x:c r="N181" s="82" t="str">
        <x:v>Tinted</x:v>
      </x:c>
      <x:c r="O181" s="82" t="str">
        <x:v>Beige</x:v>
      </x:c>
      <x:c r="P181" s="82" t="str">
        <x:v>China</x:v>
      </x:c>
      <x:c r="Q181" s="82" t="str"/>
      <x:c r="R181" s="82" t="str">
        <x:v>Outra linha</x:v>
      </x:c>
      <x:c r="S181" s="82" t="str">
        <x:v>Incomum</x:v>
      </x:c>
      <x:c r="T181" s="82" t="str">
        <x:v>Lançado</x:v>
      </x:c>
      <x:c r="U181" s="82" t="str"/>
      <x:c r="V181" s="80" t="str">
        <x:v>Escala 1:87</x:v>
      </x:c>
      <x:c r="W181" s="82" t="str">
        <x:v>https://hotwheels.fandom.com/wiki/Porsche_Cayman_(1:87)</x:v>
      </x:c>
      <x:c r="X181" s="82" t="str">
        <x:v>https://hotwheels.fandom.com/wiki/Porsche_Cayman_(1:87)</x:v>
      </x:c>
    </x:row>
    <x:row r="182">
      <x:c r="A182" s="80" t="str">
        <x:v>Não</x:v>
      </x:c>
      <x:c r="B182" s="80" t="str">
        <x:v>Fora da meta principal</x:v>
      </x:c>
      <x:c r="C182" s="81" t="n">
        <x:v>2007</x:v>
      </x:c>
      <x:c r="D182" s="80" t="str">
        <x:v>Porsche Cayman (1:87)</x:v>
      </x:c>
      <x:c r="E182" s="80" t="str">
        <x:v>Porche Cayman</x:v>
      </x:c>
      <x:c r="F182" s="82" t="str">
        <x:v>Hot Wheels 1:87 Scale</x:v>
      </x:c>
      <x:c r="G182" s="80" t="str"/>
      <x:c r="H182" s="80" t="str"/>
      <x:c r="I182" s="83" t="str">
        <x:v>L7181</x:v>
      </x:c>
      <x:c r="J182" s="80" t="str">
        <x:v>Pearl Yellow</x:v>
      </x:c>
      <x:c r="K182" s="82" t="str">
        <x:v>Porsche emblem on hood, 'Cayman S' on trunk</x:v>
      </x:c>
      <x:c r="L182" s="82" t="str">
        <x:v>5SP</x:v>
      </x:c>
      <x:c r="M182" s="82" t="str">
        <x:v>Black / / / Plastic</x:v>
      </x:c>
      <x:c r="N182" s="82" t="str">
        <x:v>Tinted</x:v>
      </x:c>
      <x:c r="O182" s="82" t="str">
        <x:v>Black</x:v>
      </x:c>
      <x:c r="P182" s="82" t="str">
        <x:v>China</x:v>
      </x:c>
      <x:c r="Q182" s="82" t="str"/>
      <x:c r="R182" s="82" t="str">
        <x:v>Outra linha</x:v>
      </x:c>
      <x:c r="S182" s="82" t="str">
        <x:v>Incomum</x:v>
      </x:c>
      <x:c r="T182" s="82" t="str">
        <x:v>Lançado</x:v>
      </x:c>
      <x:c r="U182" s="82" t="str">
        <x:v>Production date(s): 3027AZ, 3197AZ,</x:v>
      </x:c>
      <x:c r="V182" s="80" t="str">
        <x:v>Escala 1:87</x:v>
      </x:c>
      <x:c r="W182" s="82" t="str">
        <x:v>https://hotwheels.fandom.com/wiki/Porsche_Cayman_(1:87)</x:v>
      </x:c>
      <x:c r="X182" s="82" t="str">
        <x:v>https://hotwheels.fandom.com/wiki/Porsche_Cayman_(1:87)</x:v>
      </x:c>
    </x:row>
    <x:row r="183">
      <x:c r="A183" s="80" t="str">
        <x:v>Não</x:v>
      </x:c>
      <x:c r="B183" s="80" t="str">
        <x:v>Fora da meta principal</x:v>
      </x:c>
      <x:c r="C183" s="81" t="n">
        <x:v>2003</x:v>
      </x:c>
      <x:c r="D183" s="80" t="str">
        <x:v>Porsche Boxster Spyder (Micro)</x:v>
      </x:c>
      <x:c r="E183" s="80" t="str">
        <x:v>Porsche Boxster Spyder (Micro)</x:v>
      </x:c>
      <x:c r="F183" s="82" t="str">
        <x:v>Atomix Road Rockets</x:v>
      </x:c>
      <x:c r="G183" s="80" t="str"/>
      <x:c r="H183" s="80" t="str"/>
      <x:c r="I183" s="83" t="str"/>
      <x:c r="J183" s="80" t="str">
        <x:v>Black</x:v>
      </x:c>
      <x:c r="K183" s="82" t="str">
        <x:v>White &amp; Red Tampos</x:v>
      </x:c>
      <x:c r="L183" s="82" t="str">
        <x:v>MPM5SP</x:v>
      </x:c>
      <x:c r="M183" s="82" t="str">
        <x:v>Metal</x:v>
      </x:c>
      <x:c r="N183" s="82" t="str">
        <x:v>Grey</x:v>
      </x:c>
      <x:c r="O183" s="82" t="str"/>
      <x:c r="P183" s="82" t="str">
        <x:v>China</x:v>
      </x:c>
      <x:c r="Q183" s="82" t="str"/>
      <x:c r="R183" s="82" t="str">
        <x:v>Outra linha</x:v>
      </x:c>
      <x:c r="S183" s="82" t="str">
        <x:v>Incomum</x:v>
      </x:c>
      <x:c r="T183" s="82" t="str">
        <x:v>Lançado</x:v>
      </x:c>
      <x:c r="U183" s="82" t="str"/>
      <x:c r="V183" s="80" t="str">
        <x:v>Micro</x:v>
      </x:c>
      <x:c r="W183" s="82" t="str">
        <x:v>https://hotwheels.fandom.com/wiki/Porsche_Boxster_Spyder_(Micro)</x:v>
      </x:c>
      <x:c r="X183" s="82" t="str">
        <x:v>https://hotwheels.fandom.com/wiki/Porsche_Boxster_Spyder_(Micro)</x:v>
      </x:c>
    </x:row>
    <x:row r="184">
      <x:c r="A184" s="80" t="str">
        <x:v>Não</x:v>
      </x:c>
      <x:c r="B184" s="80" t="str">
        <x:v>Fora da meta principal</x:v>
      </x:c>
      <x:c r="C184" s="81" t="n">
        <x:v>2003</x:v>
      </x:c>
      <x:c r="D184" s="80" t="str">
        <x:v>Porsche Boxster Spyder (Micro)</x:v>
      </x:c>
      <x:c r="E184" s="80" t="str">
        <x:v>Porsche Boxster Spyder (Micro)</x:v>
      </x:c>
      <x:c r="F184" s="82" t="str">
        <x:v>Atomix Sport Stars</x:v>
      </x:c>
      <x:c r="G184" s="80" t="str"/>
      <x:c r="H184" s="80" t="str"/>
      <x:c r="I184" s="83" t="str"/>
      <x:c r="J184" s="80" t="str">
        <x:v>Yellow</x:v>
      </x:c>
      <x:c r="K184" s="82" t="str">
        <x:v>Orange &amp; Black Tampos</x:v>
      </x:c>
      <x:c r="L184" s="82" t="str">
        <x:v>MPM5SP</x:v>
      </x:c>
      <x:c r="M184" s="82" t="str">
        <x:v>Metal</x:v>
      </x:c>
      <x:c r="N184" s="82" t="str">
        <x:v>Grey</x:v>
      </x:c>
      <x:c r="O184" s="82" t="str"/>
      <x:c r="P184" s="82" t="str">
        <x:v>China</x:v>
      </x:c>
      <x:c r="Q184" s="82" t="str"/>
      <x:c r="R184" s="82" t="str">
        <x:v>Outra linha</x:v>
      </x:c>
      <x:c r="S184" s="82" t="str">
        <x:v>Incomum</x:v>
      </x:c>
      <x:c r="T184" s="82" t="str">
        <x:v>Lançado</x:v>
      </x:c>
      <x:c r="U184" s="82" t="str"/>
      <x:c r="V184" s="80" t="str">
        <x:v>Micro</x:v>
      </x:c>
      <x:c r="W184" s="82" t="str">
        <x:v>https://hotwheels.fandom.com/wiki/Porsche_Boxster_Spyder_(Micro)</x:v>
      </x:c>
      <x:c r="X184" s="82" t="str">
        <x:v>https://hotwheels.fandom.com/wiki/Porsche_Boxster_Spyder_(Micro)</x:v>
      </x:c>
    </x:row>
    <x:row r="185">
      <x:c r="A185" s="80" t="str">
        <x:v>Não</x:v>
      </x:c>
      <x:c r="B185" s="80" t="str">
        <x:v>Fora da meta principal</x:v>
      </x:c>
      <x:c r="C185" s="81" t="n">
        <x:v>2003</x:v>
      </x:c>
      <x:c r="D185" s="80" t="str">
        <x:v>Porsche GT3 (1:18)</x:v>
      </x:c>
      <x:c r="E185" s="80" t="str">
        <x:v>Porsche GT3 (1:18)</x:v>
      </x:c>
      <x:c r="F185" s="82" t="str">
        <x:v>100% Hot Wheels 1:18 Scale</x:v>
      </x:c>
      <x:c r="G185" s="80" t="str"/>
      <x:c r="H185" s="80" t="str"/>
      <x:c r="I185" s="83" t="str"/>
      <x:c r="J185" s="80" t="str"/>
      <x:c r="K185" s="82" t="str"/>
      <x:c r="L185" s="82" t="str"/>
      <x:c r="M185" s="82" t="str"/>
      <x:c r="N185" s="82" t="str"/>
      <x:c r="O185" s="82" t="str"/>
      <x:c r="P185" s="82" t="str"/>
      <x:c r="Q185" s="82" t="str"/>
      <x:c r="R185" s="82" t="str">
        <x:v>100% / Collectibles</x:v>
      </x:c>
      <x:c r="S185" s="82" t="str">
        <x:v>Incomum</x:v>
      </x:c>
      <x:c r="T185" s="82" t="str">
        <x:v>Lançado</x:v>
      </x:c>
      <x:c r="U185" s="82" t="str"/>
      <x:c r="V185" s="80" t="str">
        <x:v>Escala 1:18</x:v>
      </x:c>
      <x:c r="W185" s="82" t="str">
        <x:v>https://hotwheels.fandom.com/wiki/Porsche</x:v>
      </x:c>
      <x:c r="X185" s="82" t="str">
        <x:v>https://hotwheels.fandom.com/wiki/Porsche_GT3_(1:18)</x:v>
      </x:c>
    </x:row>
    <x:row r="186">
      <x:c r="A186" s="80" t="str">
        <x:v>Não</x:v>
      </x:c>
      <x:c r="B186" s="80" t="str">
        <x:v>Fora da meta principal</x:v>
      </x:c>
      <x:c r="C186" s="81" t="n">
        <x:v>2003</x:v>
      </x:c>
      <x:c r="D186" s="80" t="str">
        <x:v>Porsche GT3 (1:18)</x:v>
      </x:c>
      <x:c r="E186" s="80" t="str">
        <x:v>Porsche GT3 (1:18)</x:v>
      </x:c>
      <x:c r="F186" s="82" t="str">
        <x:v>Gold Edition 100%</x:v>
      </x:c>
      <x:c r="G186" s="80" t="str"/>
      <x:c r="H186" s="80" t="str"/>
      <x:c r="I186" s="83" t="str">
        <x:v>G4784 / 16156</x:v>
      </x:c>
      <x:c r="J186" s="80" t="str">
        <x:v>Silver</x:v>
      </x:c>
      <x:c r="K186" s="82" t="str"/>
      <x:c r="L186" s="82" t="str"/>
      <x:c r="M186" s="82" t="str">
        <x:v>Black</x:v>
      </x:c>
      <x:c r="N186" s="82" t="str">
        <x:v>Clear</x:v>
      </x:c>
      <x:c r="O186" s="82" t="str">
        <x:v>Black</x:v>
      </x:c>
      <x:c r="P186" s="82" t="str">
        <x:v>China</x:v>
      </x:c>
      <x:c r="Q186" s="82" t="str"/>
      <x:c r="R186" s="82" t="str">
        <x:v>Outra linha</x:v>
      </x:c>
      <x:c r="S186" s="82" t="str">
        <x:v>Incomum</x:v>
      </x:c>
      <x:c r="T186" s="82" t="str">
        <x:v>Lançado</x:v>
      </x:c>
      <x:c r="U186" s="82" t="str">
        <x:v>Production date(s): 3543AZ</x:v>
      </x:c>
      <x:c r="V186" s="80" t="str">
        <x:v>Escala 1:18</x:v>
      </x:c>
      <x:c r="W186" s="82" t="str">
        <x:v>https://hotwheels.fandom.com/wiki/Porsche_GT3_(1:18)</x:v>
      </x:c>
      <x:c r="X186" s="82" t="str">
        <x:v>https://hotwheels.fandom.com/wiki/Porsche_GT3_(1:18)</x:v>
      </x:c>
    </x:row>
    <x:row r="187">
      <x:c r="A187" s="80" t="str">
        <x:v>Não</x:v>
      </x:c>
      <x:c r="B187" s="80" t="str">
        <x:v>Fora da meta principal</x:v>
      </x:c>
      <x:c r="C187" s="81" t="n">
        <x:v>2002</x:v>
      </x:c>
      <x:c r="D187" s="80" t="str">
        <x:v>Porsche 911 (1:18)</x:v>
      </x:c>
      <x:c r="E187" s="80" t="str">
        <x:v>Porsche 911 (1:18)</x:v>
      </x:c>
      <x:c r="F187" s="82" t="str">
        <x:v>Assembly Kit</x:v>
      </x:c>
      <x:c r="G187" s="80" t="str"/>
      <x:c r="H187" s="80" t="str"/>
      <x:c r="I187" s="83" t="str">
        <x:v>56841</x:v>
      </x:c>
      <x:c r="J187" s="80" t="str">
        <x:v>Black</x:v>
      </x:c>
      <x:c r="K187" s="82" t="str"/>
      <x:c r="L187" s="82" t="str"/>
      <x:c r="M187" s="82" t="str"/>
      <x:c r="N187" s="82" t="str"/>
      <x:c r="O187" s="82" t="str"/>
      <x:c r="P187" s="82" t="str">
        <x:v>China</x:v>
      </x:c>
      <x:c r="Q187" s="82" t="str"/>
      <x:c r="R187" s="82" t="str">
        <x:v>Outra linha</x:v>
      </x:c>
      <x:c r="S187" s="82" t="str">
        <x:v>Incomum</x:v>
      </x:c>
      <x:c r="T187" s="82" t="str">
        <x:v>Lançado</x:v>
      </x:c>
      <x:c r="U187" s="82" t="str">
        <x:v>Production code(s): 1262AZ</x:v>
      </x:c>
      <x:c r="V187" s="80" t="str">
        <x:v>Escala 1:18</x:v>
      </x:c>
      <x:c r="W187" s="82" t="str">
        <x:v>https://hotwheels.fandom.com/wiki/Porsche_911_(1:18)</x:v>
      </x:c>
      <x:c r="X187" s="82" t="str">
        <x:v>https://hotwheels.fandom.com/wiki/Porsche_911_(1:18)</x:v>
      </x:c>
    </x:row>
    <x:row r="188">
      <x:c r="A188" s="80" t="str">
        <x:v>Não</x:v>
      </x:c>
      <x:c r="B188" s="80" t="str">
        <x:v>Fora da meta principal</x:v>
      </x:c>
      <x:c r="C188" s="81" t="n">
        <x:v>2001</x:v>
      </x:c>
      <x:c r="D188" s="80" t="str">
        <x:v>Porsche 356 Speedster (1:43)</x:v>
      </x:c>
      <x:c r="E188" s="80" t="str">
        <x:v>1959 Porsche 356</x:v>
      </x:c>
      <x:c r="F188" s="82" t="str">
        <x:v>FAO Schwarz Motor Trend Vintage Race Series Set</x:v>
      </x:c>
      <x:c r="G188" s="80" t="str"/>
      <x:c r="H188" s="80" t="str"/>
      <x:c r="I188" s="83" t="str">
        <x:v>50547</x:v>
      </x:c>
      <x:c r="J188" s="80" t="str">
        <x:v>Silver</x:v>
      </x:c>
      <x:c r="K188" s="82" t="str">
        <x:v>Headlights, signals &amp; taillights.</x:v>
      </x:c>
      <x:c r="L188" s="82" t="str"/>
      <x:c r="M188" s="82" t="str">
        <x:v>Black / / / Plastic</x:v>
      </x:c>
      <x:c r="N188" s="82" t="str">
        <x:v>Clear</x:v>
      </x:c>
      <x:c r="O188" s="82" t="str">
        <x:v>Black</x:v>
      </x:c>
      <x:c r="P188" s="82" t="str">
        <x:v>China</x:v>
      </x:c>
      <x:c r="Q188" s="82" t="str"/>
      <x:c r="R188" s="82" t="str">
        <x:v>Outra linha</x:v>
      </x:c>
      <x:c r="S188" s="82" t="str">
        <x:v>Incomum</x:v>
      </x:c>
      <x:c r="T188" s="82" t="str">
        <x:v>Lançado</x:v>
      </x:c>
      <x:c r="U188" s="82" t="str">
        <x:v>Named Porsche 356</x:v>
      </x:c>
      <x:c r="V188" s="80" t="str">
        <x:v>Escala 1:43</x:v>
      </x:c>
      <x:c r="W188" s="82" t="str">
        <x:v>https://hotwheels.fandom.com/wiki/Porsche_356_Speedster_(1:43)</x:v>
      </x:c>
      <x:c r="X188" s="82" t="str">
        <x:v>https://hotwheels.fandom.com/wiki/Porsche_356_Speedster_(1:43)</x:v>
      </x:c>
    </x:row>
    <x:row r="189">
      <x:c r="A189" s="80" t="str">
        <x:v>Não</x:v>
      </x:c>
      <x:c r="B189" s="80" t="str">
        <x:v>Fora da meta principal</x:v>
      </x:c>
      <x:c r="C189" s="81" t="n">
        <x:v>2000</x:v>
      </x:c>
      <x:c r="D189" s="80" t="str">
        <x:v>Porsche 911 (1:18)</x:v>
      </x:c>
      <x:c r="E189" s="80" t="str">
        <x:v>Porsche 911 (1:18)</x:v>
      </x:c>
      <x:c r="F189" s="82" t="str">
        <x:v>Hot Wheels Collectibles 1:18 Scale</x:v>
      </x:c>
      <x:c r="G189" s="80" t="str"/>
      <x:c r="H189" s="80" t="str"/>
      <x:c r="I189" s="83" t="str">
        <x:v>29062</x:v>
      </x:c>
      <x:c r="J189" s="80" t="str">
        <x:v>Blue</x:v>
      </x:c>
      <x:c r="K189" s="82" t="str"/>
      <x:c r="L189" s="82" t="str"/>
      <x:c r="M189" s="82" t="str">
        <x:v>Black / / / Plastic</x:v>
      </x:c>
      <x:c r="N189" s="82" t="str">
        <x:v>Clear</x:v>
      </x:c>
      <x:c r="O189" s="82" t="str">
        <x:v>Black</x:v>
      </x:c>
      <x:c r="P189" s="82" t="str">
        <x:v>China</x:v>
      </x:c>
      <x:c r="Q189" s="82" t="str"/>
      <x:c r="R189" s="82" t="str">
        <x:v>100% / Collectibles</x:v>
      </x:c>
      <x:c r="S189" s="82" t="str">
        <x:v>Incomum</x:v>
      </x:c>
      <x:c r="T189" s="82" t="str">
        <x:v>Lançado</x:v>
      </x:c>
      <x:c r="U189" s="82" t="str"/>
      <x:c r="V189" s="80" t="str">
        <x:v>Escala 1:18</x:v>
      </x:c>
      <x:c r="W189" s="82" t="str">
        <x:v>https://hotwheels.fandom.com/wiki/Porsche_911_(1:18)</x:v>
      </x:c>
      <x:c r="X189" s="82" t="str">
        <x:v>https://hotwheels.fandom.com/wiki/Porsche_911_(1:18)</x:v>
      </x:c>
    </x:row>
    <x:row r="190">
      <x:c r="A190" s="80" t="str">
        <x:v>Não</x:v>
      </x:c>
      <x:c r="B190" s="80" t="str">
        <x:v>Fora da meta principal</x:v>
      </x:c>
      <x:c r="C190" s="81" t="n">
        <x:v>1999</x:v>
      </x:c>
      <x:c r="D190" s="80" t="str">
        <x:v>Porsche 911 (1:18)</x:v>
      </x:c>
      <x:c r="E190" s="80" t="str">
        <x:v>Porsche 911 (1:18)</x:v>
      </x:c>
      <x:c r="F190" s="82" t="str">
        <x:v>Hot Wheels Collectibles 1:18 Scale</x:v>
      </x:c>
      <x:c r="G190" s="80" t="str"/>
      <x:c r="H190" s="80" t="str"/>
      <x:c r="I190" s="83" t="str">
        <x:v>21359</x:v>
      </x:c>
      <x:c r="J190" s="80" t="str"/>
      <x:c r="K190" s="82" t="str"/>
      <x:c r="L190" s="82" t="str"/>
      <x:c r="M190" s="82" t="str"/>
      <x:c r="N190" s="82" t="str"/>
      <x:c r="O190" s="82" t="str"/>
      <x:c r="P190" s="82" t="str"/>
      <x:c r="Q190" s="82" t="str"/>
      <x:c r="R190" s="82" t="str">
        <x:v>100% / Collectibles</x:v>
      </x:c>
      <x:c r="S190" s="82" t="str">
        <x:v>Rara</x:v>
      </x:c>
      <x:c r="T190" s="82" t="str">
        <x:v>Lançado</x:v>
      </x:c>
      <x:c r="U190" s="82" t="str"/>
      <x:c r="V190" s="80" t="str">
        <x:v>Escala 1:18</x:v>
      </x:c>
      <x:c r="W190" s="82" t="str">
        <x:v>https://hotwheels.fandom.com/wiki/Porsche</x:v>
      </x:c>
      <x:c r="X190" s="82" t="str">
        <x:v>https://hotwheels.fandom.com/wiki/Porsche_911_(1:18)</x:v>
      </x:c>
    </x:row>
    <x:row r="191">
      <x:c r="A191" s="80" t="str">
        <x:v>Não</x:v>
      </x:c>
      <x:c r="B191" s="80" t="str">
        <x:v>Fora da meta principal</x:v>
      </x:c>
      <x:c r="C191" s="81" t="n">
        <x:v>1999</x:v>
      </x:c>
      <x:c r="D191" s="80" t="str">
        <x:v>Porsche 911 (1:18)</x:v>
      </x:c>
      <x:c r="E191" s="80" t="str">
        <x:v>Porsche 911 (1:18)</x:v>
      </x:c>
      <x:c r="F191" s="82" t="str">
        <x:v>Hot Wheels Collectibles 1:18 Scale</x:v>
      </x:c>
      <x:c r="G191" s="80" t="str"/>
      <x:c r="H191" s="80" t="str"/>
      <x:c r="I191" s="83" t="str">
        <x:v>21539</x:v>
      </x:c>
      <x:c r="J191" s="80" t="str">
        <x:v>Silver</x:v>
      </x:c>
      <x:c r="K191" s="82" t="str"/>
      <x:c r="L191" s="82" t="str"/>
      <x:c r="M191" s="82" t="str">
        <x:v>Black / / / Plastic</x:v>
      </x:c>
      <x:c r="N191" s="82" t="str">
        <x:v>Clear</x:v>
      </x:c>
      <x:c r="O191" s="82" t="str">
        <x:v>Black</x:v>
      </x:c>
      <x:c r="P191" s="82" t="str">
        <x:v>China</x:v>
      </x:c>
      <x:c r="Q191" s="82" t="str"/>
      <x:c r="R191" s="82" t="str">
        <x:v>100% / Collectibles</x:v>
      </x:c>
      <x:c r="S191" s="82" t="str">
        <x:v>Rara</x:v>
      </x:c>
      <x:c r="T191" s="82" t="str">
        <x:v>Lançado</x:v>
      </x:c>
      <x:c r="U191" s="82" t="str"/>
      <x:c r="V191" s="80" t="str">
        <x:v>Escala 1:18</x:v>
      </x:c>
      <x:c r="W191" s="82" t="str">
        <x:v>https://hotwheels.fandom.com/wiki/Porsche_911_(1:18)</x:v>
      </x:c>
      <x:c r="X191" s="82" t="str">
        <x:v>https://hotwheels.fandom.com/wiki/Porsche_911_(1:18)</x:v>
      </x:c>
    </x:row>
    <x:row r="192">
      <x:c r="A192" s="80" t="str">
        <x:v>Não</x:v>
      </x:c>
      <x:c r="B192" s="80" t="str">
        <x:v>Fora da meta principal</x:v>
      </x:c>
      <x:c r="C192" s="81" t="n">
        <x:v>1999</x:v>
      </x:c>
      <x:c r="D192" s="80" t="str">
        <x:v>Porsche Boxster Spyder (Micro)</x:v>
      </x:c>
      <x:c r="E192" s="80" t="str">
        <x:v>Porsche Boxster Spyder (Micro)</x:v>
      </x:c>
      <x:c r="F192" s="82" t="str">
        <x:v>Planet Micro Sport Cars Series 3</x:v>
      </x:c>
      <x:c r="G192" s="80" t="str"/>
      <x:c r="H192" s="80" t="str"/>
      <x:c r="I192" s="83" t="str">
        <x:v>20415</x:v>
      </x:c>
      <x:c r="J192" s="80" t="str">
        <x:v>Spectraflame Purple</x:v>
      </x:c>
      <x:c r="K192" s="82" t="str"/>
      <x:c r="L192" s="82" t="str">
        <x:v>MPM5SP</x:v>
      </x:c>
      <x:c r="M192" s="82" t="str">
        <x:v>Metal</x:v>
      </x:c>
      <x:c r="N192" s="82" t="str">
        <x:v>Silver</x:v>
      </x:c>
      <x:c r="O192" s="82" t="str"/>
      <x:c r="P192" s="82" t="str">
        <x:v>China</x:v>
      </x:c>
      <x:c r="Q192" s="82" t="str"/>
      <x:c r="R192" s="82" t="str">
        <x:v>Outra linha</x:v>
      </x:c>
      <x:c r="S192" s="82" t="str">
        <x:v>Rara</x:v>
      </x:c>
      <x:c r="T192" s="82" t="str">
        <x:v>Lançado</x:v>
      </x:c>
      <x:c r="U192" s="82" t="str"/>
      <x:c r="V192" s="80" t="str">
        <x:v>Micro</x:v>
      </x:c>
      <x:c r="W192" s="82" t="str">
        <x:v>https://hotwheels.fandom.com/wiki/Porsche_Boxster_Spyder_(Micro)</x:v>
      </x:c>
      <x:c r="X192" s="82" t="str">
        <x:v>https://hotwheels.fandom.com/wiki/Porsche_Boxster_Spyder_(Micro)</x:v>
      </x:c>
    </x:row>
    <x:row r="193">
      <x:c r="A193" s="80" t="str">
        <x:v>Não</x:v>
      </x:c>
      <x:c r="B193" s="80" t="str">
        <x:v>Fora da meta principal</x:v>
      </x:c>
      <x:c r="C193" s="81" t="n">
        <x:v>1999</x:v>
      </x:c>
      <x:c r="D193" s="80" t="str">
        <x:v>Porsche Boxster Spyder (Micro)</x:v>
      </x:c>
      <x:c r="E193" s="80" t="str">
        <x:v>Porsche Boxster Spyder (Micro)</x:v>
      </x:c>
      <x:c r="F193" s="82" t="str">
        <x:v>Planet Micro Sport Cars Series 5</x:v>
      </x:c>
      <x:c r="G193" s="80" t="str"/>
      <x:c r="H193" s="80" t="str"/>
      <x:c r="I193" s="83" t="str"/>
      <x:c r="J193" s="80" t="str">
        <x:v>Orange</x:v>
      </x:c>
      <x:c r="K193" s="82" t="str"/>
      <x:c r="L193" s="82" t="str">
        <x:v>MPM5SP</x:v>
      </x:c>
      <x:c r="M193" s="82" t="str">
        <x:v>Metal</x:v>
      </x:c>
      <x:c r="N193" s="82" t="str">
        <x:v>Grey</x:v>
      </x:c>
      <x:c r="O193" s="82" t="str"/>
      <x:c r="P193" s="82" t="str">
        <x:v>China</x:v>
      </x:c>
      <x:c r="Q193" s="82" t="str"/>
      <x:c r="R193" s="82" t="str">
        <x:v>Outra linha</x:v>
      </x:c>
      <x:c r="S193" s="82" t="str">
        <x:v>Rara</x:v>
      </x:c>
      <x:c r="T193" s="82" t="str">
        <x:v>Lançado</x:v>
      </x:c>
      <x:c r="U193" s="82" t="str"/>
      <x:c r="V193" s="80" t="str">
        <x:v>Micro</x:v>
      </x:c>
      <x:c r="W193" s="82" t="str">
        <x:v>https://hotwheels.fandom.com/wiki/Porsche_Boxster_Spyder_(Micro)</x:v>
      </x:c>
      <x:c r="X193" s="82" t="str">
        <x:v>https://hotwheels.fandom.com/wiki/Porsche_Boxster_Spyder_(Micro)</x:v>
      </x:c>
    </x:row>
    <x:row r="194">
      <x:c r="A194" s="80" t="str">
        <x:v>Não</x:v>
      </x:c>
      <x:c r="B194" s="80" t="str">
        <x:v>Fora da meta principal</x:v>
      </x:c>
      <x:c r="C194" s="81" t="n">
        <x:v>1998</x:v>
      </x:c>
      <x:c r="D194" s="80" t="str">
        <x:v>Porsche 356 Speedster (1:43)</x:v>
      </x:c>
      <x:c r="E194" s="80" t="str">
        <x:v>1959 Porsche 356</x:v>
      </x:c>
      <x:c r="F194" s="82" t="str">
        <x:v>Hot Wheels Collectibles Italy</x:v>
      </x:c>
      <x:c r="G194" s="80" t="str"/>
      <x:c r="H194" s="80" t="str"/>
      <x:c r="I194" s="83" t="str">
        <x:v>22186</x:v>
      </x:c>
      <x:c r="J194" s="80" t="str">
        <x:v>Lime Green</x:v>
      </x:c>
      <x:c r="K194" s="82" t="str">
        <x:v>Headlights &amp; signals, Taillights, Black engine deck vent</x:v>
      </x:c>
      <x:c r="L194" s="82" t="str"/>
      <x:c r="M194" s="82" t="str">
        <x:v>Black / / / Plastic</x:v>
      </x:c>
      <x:c r="N194" s="82" t="str">
        <x:v>Clear</x:v>
      </x:c>
      <x:c r="O194" s="82" t="str">
        <x:v>Charcoal</x:v>
      </x:c>
      <x:c r="P194" s="82" t="str">
        <x:v>China</x:v>
      </x:c>
      <x:c r="Q194" s="82" t="str"/>
      <x:c r="R194" s="82" t="str">
        <x:v>100% / Collectibles</x:v>
      </x:c>
      <x:c r="S194" s="82" t="str">
        <x:v>Rara</x:v>
      </x:c>
      <x:c r="T194" s="82" t="str">
        <x:v>Lançado</x:v>
      </x:c>
      <x:c r="U194" s="82" t="str">
        <x:v>Named 1959 Porsche 356</x:v>
      </x:c>
      <x:c r="V194" s="80" t="str">
        <x:v>Escala 1:43</x:v>
      </x:c>
      <x:c r="W194" s="82" t="str">
        <x:v>https://hotwheels.fandom.com/wiki/Porsche_356_Speedster_(1:43)</x:v>
      </x:c>
      <x:c r="X194" s="82" t="str">
        <x:v>https://hotwheels.fandom.com/wiki/Porsche_356_Speedster_(1:43)</x:v>
      </x:c>
    </x:row>
    <x:row r="195">
      <x:c r="A195" s="80" t="str">
        <x:v>Não</x:v>
      </x:c>
      <x:c r="B195" s="80" t="str">
        <x:v>Fora da meta principal</x:v>
      </x:c>
      <x:c r="C195" s="81" t="n">
        <x:v>1998</x:v>
      </x:c>
      <x:c r="D195" s="80" t="str">
        <x:v>Porsche 356 Speedster (1:43)</x:v>
      </x:c>
      <x:c r="E195" s="80" t="str">
        <x:v>1959 Porsche 356</x:v>
      </x:c>
      <x:c r="F195" s="82" t="str">
        <x:v>Hot Wheels Collectibles Italy</x:v>
      </x:c>
      <x:c r="G195" s="80" t="str"/>
      <x:c r="H195" s="80" t="str"/>
      <x:c r="I195" s="83" t="str"/>
      <x:c r="J195" s="80" t="str">
        <x:v>Silver</x:v>
      </x:c>
      <x:c r="K195" s="82" t="str"/>
      <x:c r="L195" s="82" t="str"/>
      <x:c r="M195" s="82" t="str">
        <x:v>Black&lt; / / / Plastic</x:v>
      </x:c>
      <x:c r="N195" s="82" t="str">
        <x:v>Clear</x:v>
      </x:c>
      <x:c r="O195" s="82" t="str">
        <x:v>Black</x:v>
      </x:c>
      <x:c r="P195" s="82" t="str"/>
      <x:c r="Q195" s="82" t="str"/>
      <x:c r="R195" s="82" t="str">
        <x:v>100% / Collectibles</x:v>
      </x:c>
      <x:c r="S195" s="82" t="str">
        <x:v>Rara</x:v>
      </x:c>
      <x:c r="T195" s="82" t="str">
        <x:v>Lançado</x:v>
      </x:c>
      <x:c r="U195" s="82" t="str"/>
      <x:c r="V195" s="80" t="str">
        <x:v>Escala 1:43</x:v>
      </x:c>
      <x:c r="W195" s="82" t="str">
        <x:v>https://hotwheels.fandom.com/wiki/Porsche_356_Speedster_(1:43)</x:v>
      </x:c>
      <x:c r="X195" s="82" t="str">
        <x:v>https://hotwheels.fandom.com/wiki/Porsche_356_Speedster_(1:43)</x:v>
      </x:c>
    </x:row>
    <x:row r="196">
      <x:c r="A196" s="80" t="str">
        <x:v>Não</x:v>
      </x:c>
      <x:c r="B196" s="80" t="str">
        <x:v>Fora da meta principal</x:v>
      </x:c>
      <x:c r="C196" s="81" t="n">
        <x:v>1998</x:v>
      </x:c>
      <x:c r="D196" s="80" t="str">
        <x:v>Porsche 911 GT1 (Motorized X-V Racers)</x:v>
      </x:c>
      <x:c r="E196" s="80" t="str">
        <x:v>Porsche 911 GT1 (Motorized X-V Racers)</x:v>
      </x:c>
      <x:c r="F196" s="82" t="str">
        <x:v>Motorized X-V Racers</x:v>
      </x:c>
      <x:c r="G196" s="80" t="str"/>
      <x:c r="H196" s="80" t="str"/>
      <x:c r="I196" s="83" t="str">
        <x:v>N/A</x:v>
      </x:c>
      <x:c r="J196" s="80" t="str"/>
      <x:c r="K196" s="82" t="str"/>
      <x:c r="L196" s="82" t="str"/>
      <x:c r="M196" s="82" t="str"/>
      <x:c r="N196" s="82" t="str"/>
      <x:c r="O196" s="82" t="str"/>
      <x:c r="P196" s="82" t="str"/>
      <x:c r="Q196" s="82" t="str"/>
      <x:c r="R196" s="82" t="str">
        <x:v>Outra linha</x:v>
      </x:c>
      <x:c r="S196" s="82" t="str">
        <x:v>Rara</x:v>
      </x:c>
      <x:c r="T196" s="82" t="str">
        <x:v>Não lançado / fora da meta</x:v>
      </x:c>
      <x:c r="U196" s="82" t="str">
        <x:v>not released</x:v>
      </x:c>
      <x:c r="V196" s="80" t="str">
        <x:v>Não lançado / protótipo</x:v>
      </x:c>
      <x:c r="W196" s="82" t="str">
        <x:v>https://hotwheels.fandom.com/wiki/Porsche</x:v>
      </x:c>
      <x:c r="X196" s="82" t="str">
        <x:v>https://hotwheels.fandom.com/wiki/Porsche_911_GT1_(Motorized_X-V_Racers)</x:v>
      </x:c>
    </x:row>
    <x:row r="197">
      <x:c r="A197" s="80" t="str">
        <x:v>Não</x:v>
      </x:c>
      <x:c r="B197" s="80" t="str">
        <x:v>Fora da meta principal</x:v>
      </x:c>
      <x:c r="C197" s="81" t="n">
        <x:v>1998</x:v>
      </x:c>
      <x:c r="D197" s="80" t="str">
        <x:v>Porsche Boxster Spyder (Micro)</x:v>
      </x:c>
      <x:c r="E197" s="80" t="str">
        <x:v>Porsche Boxster Spyder (Micro)</x:v>
      </x:c>
      <x:c r="F197" s="82" t="str">
        <x:v>Planet Micro Sport Cars Series 2</x:v>
      </x:c>
      <x:c r="G197" s="80" t="str"/>
      <x:c r="H197" s="80" t="str"/>
      <x:c r="I197" s="83" t="str"/>
      <x:c r="J197" s="80" t="str">
        <x:v>Purple</x:v>
      </x:c>
      <x:c r="K197" s="82" t="str">
        <x:v>Orange &amp; Yellow flames</x:v>
      </x:c>
      <x:c r="L197" s="82" t="str">
        <x:v>MPM5SP</x:v>
      </x:c>
      <x:c r="M197" s="82" t="str">
        <x:v>Metal</x:v>
      </x:c>
      <x:c r="N197" s="82" t="str">
        <x:v>Grey</x:v>
      </x:c>
      <x:c r="O197" s="82" t="str"/>
      <x:c r="P197" s="82" t="str">
        <x:v>China</x:v>
      </x:c>
      <x:c r="Q197" s="82" t="str"/>
      <x:c r="R197" s="82" t="str">
        <x:v>Outra linha</x:v>
      </x:c>
      <x:c r="S197" s="82" t="str">
        <x:v>Rara</x:v>
      </x:c>
      <x:c r="T197" s="82" t="str">
        <x:v>Lançado</x:v>
      </x:c>
      <x:c r="U197" s="82" t="str"/>
      <x:c r="V197" s="80" t="str">
        <x:v>Micro</x:v>
      </x:c>
      <x:c r="W197" s="82" t="str">
        <x:v>https://hotwheels.fandom.com/wiki/Porsche_Boxster_Spyder_(Micro)</x:v>
      </x:c>
      <x:c r="X197" s="82" t="str">
        <x:v>https://hotwheels.fandom.com/wiki/Porsche_Boxster_Spyder_(Micro)</x:v>
      </x:c>
    </x:row>
    <x:row r="198">
      <x:c r="A198" s="80" t="str">
        <x:v>Não</x:v>
      </x:c>
      <x:c r="B198" s="80" t="str">
        <x:v>Fora da meta principal</x:v>
      </x:c>
      <x:c r="C198" s="81" t="n">
        <x:v>1997</x:v>
      </x:c>
      <x:c r="D198" s="80" t="str">
        <x:v>Porsche Boxster Spyder (Micro)</x:v>
      </x:c>
      <x:c r="E198" s="80" t="str">
        <x:v>Porsche Boxster Spyder (Micro)</x:v>
      </x:c>
      <x:c r="F198" s="82" t="str">
        <x:v>Planet Micro</x:v>
      </x:c>
      <x:c r="G198" s="80" t="str"/>
      <x:c r="H198" s="80" t="str"/>
      <x:c r="I198" s="83" t="str">
        <x:v>N/A</x:v>
      </x:c>
      <x:c r="J198" s="80" t="str"/>
      <x:c r="K198" s="82" t="str"/>
      <x:c r="L198" s="82" t="str"/>
      <x:c r="M198" s="82" t="str"/>
      <x:c r="N198" s="82" t="str"/>
      <x:c r="O198" s="82" t="str"/>
      <x:c r="P198" s="82" t="str"/>
      <x:c r="Q198" s="82" t="str"/>
      <x:c r="R198" s="82" t="str">
        <x:v>Outra linha</x:v>
      </x:c>
      <x:c r="S198" s="82" t="str">
        <x:v>Rara</x:v>
      </x:c>
      <x:c r="T198" s="82" t="str">
        <x:v>Lançado</x:v>
      </x:c>
      <x:c r="U198" s="82" t="str"/>
      <x:c r="V198" s="80" t="str">
        <x:v>Micro</x:v>
      </x:c>
      <x:c r="W198" s="82" t="str">
        <x:v>https://hotwheels.fandom.com/wiki/Porsche</x:v>
      </x:c>
      <x:c r="X198" s="82" t="str">
        <x:v>https://hotwheels.fandom.com/wiki/Porsche_Boxster_Spyder_(Micro)</x:v>
      </x:c>
    </x:row>
    <x:row r="199">
      <x:c r="A199" s="80" t="str">
        <x:v>Não</x:v>
      </x:c>
      <x:c r="B199" s="80" t="str">
        <x:v>Fora da meta principal</x:v>
      </x:c>
      <x:c r="C199" s="81" t="n">
        <x:v>1997</x:v>
      </x:c>
      <x:c r="D199" s="80" t="str">
        <x:v>Porsche Boxster Spyder (Micro)</x:v>
      </x:c>
      <x:c r="E199" s="80" t="str">
        <x:v>Porsche Boxster Spyder (Micro)</x:v>
      </x:c>
      <x:c r="F199" s="82" t="str">
        <x:v>Planet Micro Sport Cars Series 1</x:v>
      </x:c>
      <x:c r="G199" s="80" t="str"/>
      <x:c r="H199" s="80" t="str"/>
      <x:c r="I199" s="83" t="str"/>
      <x:c r="J199" s="80" t="str">
        <x:v>White</x:v>
      </x:c>
      <x:c r="K199" s="82" t="str"/>
      <x:c r="L199" s="82" t="str">
        <x:v>MPM5SP</x:v>
      </x:c>
      <x:c r="M199" s="82" t="str">
        <x:v>Metal</x:v>
      </x:c>
      <x:c r="N199" s="82" t="str">
        <x:v>Grey</x:v>
      </x:c>
      <x:c r="O199" s="82" t="str"/>
      <x:c r="P199" s="82" t="str">
        <x:v>China</x:v>
      </x:c>
      <x:c r="Q199" s="82" t="str"/>
      <x:c r="R199" s="82" t="str">
        <x:v>Outra linha</x:v>
      </x:c>
      <x:c r="S199" s="82" t="str">
        <x:v>Rara</x:v>
      </x:c>
      <x:c r="T199" s="82" t="str">
        <x:v>Lançado</x:v>
      </x:c>
      <x:c r="U199" s="82" t="str"/>
      <x:c r="V199" s="80" t="str">
        <x:v>Micro</x:v>
      </x:c>
      <x:c r="W199" s="82" t="str">
        <x:v>https://hotwheels.fandom.com/wiki/Porsche_Boxster_Spyder_(Micro)</x:v>
      </x:c>
      <x:c r="X199" s="82" t="str">
        <x:v>https://hotwheels.fandom.com/wiki/Porsche_Boxster_Spyder_(Micro)</x:v>
      </x:c>
    </x:row>
    <x:row r="200">
      <x:c r="A200" s="80" t="str">
        <x:v>Não</x:v>
      </x:c>
      <x:c r="B200" s="80" t="str">
        <x:v>Fora da meta principal</x:v>
      </x:c>
      <x:c r="C200" s="81" t="n">
        <x:v>1996</x:v>
      </x:c>
      <x:c r="D200" s="80" t="str">
        <x:v>Porsche 911 Carrera (1:43 Turbos Collection)</x:v>
      </x:c>
      <x:c r="E200" s="80" t="str">
        <x:v>Porsche 911 Carrera (1:43 Turbos Collection</x:v>
      </x:c>
      <x:c r="F200" s="82" t="str">
        <x:v>1:43 Turbos Collection</x:v>
      </x:c>
      <x:c r="G200" s="80" t="str"/>
      <x:c r="H200" s="80" t="str"/>
      <x:c r="I200" s="83" t="str">
        <x:v>94210</x:v>
      </x:c>
      <x:c r="J200" s="80" t="str">
        <x:v>White</x:v>
      </x:c>
      <x:c r="K200" s="82" t="str">
        <x:v>Red, orange, and black “STATION GARAGE”, “SG”, “SHEPPERTON”, “BFGoodrich”, “CARRERA”, “1”</x:v>
      </x:c>
      <x:c r="L200" s="82" t="str">
        <x:v>Corgi6</x:v>
      </x:c>
      <x:c r="M200" s="82" t="str">
        <x:v>Black / / / Plastic</x:v>
      </x:c>
      <x:c r="N200" s="82" t="str">
        <x:v>Clear</x:v>
      </x:c>
      <x:c r="O200" s="82" t="str">
        <x:v>Black</x:v>
      </x:c>
      <x:c r="P200" s="82" t="str">
        <x:v>China</x:v>
      </x:c>
      <x:c r="Q200" s="82" t="str"/>
      <x:c r="R200" s="82" t="str">
        <x:v>Outra linha</x:v>
      </x:c>
      <x:c r="S200" s="82" t="str">
        <x:v>Rara</x:v>
      </x:c>
      <x:c r="T200" s="82" t="str">
        <x:v>Lançado</x:v>
      </x:c>
      <x:c r="U200" s="82" t="str">
        <x:v>Corgi logo on base</x:v>
      </x:c>
      <x:c r="V200" s="80" t="str">
        <x:v>Escala 1:43</x:v>
      </x:c>
      <x:c r="W200" s="82" t="str">
        <x:v>https://hotwheels.fandom.com/wiki/Porsche_911_Carrera_(1:43_Turbos_Collection)</x:v>
      </x:c>
      <x:c r="X200" s="82" t="str">
        <x:v>https://hotwheels.fandom.com/wiki/Porsche_911_Carrera_(1:43_Turbos_Collection)</x:v>
      </x:c>
    </x:row>
    <x:row r="201">
      <x:c r="A201" s="80" t="str">
        <x:v>Não</x:v>
      </x:c>
      <x:c r="B201" s="80" t="str">
        <x:v>Fora da meta principal</x:v>
      </x:c>
      <x:c r="C201" s="81" t="n">
        <x:v>1996</x:v>
      </x:c>
      <x:c r="D201" s="80" t="str">
        <x:v>Porsche 956 (1:43 Turbos Collection)</x:v>
      </x:c>
      <x:c r="E201" s="80" t="str">
        <x:v>Porsche 956 (1:43 Turbos Collection)</x:v>
      </x:c>
      <x:c r="F201" s="82" t="str">
        <x:v>1:43 Turbos Collection</x:v>
      </x:c>
      <x:c r="G201" s="80" t="str"/>
      <x:c r="H201" s="80" t="str"/>
      <x:c r="I201" s="83" t="str">
        <x:v>94210</x:v>
      </x:c>
      <x:c r="J201" s="80" t="str">
        <x:v>Black</x:v>
      </x:c>
      <x:c r="K201" s="82" t="str">
        <x:v>Yellow, red, and white “PORSCHE 956 TURBO”, “DUNLOP”, “SHELL”, HW logo</x:v>
      </x:c>
      <x:c r="L201" s="82" t="str">
        <x:v>Corgi6</x:v>
      </x:c>
      <x:c r="M201" s="82" t="str">
        <x:v>Black / Plastic</x:v>
      </x:c>
      <x:c r="N201" s="82" t="str">
        <x:v>Clear</x:v>
      </x:c>
      <x:c r="O201" s="82" t="str">
        <x:v>Black</x:v>
      </x:c>
      <x:c r="P201" s="82" t="str">
        <x:v>China</x:v>
      </x:c>
      <x:c r="Q201" s="82" t="str"/>
      <x:c r="R201" s="82" t="str">
        <x:v>Outra linha</x:v>
      </x:c>
      <x:c r="S201" s="82" t="str">
        <x:v>Rara</x:v>
      </x:c>
      <x:c r="T201" s="82" t="str">
        <x:v>Lançado</x:v>
      </x:c>
      <x:c r="U201" s="82" t="str">
        <x:v>Corgi logo on base</x:v>
      </x:c>
      <x:c r="V201" s="80" t="str">
        <x:v>Escala 1:43</x:v>
      </x:c>
      <x:c r="W201" s="82" t="str">
        <x:v>https://hotwheels.fandom.com/wiki/Porsche_956_(1:43_Turbos_Collection)</x:v>
      </x:c>
      <x:c r="X201" s="82" t="str">
        <x:v>https://hotwheels.fandom.com/wiki/Porsche_956_(1:43_Turbos_Collection)</x:v>
      </x:c>
    </x:row>
    <x:row r="202">
      <x:c r="A202" s="80" t="str">
        <x:v>Não</x:v>
      </x:c>
      <x:c r="B202" s="80" t="str">
        <x:v>Fora da meta principal</x:v>
      </x:c>
      <x:c r="C202" s="81" t="n">
        <x:v>1996</x:v>
      </x:c>
      <x:c r="D202" s="80" t="str">
        <x:v>Porsche 956 (1:43 Turbos Collection)</x:v>
      </x:c>
      <x:c r="E202" s="80" t="str">
        <x:v>Porsche 956 (1:43 Turbos Collection)</x:v>
      </x:c>
      <x:c r="F202" s="82" t="str">
        <x:v>1:43 Turbos Collection</x:v>
      </x:c>
      <x:c r="G202" s="80" t="str"/>
      <x:c r="H202" s="80" t="str"/>
      <x:c r="I202" s="83" t="str">
        <x:v>94210</x:v>
      </x:c>
      <x:c r="J202" s="80" t="str">
        <x:v>Yellow</x:v>
      </x:c>
      <x:c r="K202" s="82" t="str">
        <x:v>Black and white “taka-Q”, “BLAUPUNKT”, “BP”, “BILSTEIN”, “BOSCH”, “7”</x:v>
      </x:c>
      <x:c r="L202" s="82" t="str">
        <x:v>Corgi6</x:v>
      </x:c>
      <x:c r="M202" s="82" t="str">
        <x:v>Black / Plastic</x:v>
      </x:c>
      <x:c r="N202" s="82" t="str">
        <x:v>Clear</x:v>
      </x:c>
      <x:c r="O202" s="82" t="str">
        <x:v>Black</x:v>
      </x:c>
      <x:c r="P202" s="82" t="str">
        <x:v>China</x:v>
      </x:c>
      <x:c r="Q202" s="82" t="str"/>
      <x:c r="R202" s="82" t="str">
        <x:v>Outra linha</x:v>
      </x:c>
      <x:c r="S202" s="82" t="str">
        <x:v>Rara</x:v>
      </x:c>
      <x:c r="T202" s="82" t="str">
        <x:v>Lançado</x:v>
      </x:c>
      <x:c r="U202" s="82" t="str">
        <x:v>Corgi logo on base</x:v>
      </x:c>
      <x:c r="V202" s="80" t="str">
        <x:v>Escala 1:43</x:v>
      </x:c>
      <x:c r="W202" s="82" t="str">
        <x:v>https://hotwheels.fandom.com/wiki/Porsche_956_(1:43_Turbos_Collection)</x:v>
      </x:c>
      <x:c r="X202" s="82" t="str">
        <x:v>https://hotwheels.fandom.com/wiki/Porsche_956_(1:43_Turbos_Collection)</x:v>
      </x:c>
    </x:row>
    <x:row r="203">
      <x:c r="A203" s="80" t="str">
        <x:v>Não</x:v>
      </x:c>
      <x:c r="B203" s="80" t="str">
        <x:v>Fora da meta principal</x:v>
      </x:c>
      <x:c r="C203" s="81" t="n">
        <x:v>1996</x:v>
      </x:c>
      <x:c r="D203" s="80" t="str">
        <x:v>Porsche Boxster (prototype)</x:v>
      </x:c>
      <x:c r="E203" s="80" t="str">
        <x:v>Porsche Boxster (prototype)</x:v>
      </x:c>
      <x:c r="F203" s="82" t="str">
        <x:v>1996 First Editions</x:v>
      </x:c>
      <x:c r="G203" s="80" t="str"/>
      <x:c r="H203" s="80" t="str"/>
      <x:c r="I203" s="83" t="str">
        <x:v>N/A</x:v>
      </x:c>
      <x:c r="J203" s="80" t="str"/>
      <x:c r="K203" s="82" t="str"/>
      <x:c r="L203" s="82" t="str"/>
      <x:c r="M203" s="82" t="str"/>
      <x:c r="N203" s="82" t="str"/>
      <x:c r="O203" s="82" t="str"/>
      <x:c r="P203" s="82" t="str"/>
      <x:c r="Q203" s="82" t="str"/>
      <x:c r="R203" s="82" t="str">
        <x:v>Outra linha</x:v>
      </x:c>
      <x:c r="S203" s="82" t="str">
        <x:v>Rara</x:v>
      </x:c>
      <x:c r="T203" s="82" t="str">
        <x:v>Não lançado / fora da meta</x:v>
      </x:c>
      <x:c r="U203" s="82" t="str">
        <x:v>not released</x:v>
      </x:c>
      <x:c r="V203" s="80" t="str">
        <x:v>Não lançado / protótipo</x:v>
      </x:c>
      <x:c r="W203" s="82" t="str">
        <x:v>https://hotwheels.fandom.com/wiki/Porsche</x:v>
      </x:c>
      <x:c r="X203" s="82" t="str">
        <x:v>https://hotwheels.fandom.com/wiki/Porsche_Boxster_(prototype)</x:v>
      </x:c>
    </x:row>
    <x:row r="204">
      <x:c r="A204" s="80" t="str">
        <x:v>Não</x:v>
      </x:c>
      <x:c r="B204" s="80" t="str">
        <x:v>Fora da meta principal</x:v>
      </x:c>
      <x:c r="C204" s="81" t="n">
        <x:v>1990</x:v>
      </x:c>
      <x:c r="D204" s="80" t="str">
        <x:v>Porsche 911 (micro)</x:v>
      </x:c>
      <x:c r="E204" s="80" t="str">
        <x:v>Porsche 911 (micro)</x:v>
      </x:c>
      <x:c r="F204" s="82" t="str">
        <x:v>Micro Chroma Hot Wheels Series II Collection II</x:v>
      </x:c>
      <x:c r="G204" s="80" t="str"/>
      <x:c r="H204" s="80" t="str"/>
      <x:c r="I204" s="83" t="str">
        <x:v>4983</x:v>
      </x:c>
      <x:c r="J204" s="80" t="str">
        <x:v>Blue Chrome</x:v>
      </x:c>
      <x:c r="K204" s="82" t="str"/>
      <x:c r="L204" s="82" t="str">
        <x:v>MGW</x:v>
      </x:c>
      <x:c r="M204" s="82" t="str">
        <x:v>Black / Plastic</x:v>
      </x:c>
      <x:c r="N204" s="82" t="str">
        <x:v>Black</x:v>
      </x:c>
      <x:c r="O204" s="82" t="str"/>
      <x:c r="P204" s="82" t="str">
        <x:v>Malaysia</x:v>
      </x:c>
      <x:c r="Q204" s="82" t="str"/>
      <x:c r="R204" s="82" t="str">
        <x:v>Outra linha</x:v>
      </x:c>
      <x:c r="S204" s="82" t="str">
        <x:v>Rara</x:v>
      </x:c>
      <x:c r="T204" s="82" t="str">
        <x:v>Lançado</x:v>
      </x:c>
      <x:c r="U204" s="82" t="str"/>
      <x:c r="V204" s="80" t="str">
        <x:v>Micro</x:v>
      </x:c>
      <x:c r="W204" s="82" t="str">
        <x:v>https://hotwheels.fandom.com/wiki/Porsche_911_(micro)</x:v>
      </x:c>
      <x:c r="X204" s="82" t="str">
        <x:v>https://hotwheels.fandom.com/wiki/Porsche_911_(micro)</x:v>
      </x:c>
    </x:row>
    <x:row r="205">
      <x:c r="A205" s="80" t="str">
        <x:v>Não</x:v>
      </x:c>
      <x:c r="B205" s="80" t="str">
        <x:v>Fora da meta principal</x:v>
      </x:c>
      <x:c r="C205" s="81" t="n">
        <x:v>1990</x:v>
      </x:c>
      <x:c r="D205" s="80" t="str">
        <x:v>Porsche 911 (micro)</x:v>
      </x:c>
      <x:c r="E205" s="80" t="str">
        <x:v>Porsche 911 (micro)</x:v>
      </x:c>
      <x:c r="F205" s="82" t="str">
        <x:v>Micro Hot Wheels Color Racers Big Rigger</x:v>
      </x:c>
      <x:c r="G205" s="80" t="str"/>
      <x:c r="H205" s="80" t="str"/>
      <x:c r="I205" s="83" t="str">
        <x:v>3989</x:v>
      </x:c>
      <x:c r="J205" s="80" t="str">
        <x:v>Blue</x:v>
      </x:c>
      <x:c r="K205" s="82" t="str">
        <x:v>Light Blue Stripe &amp; Purple, Turbo On sides</x:v>
      </x:c>
      <x:c r="L205" s="82" t="str">
        <x:v>MGW</x:v>
      </x:c>
      <x:c r="M205" s="82" t="str">
        <x:v>Black / Plastic</x:v>
      </x:c>
      <x:c r="N205" s="82" t="str">
        <x:v>Black</x:v>
      </x:c>
      <x:c r="O205" s="82" t="str"/>
      <x:c r="P205" s="82" t="str">
        <x:v>Malaysia</x:v>
      </x:c>
      <x:c r="Q205" s="82" t="str"/>
      <x:c r="R205" s="82" t="str">
        <x:v>Outra linha</x:v>
      </x:c>
      <x:c r="S205" s="82" t="str">
        <x:v>Rara</x:v>
      </x:c>
      <x:c r="T205" s="82" t="str">
        <x:v>Lançado</x:v>
      </x:c>
      <x:c r="U205" s="82" t="str"/>
      <x:c r="V205" s="80" t="str">
        <x:v>Micro</x:v>
      </x:c>
      <x:c r="W205" s="82" t="str">
        <x:v>https://hotwheels.fandom.com/wiki/Porsche_911_(micro)</x:v>
      </x:c>
      <x:c r="X205" s="82" t="str">
        <x:v>https://hotwheels.fandom.com/wiki/Porsche_911_(micro)</x:v>
      </x:c>
    </x:row>
    <x:row r="206">
      <x:c r="A206" s="80" t="str">
        <x:v>Não</x:v>
      </x:c>
      <x:c r="B206" s="80" t="str">
        <x:v>Fora da meta principal</x:v>
      </x:c>
      <x:c r="C206" s="81" t="n">
        <x:v>1990</x:v>
      </x:c>
      <x:c r="D206" s="80" t="str">
        <x:v>Porsche 911 (micro)</x:v>
      </x:c>
      <x:c r="E206" s="80" t="str">
        <x:v>Porsche 911 (micro)</x:v>
      </x:c>
      <x:c r="F206" s="82" t="str">
        <x:v>Micro Hot Wheels Color Racers Street Pack</x:v>
      </x:c>
      <x:c r="G206" s="80" t="str"/>
      <x:c r="H206" s="80" t="str"/>
      <x:c r="I206" s="83" t="str">
        <x:v>3227</x:v>
      </x:c>
      <x:c r="J206" s="80" t="str">
        <x:v>Blue to Green</x:v>
      </x:c>
      <x:c r="K206" s="82" t="str">
        <x:v>Orange &amp; Green stripes, "Turbo" on hood</x:v>
      </x:c>
      <x:c r="L206" s="82" t="str">
        <x:v>MGW</x:v>
      </x:c>
      <x:c r="M206" s="82" t="str">
        <x:v>Black / Plastic</x:v>
      </x:c>
      <x:c r="N206" s="82" t="str">
        <x:v>Black</x:v>
      </x:c>
      <x:c r="O206" s="82" t="str"/>
      <x:c r="P206" s="82" t="str">
        <x:v>Malaysia</x:v>
      </x:c>
      <x:c r="Q206" s="82" t="str"/>
      <x:c r="R206" s="82" t="str">
        <x:v>Outra linha</x:v>
      </x:c>
      <x:c r="S206" s="82" t="str">
        <x:v>Rara</x:v>
      </x:c>
      <x:c r="T206" s="82" t="str">
        <x:v>Lançado</x:v>
      </x:c>
      <x:c r="U206" s="82" t="str">
        <x:v>Pictured with a Color Racers</x:v>
      </x:c>
      <x:c r="V206" s="80" t="str">
        <x:v>Micro</x:v>
      </x:c>
      <x:c r="W206" s="82" t="str">
        <x:v>https://hotwheels.fandom.com/wiki/Porsche_911_(micro)</x:v>
      </x:c>
      <x:c r="X206" s="82" t="str">
        <x:v>https://hotwheels.fandom.com/wiki/Porsche_911_(micro)</x:v>
      </x:c>
    </x:row>
    <x:row r="207">
      <x:c r="A207" s="80" t="str">
        <x:v>Não</x:v>
      </x:c>
      <x:c r="B207" s="80" t="str">
        <x:v>Fora da meta principal</x:v>
      </x:c>
      <x:c r="C207" s="81" t="n">
        <x:v>1990</x:v>
      </x:c>
      <x:c r="D207" s="80" t="str">
        <x:v>Porsche 911 (micro)</x:v>
      </x:c>
      <x:c r="E207" s="80" t="str">
        <x:v>Porsche 911 (micro)</x:v>
      </x:c>
      <x:c r="F207" s="82" t="str">
        <x:v>Micro Hot Wheels Light Racers</x:v>
      </x:c>
      <x:c r="G207" s="80" t="str"/>
      <x:c r="H207" s="80" t="str"/>
      <x:c r="I207" s="83" t="str">
        <x:v>1213</x:v>
      </x:c>
      <x:c r="J207" s="80" t="str">
        <x:v>Metalflake Silver</x:v>
      </x:c>
      <x:c r="K207" s="82" t="str">
        <x:v>Blue Turbo logo on side</x:v>
      </x:c>
      <x:c r="L207" s="82" t="str">
        <x:v>MGW</x:v>
      </x:c>
      <x:c r="M207" s="82" t="str">
        <x:v>Grey</x:v>
      </x:c>
      <x:c r="N207" s="82" t="str">
        <x:v>Black</x:v>
      </x:c>
      <x:c r="O207" s="82" t="str"/>
      <x:c r="P207" s="82" t="str">
        <x:v>Malaysia</x:v>
      </x:c>
      <x:c r="Q207" s="82" t="str"/>
      <x:c r="R207" s="82" t="str">
        <x:v>Outra linha</x:v>
      </x:c>
      <x:c r="S207" s="82" t="str">
        <x:v>Rara</x:v>
      </x:c>
      <x:c r="T207" s="82" t="str">
        <x:v>Lançado</x:v>
      </x:c>
      <x:c r="U207" s="82" t="str">
        <x:v>Has a Battery &amp; a switch</x:v>
      </x:c>
      <x:c r="V207" s="80" t="str">
        <x:v>Micro</x:v>
      </x:c>
      <x:c r="W207" s="82" t="str">
        <x:v>https://hotwheels.fandom.com/wiki/Porsche_911_(micro)</x:v>
      </x:c>
      <x:c r="X207" s="82" t="str">
        <x:v>https://hotwheels.fandom.com/wiki/Porsche_911_(micro)</x:v>
      </x:c>
    </x:row>
    <x:row r="208">
      <x:c r="A208" s="80" t="str">
        <x:v>Não</x:v>
      </x:c>
      <x:c r="B208" s="80" t="str">
        <x:v>Fora da meta principal</x:v>
      </x:c>
      <x:c r="C208" s="81" t="n">
        <x:v>1990</x:v>
      </x:c>
      <x:c r="D208" s="80" t="str">
        <x:v>Porsche 911 (micro)</x:v>
      </x:c>
      <x:c r="E208" s="80" t="str">
        <x:v>Porsche 911 (micro)</x:v>
      </x:c>
      <x:c r="F208" s="82" t="str">
        <x:v>Micro Hot Wheels Speed Blaster</x:v>
      </x:c>
      <x:c r="G208" s="80" t="str"/>
      <x:c r="H208" s="80" t="str"/>
      <x:c r="I208" s="83" t="str">
        <x:v>3601</x:v>
      </x:c>
      <x:c r="J208" s="80" t="str">
        <x:v>Green / White</x:v>
      </x:c>
      <x:c r="K208" s="82" t="str">
        <x:v>Orange, Green Stripes, Green "Turbo"</x:v>
      </x:c>
      <x:c r="L208" s="82" t="str">
        <x:v>MGW</x:v>
      </x:c>
      <x:c r="M208" s="82" t="str">
        <x:v>Chrome / Plastic</x:v>
      </x:c>
      <x:c r="N208" s="82" t="str">
        <x:v>Black solid</x:v>
      </x:c>
      <x:c r="O208" s="82" t="str">
        <x:v>N/A</x:v>
      </x:c>
      <x:c r="P208" s="82" t="str">
        <x:v>Malaysia</x:v>
      </x:c>
      <x:c r="Q208" s="82" t="str"/>
      <x:c r="R208" s="82" t="str">
        <x:v>Outra linha</x:v>
      </x:c>
      <x:c r="S208" s="82" t="str">
        <x:v>Rara</x:v>
      </x:c>
      <x:c r="T208" s="82" t="str">
        <x:v>Lançado</x:v>
      </x:c>
      <x:c r="U208" s="82" t="str"/>
      <x:c r="V208" s="80" t="str">
        <x:v>Micro</x:v>
      </x:c>
      <x:c r="W208" s="82" t="str">
        <x:v>https://hotwheels.fandom.com/wiki/Porsche_911_(micro)</x:v>
      </x:c>
      <x:c r="X208" s="82" t="str">
        <x:v>https://hotwheels.fandom.com/wiki/Porsche_911_(micro)</x:v>
      </x:c>
    </x:row>
    <x:row r="209">
      <x:c r="A209" s="80" t="str">
        <x:v>Não</x:v>
      </x:c>
      <x:c r="B209" s="80" t="str">
        <x:v>Fora da meta principal</x:v>
      </x:c>
      <x:c r="C209" s="81" t="n">
        <x:v>1990</x:v>
      </x:c>
      <x:c r="D209" s="80" t="str">
        <x:v>Porsche 911 (micro)</x:v>
      </x:c>
      <x:c r="E209" s="80" t="str">
        <x:v>Porsche 911 (micro)</x:v>
      </x:c>
      <x:c r="F209" s="82" t="str">
        <x:v>Mini Micro Hot Wheels</x:v>
      </x:c>
      <x:c r="G209" s="80" t="str"/>
      <x:c r="H209" s="80" t="str"/>
      <x:c r="I209" s="83" t="str"/>
      <x:c r="J209" s="80" t="str"/>
      <x:c r="K209" s="82" t="str"/>
      <x:c r="L209" s="82" t="str"/>
      <x:c r="M209" s="82" t="str"/>
      <x:c r="N209" s="82" t="str"/>
      <x:c r="O209" s="82" t="str"/>
      <x:c r="P209" s="82" t="str"/>
      <x:c r="Q209" s="82" t="str"/>
      <x:c r="R209" s="82" t="str">
        <x:v>Outra linha</x:v>
      </x:c>
      <x:c r="S209" s="82" t="str">
        <x:v>Rara</x:v>
      </x:c>
      <x:c r="T209" s="82" t="str">
        <x:v>Lançado</x:v>
      </x:c>
      <x:c r="U209" s="82" t="str"/>
      <x:c r="V209" s="80" t="str">
        <x:v>Micro</x:v>
      </x:c>
      <x:c r="W209" s="82" t="str">
        <x:v>https://hotwheels.fandom.com/wiki/Porsche</x:v>
      </x:c>
      <x:c r="X209" s="82" t="str">
        <x:v>https://hotwheels.fandom.com/wiki/Porsche_911_(micro)</x:v>
      </x:c>
    </x:row>
    <x:row r="210">
      <x:c r="A210" s="80" t="str">
        <x:v>Não</x:v>
      </x:c>
      <x:c r="B210" s="80" t="str">
        <x:v>Fora da meta principal</x:v>
      </x:c>
      <x:c r="C210" s="81" t="n">
        <x:v>1990</x:v>
      </x:c>
      <x:c r="D210" s="80" t="str">
        <x:v>Porsche 959 (micro)</x:v>
      </x:c>
      <x:c r="E210" s="80" t="str">
        <x:v>Porsche 959 (micro)</x:v>
      </x:c>
      <x:c r="F210" s="82" t="str">
        <x:v>Formula Racers 3pk</x:v>
      </x:c>
      <x:c r="G210" s="80" t="str"/>
      <x:c r="H210" s="80" t="str"/>
      <x:c r="I210" s="83" t="str">
        <x:v>4426</x:v>
      </x:c>
      <x:c r="J210" s="80" t="str">
        <x:v>various Blues to Purples</x:v>
      </x:c>
      <x:c r="K210" s="82" t="str"/>
      <x:c r="L210" s="82" t="str">
        <x:v>Micro Deep Dish</x:v>
      </x:c>
      <x:c r="M210" s="82" t="str"/>
      <x:c r="N210" s="82" t="str"/>
      <x:c r="O210" s="82" t="str"/>
      <x:c r="P210" s="82" t="str">
        <x:v>Malaysia</x:v>
      </x:c>
      <x:c r="Q210" s="82" t="str"/>
      <x:c r="R210" s="82" t="str">
        <x:v>Outra linha</x:v>
      </x:c>
      <x:c r="S210" s="82" t="str">
        <x:v>Rara</x:v>
      </x:c>
      <x:c r="T210" s="82" t="str">
        <x:v>Lançado</x:v>
      </x:c>
      <x:c r="U210" s="82" t="str">
        <x:v>various possibilities also individually #'d</x:v>
      </x:c>
      <x:c r="V210" s="80" t="str">
        <x:v>Micro</x:v>
      </x:c>
      <x:c r="W210" s="82" t="str">
        <x:v>https://hotwheels.fandom.com/wiki/Porsche_959_(micro)</x:v>
      </x:c>
      <x:c r="X210" s="82" t="str">
        <x:v>https://hotwheels.fandom.com/wiki/Porsche_959_(micro)</x:v>
      </x:c>
    </x:row>
    <x:row r="211">
      <x:c r="A211" s="80" t="str">
        <x:v>Não</x:v>
      </x:c>
      <x:c r="B211" s="80" t="str">
        <x:v>Fora da meta principal</x:v>
      </x:c>
      <x:c r="C211" s="81" t="n">
        <x:v>1990</x:v>
      </x:c>
      <x:c r="D211" s="80" t="str">
        <x:v>Porsche 959 (micro)</x:v>
      </x:c>
      <x:c r="E211" s="80" t="str">
        <x:v>Porsche 959 (micro)</x:v>
      </x:c>
      <x:c r="F211" s="82" t="str">
        <x:v>Micro Chroma Racers collection II</x:v>
      </x:c>
      <x:c r="G211" s="80" t="str"/>
      <x:c r="H211" s="80" t="str"/>
      <x:c r="I211" s="83" t="str">
        <x:v>4983</x:v>
      </x:c>
      <x:c r="J211" s="80" t="str">
        <x:v>Chrome</x:v>
      </x:c>
      <x:c r="K211" s="82" t="str"/>
      <x:c r="L211" s="82" t="str">
        <x:v>MGW</x:v>
      </x:c>
      <x:c r="M211" s="82" t="str">
        <x:v>Black / / / Plastic</x:v>
      </x:c>
      <x:c r="N211" s="82" t="str">
        <x:v>Black</x:v>
      </x:c>
      <x:c r="O211" s="82" t="str"/>
      <x:c r="P211" s="82" t="str">
        <x:v>Malaysia</x:v>
      </x:c>
      <x:c r="Q211" s="82" t="str"/>
      <x:c r="R211" s="82" t="str">
        <x:v>Outra linha</x:v>
      </x:c>
      <x:c r="S211" s="82" t="str">
        <x:v>Rara</x:v>
      </x:c>
      <x:c r="T211" s="82" t="str">
        <x:v>Lançado</x:v>
      </x:c>
      <x:c r="U211" s="82" t="str"/>
      <x:c r="V211" s="80" t="str">
        <x:v>Micro</x:v>
      </x:c>
      <x:c r="W211" s="82" t="str">
        <x:v>https://hotwheels.fandom.com/wiki/Porsche_959_(micro)</x:v>
      </x:c>
      <x:c r="X211" s="82" t="str">
        <x:v>https://hotwheels.fandom.com/wiki/Porsche_959_(micro)</x:v>
      </x:c>
    </x:row>
    <x:row r="212">
      <x:c r="A212" s="80" t="str">
        <x:v>Não</x:v>
      </x:c>
      <x:c r="B212" s="80" t="str">
        <x:v>Fora da meta principal</x:v>
      </x:c>
      <x:c r="C212" s="81" t="n">
        <x:v>1990</x:v>
      </x:c>
      <x:c r="D212" s="80" t="str">
        <x:v>Porsche 959 (micro)</x:v>
      </x:c>
      <x:c r="E212" s="80" t="str">
        <x:v>Porsche 959 (micro)</x:v>
      </x:c>
      <x:c r="F212" s="82" t="str">
        <x:v>Micro Chroma Racers collection II</x:v>
      </x:c>
      <x:c r="G212" s="80" t="str"/>
      <x:c r="H212" s="80" t="str"/>
      <x:c r="I212" s="83" t="str">
        <x:v>4983</x:v>
      </x:c>
      <x:c r="J212" s="80" t="str">
        <x:v>Gold Chrome</x:v>
      </x:c>
      <x:c r="K212" s="82" t="str"/>
      <x:c r="L212" s="82" t="str">
        <x:v>MGW</x:v>
      </x:c>
      <x:c r="M212" s="82" t="str">
        <x:v>Black / / / Plastic</x:v>
      </x:c>
      <x:c r="N212" s="82" t="str">
        <x:v>Black</x:v>
      </x:c>
      <x:c r="O212" s="82" t="str"/>
      <x:c r="P212" s="82" t="str">
        <x:v>Malaysia</x:v>
      </x:c>
      <x:c r="Q212" s="82" t="str"/>
      <x:c r="R212" s="82" t="str">
        <x:v>Outra linha</x:v>
      </x:c>
      <x:c r="S212" s="82" t="str">
        <x:v>Rara</x:v>
      </x:c>
      <x:c r="T212" s="82" t="str">
        <x:v>Lançado</x:v>
      </x:c>
      <x:c r="U212" s="82" t="str">
        <x:v>possible miss chromes of light gold</x:v>
      </x:c>
      <x:c r="V212" s="80" t="str">
        <x:v>Micro</x:v>
      </x:c>
      <x:c r="W212" s="82" t="str">
        <x:v>https://hotwheels.fandom.com/wiki/Porsche_959_(micro)</x:v>
      </x:c>
      <x:c r="X212" s="82" t="str">
        <x:v>https://hotwheels.fandom.com/wiki/Porsche_959_(micro)</x:v>
      </x:c>
    </x:row>
    <x:row r="213">
      <x:c r="A213" s="80" t="str">
        <x:v>Não</x:v>
      </x:c>
      <x:c r="B213" s="80" t="str">
        <x:v>Fora da meta principal</x:v>
      </x:c>
      <x:c r="C213" s="81" t="n">
        <x:v>1990</x:v>
      </x:c>
      <x:c r="D213" s="80" t="str">
        <x:v>Porsche 959 (micro)</x:v>
      </x:c>
      <x:c r="E213" s="80" t="str">
        <x:v>Porsche 959 (micro)</x:v>
      </x:c>
      <x:c r="F213" s="82" t="str">
        <x:v>Micro Color FX Loop and Splash</x:v>
      </x:c>
      <x:c r="G213" s="80" t="str"/>
      <x:c r="H213" s="80" t="str"/>
      <x:c r="I213" s="83" t="str"/>
      <x:c r="J213" s="80" t="str">
        <x:v>Orange</x:v>
      </x:c>
      <x:c r="K213" s="82" t="str">
        <x:v>Red &amp; Yellow stripes 959 on hood</x:v>
      </x:c>
      <x:c r="L213" s="82" t="str">
        <x:v>MGW</x:v>
      </x:c>
      <x:c r="M213" s="82" t="str"/>
      <x:c r="N213" s="82" t="str">
        <x:v>Black</x:v>
      </x:c>
      <x:c r="O213" s="82" t="str"/>
      <x:c r="P213" s="82" t="str">
        <x:v>Malaysia</x:v>
      </x:c>
      <x:c r="Q213" s="82" t="str"/>
      <x:c r="R213" s="82" t="str">
        <x:v>Outra linha</x:v>
      </x:c>
      <x:c r="S213" s="82" t="str">
        <x:v>Rara</x:v>
      </x:c>
      <x:c r="T213" s="82" t="str">
        <x:v>Lançado</x:v>
      </x:c>
      <x:c r="U213" s="82" t="str"/>
      <x:c r="V213" s="80" t="str">
        <x:v>Micro</x:v>
      </x:c>
      <x:c r="W213" s="82" t="str">
        <x:v>https://hotwheels.fandom.com/wiki/Porsche_959_(micro)</x:v>
      </x:c>
      <x:c r="X213" s="82" t="str">
        <x:v>https://hotwheels.fandom.com/wiki/Porsche_959_(micro)</x:v>
      </x:c>
    </x:row>
    <x:row r="214">
      <x:c r="A214" s="80" t="str">
        <x:v>Não</x:v>
      </x:c>
      <x:c r="B214" s="80" t="str">
        <x:v>Fora da meta principal</x:v>
      </x:c>
      <x:c r="C214" s="81" t="n">
        <x:v>1990</x:v>
      </x:c>
      <x:c r="D214" s="80" t="str">
        <x:v>Porsche 959 (micro)</x:v>
      </x:c>
      <x:c r="E214" s="80" t="str">
        <x:v>Porsche 959 (micro)</x:v>
      </x:c>
      <x:c r="F214" s="82" t="str">
        <x:v>Micro Color Racers Race Pack</x:v>
      </x:c>
      <x:c r="G214" s="80" t="str"/>
      <x:c r="H214" s="80" t="str"/>
      <x:c r="I214" s="83" t="str">
        <x:v>3226</x:v>
      </x:c>
      <x:c r="J214" s="80" t="str">
        <x:v>Dark Orange</x:v>
      </x:c>
      <x:c r="K214" s="82" t="str">
        <x:v>Red &amp; Yellow stripes 959 on hood</x:v>
      </x:c>
      <x:c r="L214" s="82" t="str">
        <x:v>MGW</x:v>
      </x:c>
      <x:c r="M214" s="82" t="str">
        <x:v>Black / / / Plastic</x:v>
      </x:c>
      <x:c r="N214" s="82" t="str">
        <x:v>Black</x:v>
      </x:c>
      <x:c r="O214" s="82" t="str"/>
      <x:c r="P214" s="82" t="str">
        <x:v>Malaysia</x:v>
      </x:c>
      <x:c r="Q214" s="82" t="str"/>
      <x:c r="R214" s="82" t="str">
        <x:v>Outra linha</x:v>
      </x:c>
      <x:c r="S214" s="82" t="str">
        <x:v>Rara</x:v>
      </x:c>
      <x:c r="T214" s="82" t="str">
        <x:v>Lançado</x:v>
      </x:c>
      <x:c r="U214" s="82" t="str">
        <x:v>959 Yellow stripe on sides</x:v>
      </x:c>
      <x:c r="V214" s="80" t="str">
        <x:v>Micro</x:v>
      </x:c>
      <x:c r="W214" s="82" t="str">
        <x:v>https://hotwheels.fandom.com/wiki/Porsche_959_(micro)</x:v>
      </x:c>
      <x:c r="X214" s="82" t="str">
        <x:v>https://hotwheels.fandom.com/wiki/Porsche_959_(micro)</x:v>
      </x:c>
    </x:row>
    <x:row r="215">
      <x:c r="A215" s="80" t="str">
        <x:v>Não</x:v>
      </x:c>
      <x:c r="B215" s="80" t="str">
        <x:v>Fora da meta principal</x:v>
      </x:c>
      <x:c r="C215" s="81" t="n">
        <x:v>1990</x:v>
      </x:c>
      <x:c r="D215" s="80" t="str">
        <x:v>Porsche 959 (micro)</x:v>
      </x:c>
      <x:c r="E215" s="80" t="str">
        <x:v>Porsche 959 (micro)</x:v>
      </x:c>
      <x:c r="F215" s="82" t="str">
        <x:v>Micro Hot Wheels Color Racers Big Rigger</x:v>
      </x:c>
      <x:c r="G215" s="80" t="str"/>
      <x:c r="H215" s="80" t="str"/>
      <x:c r="I215" s="83" t="str">
        <x:v>3989</x:v>
      </x:c>
      <x:c r="J215" s="80" t="str">
        <x:v>Orange</x:v>
      </x:c>
      <x:c r="K215" s="82" t="str"/>
      <x:c r="L215" s="82" t="str">
        <x:v>MGW</x:v>
      </x:c>
      <x:c r="M215" s="82" t="str">
        <x:v>Black / / / Plastic</x:v>
      </x:c>
      <x:c r="N215" s="82" t="str">
        <x:v>Black</x:v>
      </x:c>
      <x:c r="O215" s="82" t="str"/>
      <x:c r="P215" s="82" t="str">
        <x:v>Malaysia</x:v>
      </x:c>
      <x:c r="Q215" s="82" t="str"/>
      <x:c r="R215" s="82" t="str">
        <x:v>Outra linha</x:v>
      </x:c>
      <x:c r="S215" s="82" t="str">
        <x:v>Rara</x:v>
      </x:c>
      <x:c r="T215" s="82" t="str">
        <x:v>Lançado</x:v>
      </x:c>
      <x:c r="U215" s="82" t="str"/>
      <x:c r="V215" s="80" t="str">
        <x:v>Micro</x:v>
      </x:c>
      <x:c r="W215" s="82" t="str">
        <x:v>https://hotwheels.fandom.com/wiki/Porsche_959_(micro)</x:v>
      </x:c>
      <x:c r="X215" s="82" t="str">
        <x:v>https://hotwheels.fandom.com/wiki/Porsche_959_(micro)</x:v>
      </x:c>
    </x:row>
    <x:row r="216">
      <x:c r="A216" s="80" t="str">
        <x:v>Não</x:v>
      </x:c>
      <x:c r="B216" s="80" t="str">
        <x:v>Fora da meta principal</x:v>
      </x:c>
      <x:c r="C216" s="81" t="n">
        <x:v>1990</x:v>
      </x:c>
      <x:c r="D216" s="80" t="str">
        <x:v>Porsche 959 (micro)</x:v>
      </x:c>
      <x:c r="E216" s="80" t="str">
        <x:v>Porsche 959 (micro)</x:v>
      </x:c>
      <x:c r="F216" s="82" t="str">
        <x:v>Micro Hot Wheels Hot Wheels 3pk</x:v>
      </x:c>
      <x:c r="G216" s="80" t="str"/>
      <x:c r="H216" s="80" t="str"/>
      <x:c r="I216" s="83" t="str">
        <x:v>9804</x:v>
      </x:c>
      <x:c r="J216" s="80" t="str">
        <x:v>White</x:v>
      </x:c>
      <x:c r="K216" s="82" t="str">
        <x:v>959 Red &amp; Blue Stripes across roof &amp; trunk</x:v>
      </x:c>
      <x:c r="L216" s="82" t="str">
        <x:v>MGW</x:v>
      </x:c>
      <x:c r="M216" s="82" t="str">
        <x:v>Black / / / Plastic</x:v>
      </x:c>
      <x:c r="N216" s="82" t="str">
        <x:v>Black</x:v>
      </x:c>
      <x:c r="O216" s="82" t="str"/>
      <x:c r="P216" s="82" t="str">
        <x:v>Malaysia</x:v>
      </x:c>
      <x:c r="Q216" s="82" t="str"/>
      <x:c r="R216" s="82" t="str">
        <x:v>Outra linha</x:v>
      </x:c>
      <x:c r="S216" s="82" t="str">
        <x:v>Rara</x:v>
      </x:c>
      <x:c r="T216" s="82" t="str">
        <x:v>Lançado</x:v>
      </x:c>
      <x:c r="U216" s="82" t="str"/>
      <x:c r="V216" s="80" t="str">
        <x:v>Micro</x:v>
      </x:c>
      <x:c r="W216" s="82" t="str">
        <x:v>https://hotwheels.fandom.com/wiki/Porsche_959_(micro)</x:v>
      </x:c>
      <x:c r="X216" s="82" t="str">
        <x:v>https://hotwheels.fandom.com/wiki/Porsche_959_(micro)</x:v>
      </x:c>
    </x:row>
    <x:row r="217">
      <x:c r="A217" s="80" t="str">
        <x:v>Não</x:v>
      </x:c>
      <x:c r="B217" s="80" t="str">
        <x:v>Fora da meta principal</x:v>
      </x:c>
      <x:c r="C217" s="81" t="n">
        <x:v>1990</x:v>
      </x:c>
      <x:c r="D217" s="80" t="str">
        <x:v>Porsche 959 (micro)</x:v>
      </x:c>
      <x:c r="E217" s="80" t="str">
        <x:v>Porsche 959 (micro)</x:v>
      </x:c>
      <x:c r="F217" s="82" t="str">
        <x:v>Micro Hot Wheels Mini Light Racers</x:v>
      </x:c>
      <x:c r="G217" s="80" t="str"/>
      <x:c r="H217" s="80" t="str"/>
      <x:c r="I217" s="83" t="str">
        <x:v>1179</x:v>
      </x:c>
      <x:c r="J217" s="80" t="str">
        <x:v>White</x:v>
      </x:c>
      <x:c r="K217" s="82" t="str">
        <x:v>Blue 959</x:v>
      </x:c>
      <x:c r="L217" s="82" t="str">
        <x:v>MGW</x:v>
      </x:c>
      <x:c r="M217" s="82" t="str">
        <x:v>Black / / / Plastic</x:v>
      </x:c>
      <x:c r="N217" s="82" t="str">
        <x:v>Black</x:v>
      </x:c>
      <x:c r="O217" s="82" t="str">
        <x:v>N/A</x:v>
      </x:c>
      <x:c r="P217" s="82" t="str">
        <x:v>Malaysia</x:v>
      </x:c>
      <x:c r="Q217" s="82" t="str"/>
      <x:c r="R217" s="82" t="str">
        <x:v>Outra linha</x:v>
      </x:c>
      <x:c r="S217" s="82" t="str">
        <x:v>Rara</x:v>
      </x:c>
      <x:c r="T217" s="82" t="str">
        <x:v>Lançado</x:v>
      </x:c>
      <x:c r="U217" s="82" t="str">
        <x:v>Has a Battery and a switch to activate headlights</x:v>
      </x:c>
      <x:c r="V217" s="80" t="str">
        <x:v>Micro</x:v>
      </x:c>
      <x:c r="W217" s="82" t="str">
        <x:v>https://hotwheels.fandom.com/wiki/Porsche_959_(micro)</x:v>
      </x:c>
      <x:c r="X217" s="82" t="str">
        <x:v>https://hotwheels.fandom.com/wiki/Porsche_959_(micro)</x:v>
      </x:c>
    </x:row>
    <x:row r="218">
      <x:c r="A218" s="80" t="str">
        <x:v>Não</x:v>
      </x:c>
      <x:c r="B218" s="80" t="str">
        <x:v>Fora da meta principal</x:v>
      </x:c>
      <x:c r="C218" s="81" t="n">
        <x:v>1990</x:v>
      </x:c>
      <x:c r="D218" s="80" t="str">
        <x:v>Porsche 959 (micro)</x:v>
      </x:c>
      <x:c r="E218" s="80" t="str">
        <x:v>Porsche 959 (micro)</x:v>
      </x:c>
      <x:c r="F218" s="82" t="str">
        <x:v>Micro Hot Wheels Speed Blaster</x:v>
      </x:c>
      <x:c r="G218" s="80" t="str"/>
      <x:c r="H218" s="80" t="str"/>
      <x:c r="I218" s="83" t="str">
        <x:v>3601</x:v>
      </x:c>
      <x:c r="J218" s="80" t="str">
        <x:v>Orange</x:v>
      </x:c>
      <x:c r="K218" s="82" t="str"/>
      <x:c r="L218" s="82" t="str">
        <x:v>MGW</x:v>
      </x:c>
      <x:c r="M218" s="82" t="str"/>
      <x:c r="N218" s="82" t="str"/>
      <x:c r="O218" s="82" t="str"/>
      <x:c r="P218" s="82" t="str">
        <x:v>Malaysia</x:v>
      </x:c>
      <x:c r="Q218" s="82" t="str"/>
      <x:c r="R218" s="82" t="str">
        <x:v>Outra linha</x:v>
      </x:c>
      <x:c r="S218" s="82" t="str">
        <x:v>Rara</x:v>
      </x:c>
      <x:c r="T218" s="82" t="str">
        <x:v>Lançado</x:v>
      </x:c>
      <x:c r="U218" s="82" t="str">
        <x:v>Packaging says "Mini Color Racers Speed Blaster"</x:v>
      </x:c>
      <x:c r="V218" s="80" t="str">
        <x:v>Micro</x:v>
      </x:c>
      <x:c r="W218" s="82" t="str">
        <x:v>https://hotwheels.fandom.com/wiki/Porsche_959_(micro)</x:v>
      </x:c>
      <x:c r="X218" s="82" t="str">
        <x:v>https://hotwheels.fandom.com/wiki/Porsche_959_(micro)</x:v>
      </x:c>
    </x:row>
    <x:row r="219">
      <x:c r="A219" s="80" t="str">
        <x:v>Não</x:v>
      </x:c>
      <x:c r="B219" s="80" t="str">
        <x:v>Fora da meta principal</x:v>
      </x:c>
      <x:c r="C219" s="81" t="n">
        <x:v>1989</x:v>
      </x:c>
      <x:c r="D219" s="80" t="str">
        <x:v>Porsche 930 (Flat Outs)</x:v>
      </x:c>
      <x:c r="E219" s="80" t="str">
        <x:v>Porsche 930</x:v>
      </x:c>
      <x:c r="F219" s="82" t="str">
        <x:v>Flat Outs</x:v>
      </x:c>
      <x:c r="G219" s="80" t="str"/>
      <x:c r="H219" s="80" t="str"/>
      <x:c r="I219" s="83" t="str">
        <x:v>3582</x:v>
      </x:c>
      <x:c r="J219" s="80" t="str">
        <x:v>Red</x:v>
      </x:c>
      <x:c r="K219" s="82" t="str">
        <x:v>Yellow scallops, Blue "TURBO"</x:v>
      </x:c>
      <x:c r="L219" s="82" t="str">
        <x:v>BW</x:v>
      </x:c>
      <x:c r="M219" s="82" t="str"/>
      <x:c r="N219" s="82" t="str">
        <x:v>Silver</x:v>
      </x:c>
      <x:c r="O219" s="82" t="str">
        <x:v>N/A</x:v>
      </x:c>
      <x:c r="P219" s="82" t="str"/>
      <x:c r="Q219" s="82" t="str"/>
      <x:c r="R219" s="82" t="str">
        <x:v>Outra linha</x:v>
      </x:c>
      <x:c r="S219" s="82" t="str">
        <x:v>Muito rara</x:v>
      </x:c>
      <x:c r="T219" s="82" t="str">
        <x:v>Não lançado / fora da meta</x:v>
      </x:c>
      <x:c r="U219" s="82" t="str">
        <x:v>Named Turbo Never released to market</x:v>
      </x:c>
      <x:c r="V219" s="80" t="str">
        <x:v>Não lançado / protótipo</x:v>
      </x:c>
      <x:c r="W219" s="82" t="str">
        <x:v>https://hotwheels.fandom.com/wiki/Porsche_930_(Flat_Outs)</x:v>
      </x:c>
      <x:c r="X219" s="82" t="str">
        <x:v>https://hotwheels.fandom.com/wiki/Porsche_930_(Flat_Outs)</x:v>
      </x:c>
    </x:row>
    <x:row r="220">
      <x:c r="A220" s="80" t="str">
        <x:v>Não</x:v>
      </x:c>
      <x:c r="B220" s="80" t="str">
        <x:v>Fora da meta principal</x:v>
      </x:c>
      <x:c r="C220" s="81" t="n">
        <x:v>1989</x:v>
      </x:c>
      <x:c r="D220" s="80" t="str">
        <x:v>Porsche 930 (Flat Outs)</x:v>
      </x:c>
      <x:c r="E220" s="80" t="str">
        <x:v>Porsche 930</x:v>
      </x:c>
      <x:c r="F220" s="82" t="str">
        <x:v>Flat Outs</x:v>
      </x:c>
      <x:c r="G220" s="80" t="str"/>
      <x:c r="H220" s="80" t="str"/>
      <x:c r="I220" s="83" t="str">
        <x:v>3583</x:v>
      </x:c>
      <x:c r="J220" s="80" t="str">
        <x:v>Yellow</x:v>
      </x:c>
      <x:c r="K220" s="82" t="str">
        <x:v>Red scallops</x:v>
      </x:c>
      <x:c r="L220" s="82" t="str">
        <x:v>BW</x:v>
      </x:c>
      <x:c r="M220" s="82" t="str"/>
      <x:c r="N220" s="82" t="str">
        <x:v>Black</x:v>
      </x:c>
      <x:c r="O220" s="82" t="str">
        <x:v>N/A</x:v>
      </x:c>
      <x:c r="P220" s="82" t="str"/>
      <x:c r="Q220" s="82" t="str"/>
      <x:c r="R220" s="82" t="str">
        <x:v>Outra linha</x:v>
      </x:c>
      <x:c r="S220" s="82" t="str">
        <x:v>Muito rara</x:v>
      </x:c>
      <x:c r="T220" s="82" t="str">
        <x:v>Não lançado / fora da meta</x:v>
      </x:c>
      <x:c r="U220" s="82" t="str">
        <x:v>Named 911-T Never Released to market</x:v>
      </x:c>
      <x:c r="V220" s="80" t="str">
        <x:v>Não lançado / protótipo</x:v>
      </x:c>
      <x:c r="W220" s="82" t="str">
        <x:v>https://hotwheels.fandom.com/wiki/Porsche_930_(Flat_Outs)</x:v>
      </x:c>
      <x:c r="X220" s="82" t="str">
        <x:v>https://hotwheels.fandom.com/wiki/Porsche_930_(Flat_Outs)</x:v>
      </x:c>
    </x:row>
    <x:row r="221">
      <x:c r="A221" s="80" t="str">
        <x:v>Não</x:v>
      </x:c>
      <x:c r="B221" s="80" t="str">
        <x:v>Fora da meta principal</x:v>
      </x:c>
      <x:c r="C221" s="81" t="n">
        <x:v>1982</x:v>
      </x:c>
      <x:c r="D221" s="80" t="str">
        <x:v>Porsche 928 Rally</x:v>
      </x:c>
      <x:c r="E221" s="80" t="str">
        <x:v>Porsche 928 Rally</x:v>
      </x:c>
      <x:c r="F221" s="82" t="str">
        <x:v>Super Hot Wheels 1:25</x:v>
      </x:c>
      <x:c r="G221" s="80" t="str"/>
      <x:c r="H221" s="80" t="str"/>
      <x:c r="I221" s="83" t="str">
        <x:v>6823</x:v>
      </x:c>
      <x:c r="J221" s="80" t="str"/>
      <x:c r="K221" s="82" t="str"/>
      <x:c r="L221" s="82" t="str"/>
      <x:c r="M221" s="82" t="str"/>
      <x:c r="N221" s="82" t="str"/>
      <x:c r="O221" s="82" t="str"/>
      <x:c r="P221" s="82" t="str"/>
      <x:c r="Q221" s="82" t="str"/>
      <x:c r="R221" s="82" t="str">
        <x:v>Outra linha</x:v>
      </x:c>
      <x:c r="S221" s="82" t="str">
        <x:v>Rara</x:v>
      </x:c>
      <x:c r="T221" s="82" t="str">
        <x:v>Lançado</x:v>
      </x:c>
      <x:c r="U221" s="82" t="str"/>
      <x:c r="V221" s="80" t="str">
        <x:v>Escala 1:25</x:v>
      </x:c>
      <x:c r="W221" s="82" t="str">
        <x:v>https://hotwheels.fandom.com/wiki/Porsche</x:v>
      </x:c>
      <x:c r="X221" s="82" t="str"/>
    </x:row>
    <x:row r="222">
      <x:c r="A222" s="80" t="str">
        <x:v>Não</x:v>
      </x:c>
      <x:c r="B222" s="80" t="str">
        <x:v>Fora da meta principal</x:v>
      </x:c>
      <x:c r="C222" s="81" t="n">
        <x:v>1980</x:v>
      </x:c>
      <x:c r="D222" s="80" t="str">
        <x:v>Porsche 911 Turbo (Super Hot Wheels)</x:v>
      </x:c>
      <x:c r="E222" s="80" t="str">
        <x:v>Porsche 911 Turbo</x:v>
      </x:c>
      <x:c r="F222" s="82" t="str">
        <x:v>Super Hot Wheels 1:43</x:v>
      </x:c>
      <x:c r="G222" s="80" t="str"/>
      <x:c r="H222" s="80" t="str"/>
      <x:c r="I222" s="83" t="str"/>
      <x:c r="J222" s="80" t="str"/>
      <x:c r="K222" s="82" t="str"/>
      <x:c r="L222" s="82" t="str"/>
      <x:c r="M222" s="82" t="str"/>
      <x:c r="N222" s="82" t="str"/>
      <x:c r="O222" s="82" t="str"/>
      <x:c r="P222" s="82" t="str"/>
      <x:c r="Q222" s="82" t="str"/>
      <x:c r="R222" s="82" t="str">
        <x:v>Outra linha</x:v>
      </x:c>
      <x:c r="S222" s="82" t="str">
        <x:v>Rara</x:v>
      </x:c>
      <x:c r="T222" s="82" t="str">
        <x:v>Lançado</x:v>
      </x:c>
      <x:c r="U222" s="82" t="str"/>
      <x:c r="V222" s="80" t="str">
        <x:v>Escala 1:43</x:v>
      </x:c>
      <x:c r="W222" s="82" t="str">
        <x:v>https://hotwheels.fandom.com/wiki/Porsche</x:v>
      </x:c>
      <x:c r="X222" s="82" t="str">
        <x:v>https://hotwheels.fandom.com/wiki/Porsche_911_Turbo_(Super_Hot_Wheels)</x:v>
      </x:c>
    </x:row>
    <x:row r="223">
      <x:c r="A223" s="80" t="str">
        <x:v>Não</x:v>
      </x:c>
      <x:c r="B223" s="80" t="str">
        <x:v>Fora da meta principal</x:v>
      </x:c>
      <x:c r="C223" s="81" t="n">
        <x:v>1980</x:v>
      </x:c>
      <x:c r="D223" s="80" t="str">
        <x:v>Porsche 924 (Mebetoys)</x:v>
      </x:c>
      <x:c r="E223" s="80" t="str">
        <x:v>Porsche 924</x:v>
      </x:c>
      <x:c r="F223" s="82" t="str">
        <x:v>Super Hot Wheels 1:43</x:v>
      </x:c>
      <x:c r="G223" s="80" t="str"/>
      <x:c r="H223" s="80" t="str"/>
      <x:c r="I223" s="83" t="str"/>
      <x:c r="J223" s="80" t="str"/>
      <x:c r="K223" s="82" t="str"/>
      <x:c r="L223" s="82" t="str"/>
      <x:c r="M223" s="82" t="str"/>
      <x:c r="N223" s="82" t="str"/>
      <x:c r="O223" s="82" t="str"/>
      <x:c r="P223" s="82" t="str"/>
      <x:c r="Q223" s="82" t="str"/>
      <x:c r="R223" s="82" t="str">
        <x:v>Outra linha</x:v>
      </x:c>
      <x:c r="S223" s="82" t="str">
        <x:v>Rara</x:v>
      </x:c>
      <x:c r="T223" s="82" t="str">
        <x:v>Lançado</x:v>
      </x:c>
      <x:c r="U223" s="82" t="str"/>
      <x:c r="V223" s="80" t="str">
        <x:v>Escala 1:43</x:v>
      </x:c>
      <x:c r="W223" s="82" t="str">
        <x:v>https://hotwheels.fandom.com/wiki/Porsche</x:v>
      </x:c>
      <x:c r="X223" s="82" t="str">
        <x:v>https://hotwheels.fandom.com/wiki/Porsche_924_(Mebetoys)</x:v>
      </x:c>
    </x:row>
    <x:row r="224">
      <x:c r="A224" s="80" t="str">
        <x:v>Não</x:v>
      </x:c>
      <x:c r="B224" s="80" t="str">
        <x:v>Fora da meta principal</x:v>
      </x:c>
      <x:c r="C224" s="81" t="n">
        <x:v>1980</x:v>
      </x:c>
      <x:c r="D224" s="80" t="str">
        <x:v>Porsche 924 (Mebetoys)</x:v>
      </x:c>
      <x:c r="E224" s="80" t="str">
        <x:v>Porsche 924</x:v>
      </x:c>
      <x:c r="F224" s="82" t="str">
        <x:v>Super Hot Wheels Box</x:v>
      </x:c>
      <x:c r="G224" s="80" t="str"/>
      <x:c r="H224" s="80" t="str"/>
      <x:c r="I224" s="83" t="str">
        <x:v>A-93</x:v>
      </x:c>
      <x:c r="J224" s="80" t="str">
        <x:v>Alpine White</x:v>
      </x:c>
      <x:c r="K224" s="82" t="str"/>
      <x:c r="L224" s="82" t="str"/>
      <x:c r="M224" s="82" t="str">
        <x:v>Black / / / Plastic</x:v>
      </x:c>
      <x:c r="N224" s="82" t="str">
        <x:v>Clear</x:v>
      </x:c>
      <x:c r="O224" s="82" t="str">
        <x:v>Brown</x:v>
      </x:c>
      <x:c r="P224" s="82" t="str"/>
      <x:c r="Q224" s="82" t="str"/>
      <x:c r="R224" s="82" t="str">
        <x:v>Outra linha</x:v>
      </x:c>
      <x:c r="S224" s="82" t="str">
        <x:v>Rara</x:v>
      </x:c>
      <x:c r="T224" s="82" t="str">
        <x:v>Lançado</x:v>
      </x:c>
      <x:c r="U224" s="82" t="str"/>
      <x:c r="V224" s="80" t="str">
        <x:v>Escala 1:43</x:v>
      </x:c>
      <x:c r="W224" s="82" t="str">
        <x:v>https://hotwheels.fandom.com/wiki/Porsche_924_(Mebetoys)</x:v>
      </x:c>
      <x:c r="X224" s="82" t="str">
        <x:v>https://hotwheels.fandom.com/wiki/Porsche_924_(Mebetoys)</x:v>
      </x:c>
    </x:row>
    <x:row r="225">
      <x:c r="A225" s="80" t="str">
        <x:v>Não</x:v>
      </x:c>
      <x:c r="B225" s="80" t="str">
        <x:v>Fora da meta principal</x:v>
      </x:c>
      <x:c r="C225" s="81" t="str"/>
      <x:c r="D225" s="80" t="str">
        <x:v>Porsche 911 (1:18)</x:v>
      </x:c>
      <x:c r="E225" s="80" t="str">
        <x:v>Porsche 911 (1:18)</x:v>
      </x:c>
      <x:c r="F225" s="82" t="str">
        <x:v>100% Hot Wheels 1:18 Scale</x:v>
      </x:c>
      <x:c r="G225" s="80" t="str"/>
      <x:c r="H225" s="80" t="str"/>
      <x:c r="I225" s="83" t="str">
        <x:v>50427</x:v>
      </x:c>
      <x:c r="J225" s="80" t="str">
        <x:v>Yellow</x:v>
      </x:c>
      <x:c r="K225" s="82" t="str"/>
      <x:c r="L225" s="82" t="str"/>
      <x:c r="M225" s="82" t="str">
        <x:v>Black / / / Plastic</x:v>
      </x:c>
      <x:c r="N225" s="82" t="str"/>
      <x:c r="O225" s="82" t="str"/>
      <x:c r="P225" s="82" t="str">
        <x:v>China</x:v>
      </x:c>
      <x:c r="Q225" s="82" t="str"/>
      <x:c r="R225" s="82" t="str">
        <x:v>100% / Collectibles</x:v>
      </x:c>
      <x:c r="S225" s="82" t="str">
        <x:v>Incomum</x:v>
      </x:c>
      <x:c r="T225" s="82" t="str">
        <x:v>Ano não documentado</x:v>
      </x:c>
      <x:c r="U225" s="82" t="str"/>
      <x:c r="V225" s="80" t="str">
        <x:v>Escala 1:18</x:v>
      </x:c>
      <x:c r="W225" s="82" t="str">
        <x:v>https://hotwheels.fandom.com/wiki/Porsche_911_(1:18)</x:v>
      </x:c>
      <x:c r="X225" s="82" t="str">
        <x:v>https://hotwheels.fandom.com/wiki/Porsche_911_(1:18)</x:v>
      </x:c>
    </x:row>
    <x:row r="226">
      <x:c r="A226" s="80" t="str">
        <x:v>Não</x:v>
      </x:c>
      <x:c r="B226" s="80" t="str">
        <x:v>Fora da meta principal</x:v>
      </x:c>
      <x:c r="C226" s="81" t="str"/>
      <x:c r="D226" s="80" t="str">
        <x:v>Porsche 911 (1:18)</x:v>
      </x:c>
      <x:c r="E226" s="80" t="str">
        <x:v>Porsche 911 (1:18)</x:v>
      </x:c>
      <x:c r="F226" s="82" t="str">
        <x:v>Hall of Fame</x:v>
      </x:c>
      <x:c r="G226" s="80" t="str"/>
      <x:c r="H226" s="80" t="str"/>
      <x:c r="I226" s="83" t="str">
        <x:v>B9114</x:v>
      </x:c>
      <x:c r="J226" s="80" t="str">
        <x:v>Red</x:v>
      </x:c>
      <x:c r="K226" s="82" t="str"/>
      <x:c r="L226" s="82" t="str"/>
      <x:c r="M226" s="82" t="str"/>
      <x:c r="N226" s="82" t="str"/>
      <x:c r="O226" s="82" t="str"/>
      <x:c r="P226" s="82" t="str">
        <x:v>China</x:v>
      </x:c>
      <x:c r="Q226" s="82" t="str"/>
      <x:c r="R226" s="82" t="str">
        <x:v>Outra linha</x:v>
      </x:c>
      <x:c r="S226" s="82" t="str">
        <x:v>Comum / atual</x:v>
      </x:c>
      <x:c r="T226" s="82" t="str">
        <x:v>Ano não documentado</x:v>
      </x:c>
      <x:c r="U226" s="82" t="str"/>
      <x:c r="V226" s="80" t="str">
        <x:v>Escala 1:18</x:v>
      </x:c>
      <x:c r="W226" s="82" t="str">
        <x:v>https://hotwheels.fandom.com/wiki/Porsche_911_(1:18)</x:v>
      </x:c>
      <x:c r="X226" s="82" t="str">
        <x:v>https://hotwheels.fandom.com/wiki/Porsche_911_(1:18)</x:v>
      </x:c>
    </x:row>
    <x:row r="227">
      <x:c r="A227" s="80" t="str">
        <x:v>Não</x:v>
      </x:c>
      <x:c r="B227" s="80" t="str">
        <x:v>Fora da meta principal</x:v>
      </x:c>
      <x:c r="C227" s="81" t="str"/>
      <x:c r="D227" s="80" t="str">
        <x:v>Porsche 911 S Targa</x:v>
      </x:c>
      <x:c r="E227" s="80" t="str">
        <x:v>Porsche 911 S Targa</x:v>
      </x:c>
      <x:c r="F227" s="82" t="str">
        <x:v>Mebetoys 1/25</x:v>
      </x:c>
      <x:c r="G227" s="80" t="str"/>
      <x:c r="H227" s="80" t="str"/>
      <x:c r="I227" s="83" t="str">
        <x:v>8573</x:v>
      </x:c>
      <x:c r="J227" s="80" t="str"/>
      <x:c r="K227" s="82" t="str"/>
      <x:c r="L227" s="82" t="str"/>
      <x:c r="M227" s="82" t="str"/>
      <x:c r="N227" s="82" t="str"/>
      <x:c r="O227" s="82" t="str"/>
      <x:c r="P227" s="82" t="str"/>
      <x:c r="Q227" s="82" t="str"/>
      <x:c r="R227" s="82" t="str">
        <x:v>Outra linha</x:v>
      </x:c>
      <x:c r="S227" s="82" t="str">
        <x:v>Comum / atual</x:v>
      </x:c>
      <x:c r="T227" s="82" t="str">
        <x:v>Ano não documentado</x:v>
      </x:c>
      <x:c r="U227" s="82" t="str"/>
      <x:c r="V227" s="80" t="str">
        <x:v>Escala 1:25</x:v>
      </x:c>
      <x:c r="W227" s="82" t="str">
        <x:v>https://hotwheels.fandom.com/wiki/Porsche</x:v>
      </x:c>
      <x:c r="X227" s="82" t="str"/>
    </x:row>
    <x:row r="228">
      <x:c r="A228" s="80" t="str">
        <x:v>Não</x:v>
      </x:c>
      <x:c r="B228" s="80" t="str">
        <x:v>Fora da meta principal</x:v>
      </x:c>
      <x:c r="C228" s="81" t="str"/>
      <x:c r="D228" s="80" t="str">
        <x:v>Porsche 911 Turbo (Super Hot Wheels)</x:v>
      </x:c>
      <x:c r="E228" s="80" t="str">
        <x:v>Porsche 911 Turbo</x:v>
      </x:c>
      <x:c r="F228" s="82" t="str">
        <x:v>Autoclub 1</x:v>
      </x:c>
      <x:c r="G228" s="80" t="str"/>
      <x:c r="H228" s="80" t="str"/>
      <x:c r="I228" s="83" t="str">
        <x:v>No.6899</x:v>
      </x:c>
      <x:c r="J228" s="80" t="str">
        <x:v>Silver</x:v>
      </x:c>
      <x:c r="K228" s="82" t="str">
        <x:v>w/ sticker sheet</x:v>
      </x:c>
      <x:c r="L228" s="82" t="str"/>
      <x:c r="M228" s="82" t="str">
        <x:v>Black / Plastic</x:v>
      </x:c>
      <x:c r="N228" s="82" t="str">
        <x:v>Clear</x:v>
      </x:c>
      <x:c r="O228" s="82" t="str">
        <x:v>Black</x:v>
      </x:c>
      <x:c r="P228" s="82" t="str"/>
      <x:c r="Q228" s="82" t="str"/>
      <x:c r="R228" s="82" t="str">
        <x:v>Outra linha</x:v>
      </x:c>
      <x:c r="S228" s="82" t="str">
        <x:v>Comum / atual</x:v>
      </x:c>
      <x:c r="T228" s="82" t="str">
        <x:v>Ano não documentado</x:v>
      </x:c>
      <x:c r="U228" s="82" t="str">
        <x:v>named "Porsche 911"</x:v>
      </x:c>
      <x:c r="V228" s="80" t="str">
        <x:v>Escala 1:43</x:v>
      </x:c>
      <x:c r="W228" s="82" t="str">
        <x:v>https://hotwheels.fandom.com/wiki/Porsche_911_Turbo_(Super_Hot_Wheels)</x:v>
      </x:c>
      <x:c r="X228" s="82" t="str">
        <x:v>https://hotwheels.fandom.com/wiki/Porsche_911_Turbo_(Super_Hot_Wheels)</x:v>
      </x:c>
    </x:row>
    <x:row r="229">
      <x:c r="A229" s="80" t="str">
        <x:v>Não</x:v>
      </x:c>
      <x:c r="B229" s="80" t="str">
        <x:v>Fora da meta principal</x:v>
      </x:c>
      <x:c r="C229" s="81" t="str"/>
      <x:c r="D229" s="80" t="str">
        <x:v>Porsche 911 Turbo (Super Hot Wheels)</x:v>
      </x:c>
      <x:c r="E229" s="80" t="str">
        <x:v>Porsche 911 Turbo</x:v>
      </x:c>
      <x:c r="F229" s="82" t="str">
        <x:v>Serie Avventura</x:v>
      </x:c>
      <x:c r="G229" s="80" t="str"/>
      <x:c r="H229" s="80" t="str"/>
      <x:c r="I229" s="83" t="str">
        <x:v>6111</x:v>
      </x:c>
      <x:c r="J229" s="80" t="str">
        <x:v>Light Blue</x:v>
      </x:c>
      <x:c r="K229" s="82" t="str">
        <x:v>"3" &amp; Racing decals</x:v>
      </x:c>
      <x:c r="L229" s="82" t="str"/>
      <x:c r="M229" s="82" t="str">
        <x:v>Yellow / Plastic</x:v>
      </x:c>
      <x:c r="N229" s="82" t="str">
        <x:v>Clear</x:v>
      </x:c>
      <x:c r="O229" s="82" t="str">
        <x:v>Yellow</x:v>
      </x:c>
      <x:c r="P229" s="82" t="str"/>
      <x:c r="Q229" s="82" t="str"/>
      <x:c r="R229" s="82" t="str">
        <x:v>Outra linha</x:v>
      </x:c>
      <x:c r="S229" s="82" t="str">
        <x:v>Comum / atual</x:v>
      </x:c>
      <x:c r="T229" s="82" t="str">
        <x:v>Ano não documentado</x:v>
      </x:c>
      <x:c r="U229" s="82" t="str">
        <x:v>Named "Safari Rally" set</x:v>
      </x:c>
      <x:c r="V229" s="80" t="str">
        <x:v>Escala 1:43</x:v>
      </x:c>
      <x:c r="W229" s="82" t="str">
        <x:v>https://hotwheels.fandom.com/wiki/Porsche_911_Turbo_(Super_Hot_Wheels)</x:v>
      </x:c>
      <x:c r="X229" s="82" t="str">
        <x:v>https://hotwheels.fandom.com/wiki/Porsche_911_Turbo_(Super_Hot_Wheels)</x:v>
      </x:c>
    </x:row>
    <x:row r="230">
      <x:c r="A230" s="80" t="str">
        <x:v>Não</x:v>
      </x:c>
      <x:c r="B230" s="80" t="str">
        <x:v>Fora da meta principal</x:v>
      </x:c>
      <x:c r="C230" s="81" t="str"/>
      <x:c r="D230" s="80" t="str">
        <x:v>Porsche 911 Turbo (Super Hot Wheels)</x:v>
      </x:c>
      <x:c r="E230" s="80" t="str">
        <x:v>Porsche 911 Turbo</x:v>
      </x:c>
      <x:c r="F230" s="82" t="str">
        <x:v>Super Hot Wheels</x:v>
      </x:c>
      <x:c r="G230" s="80" t="str"/>
      <x:c r="H230" s="80" t="str"/>
      <x:c r="I230" s="83" t="str"/>
      <x:c r="J230" s="80" t="str">
        <x:v>White</x:v>
      </x:c>
      <x:c r="K230" s="82" t="str">
        <x:v>Green, Yellow, &amp; Red stripes</x:v>
      </x:c>
      <x:c r="L230" s="82" t="str"/>
      <x:c r="M230" s="82" t="str">
        <x:v>Black / Plastic</x:v>
      </x:c>
      <x:c r="N230" s="82" t="str">
        <x:v>Clear</x:v>
      </x:c>
      <x:c r="O230" s="82" t="str">
        <x:v>Black</x:v>
      </x:c>
      <x:c r="P230" s="82" t="str"/>
      <x:c r="Q230" s="82" t="str"/>
      <x:c r="R230" s="82" t="str">
        <x:v>Outra linha</x:v>
      </x:c>
      <x:c r="S230" s="82" t="str">
        <x:v>Comum / atual</x:v>
      </x:c>
      <x:c r="T230" s="82" t="str">
        <x:v>Ano não documentado</x:v>
      </x:c>
      <x:c r="U230" s="82" t="str"/>
      <x:c r="V230" s="80" t="str">
        <x:v>Escala 1:43</x:v>
      </x:c>
      <x:c r="W230" s="82" t="str">
        <x:v>https://hotwheels.fandom.com/wiki/Porsche_911_Turbo_(Super_Hot_Wheels)</x:v>
      </x:c>
      <x:c r="X230" s="82" t="str">
        <x:v>https://hotwheels.fandom.com/wiki/Porsche_911_Turbo_(Super_Hot_Wheels)</x:v>
      </x:c>
    </x:row>
    <x:row r="231">
      <x:c r="A231" s="80" t="str">
        <x:v>Não</x:v>
      </x:c>
      <x:c r="B231" s="80" t="str">
        <x:v>Fora da meta principal</x:v>
      </x:c>
      <x:c r="C231" s="81" t="str"/>
      <x:c r="D231" s="80" t="str">
        <x:v>Porsche 911 Turbo (Super Hot Wheels)</x:v>
      </x:c>
      <x:c r="E231" s="80" t="str">
        <x:v>Porsche 911 Turbo</x:v>
      </x:c>
      <x:c r="F231" s="82" t="str">
        <x:v>Super Hot Wheels 2-Pack</x:v>
      </x:c>
      <x:c r="G231" s="80" t="str"/>
      <x:c r="H231" s="80" t="str"/>
      <x:c r="I231" s="83" t="str"/>
      <x:c r="J231" s="80" t="str">
        <x:v>Grey</x:v>
      </x:c>
      <x:c r="K231" s="82" t="str">
        <x:v>Green, Yellow, &amp; Red stripes</x:v>
      </x:c>
      <x:c r="L231" s="82" t="str"/>
      <x:c r="M231" s="82" t="str">
        <x:v>Black / Plastic</x:v>
      </x:c>
      <x:c r="N231" s="82" t="str">
        <x:v>Clear</x:v>
      </x:c>
      <x:c r="O231" s="82" t="str">
        <x:v>Black</x:v>
      </x:c>
      <x:c r="P231" s="82" t="str"/>
      <x:c r="Q231" s="82" t="str"/>
      <x:c r="R231" s="82" t="str">
        <x:v>Outra linha</x:v>
      </x:c>
      <x:c r="S231" s="82" t="str">
        <x:v>Comum / atual</x:v>
      </x:c>
      <x:c r="T231" s="82" t="str">
        <x:v>Ano não documentado</x:v>
      </x:c>
      <x:c r="U231" s="82" t="str"/>
      <x:c r="V231" s="80" t="str">
        <x:v>Escala 1:43</x:v>
      </x:c>
      <x:c r="W231" s="82" t="str">
        <x:v>https://hotwheels.fandom.com/wiki/Porsche_911_Turbo_(Super_Hot_Wheels)</x:v>
      </x:c>
      <x:c r="X231" s="82" t="str">
        <x:v>https://hotwheels.fandom.com/wiki/Porsche_911_Turbo_(Super_Hot_Wheels)</x:v>
      </x:c>
    </x:row>
    <x:row r="232">
      <x:c r="A232" s="80" t="str">
        <x:v>Não</x:v>
      </x:c>
      <x:c r="B232" s="80" t="str">
        <x:v>Fora da meta principal</x:v>
      </x:c>
      <x:c r="C232" s="81" t="str"/>
      <x:c r="D232" s="80" t="str">
        <x:v>Porsche 911 Turbo (Super Hot Wheels)</x:v>
      </x:c>
      <x:c r="E232" s="80" t="str">
        <x:v>Porsche 911 Turbo</x:v>
      </x:c>
      <x:c r="F232" s="82" t="str">
        <x:v>Super Hot Wheels 2-Pack</x:v>
      </x:c>
      <x:c r="G232" s="80" t="str"/>
      <x:c r="H232" s="80" t="str"/>
      <x:c r="I232" s="83" t="str"/>
      <x:c r="J232" s="80" t="str">
        <x:v>Red</x:v>
      </x:c>
      <x:c r="K232" s="82" t="str">
        <x:v>White stripe &amp; "5"</x:v>
      </x:c>
      <x:c r="L232" s="82" t="str"/>
      <x:c r="M232" s="82" t="str">
        <x:v>Black / / / Plastic</x:v>
      </x:c>
      <x:c r="N232" s="82" t="str">
        <x:v>Clear</x:v>
      </x:c>
      <x:c r="O232" s="82" t="str">
        <x:v>Black</x:v>
      </x:c>
      <x:c r="P232" s="82" t="str"/>
      <x:c r="Q232" s="82" t="str"/>
      <x:c r="R232" s="82" t="str">
        <x:v>Outra linha</x:v>
      </x:c>
      <x:c r="S232" s="82" t="str">
        <x:v>Comum / atual</x:v>
      </x:c>
      <x:c r="T232" s="82" t="str">
        <x:v>Ano não documentado</x:v>
      </x:c>
      <x:c r="U232" s="82" t="str"/>
      <x:c r="V232" s="80" t="str">
        <x:v>Escala 1:43</x:v>
      </x:c>
      <x:c r="W232" s="82" t="str">
        <x:v>https://hotwheels.fandom.com/wiki/Porsche_911_Turbo_(Super_Hot_Wheels)</x:v>
      </x:c>
      <x:c r="X232" s="82" t="str">
        <x:v>https://hotwheels.fandom.com/wiki/Porsche_911_Turbo_(Super_Hot_Wheels)</x:v>
      </x:c>
    </x:row>
    <x:row r="233">
      <x:c r="A233" s="80" t="str">
        <x:v>Não</x:v>
      </x:c>
      <x:c r="B233" s="80" t="str">
        <x:v>Fora da meta principal</x:v>
      </x:c>
      <x:c r="C233" s="81" t="str"/>
      <x:c r="D233" s="80" t="str">
        <x:v>Porsche 911 Turbo (Super Hot Wheels)</x:v>
      </x:c>
      <x:c r="E233" s="80" t="str">
        <x:v>Porsche 911 Turbo</x:v>
      </x:c>
      <x:c r="F233" s="82" t="str">
        <x:v>Super Hot Wheels Single Pack</x:v>
      </x:c>
      <x:c r="G233" s="80" t="str"/>
      <x:c r="H233" s="80" t="str"/>
      <x:c r="I233" s="83" t="str">
        <x:v>6066</x:v>
      </x:c>
      <x:c r="J233" s="80" t="str"/>
      <x:c r="K233" s="82" t="str"/>
      <x:c r="L233" s="82" t="str"/>
      <x:c r="M233" s="82" t="str"/>
      <x:c r="N233" s="82" t="str">
        <x:v>Clear</x:v>
      </x:c>
      <x:c r="O233" s="82" t="str"/>
      <x:c r="P233" s="82" t="str"/>
      <x:c r="Q233" s="82" t="str"/>
      <x:c r="R233" s="82" t="str">
        <x:v>Outra linha</x:v>
      </x:c>
      <x:c r="S233" s="82" t="str">
        <x:v>Comum / atual</x:v>
      </x:c>
      <x:c r="T233" s="82" t="str">
        <x:v>Ano não documentado</x:v>
      </x:c>
      <x:c r="U233" s="82" t="str"/>
      <x:c r="V233" s="80" t="str">
        <x:v>Escala 1:43</x:v>
      </x:c>
      <x:c r="W233" s="82" t="str">
        <x:v>https://hotwheels.fandom.com/wiki/Porsche_911_Turbo_(Super_Hot_Wheels)</x:v>
      </x:c>
      <x:c r="X233" s="82" t="str">
        <x:v>https://hotwheels.fandom.com/wiki/Porsche_911_Turbo_(Super_Hot_Wheels)</x:v>
      </x:c>
    </x:row>
    <x:row r="234">
      <x:c r="A234" s="80" t="str">
        <x:v>Não</x:v>
      </x:c>
      <x:c r="B234" s="80" t="str">
        <x:v>Fora da meta principal</x:v>
      </x:c>
      <x:c r="C234" s="81" t="str"/>
      <x:c r="D234" s="80" t="str">
        <x:v>Porsche 911 Turbo (Super Hot Wheels)</x:v>
      </x:c>
      <x:c r="E234" s="80" t="str">
        <x:v>Porsche 911 Turbo</x:v>
      </x:c>
      <x:c r="F234" s="82" t="str">
        <x:v>Super Hot Wheels Single Pack</x:v>
      </x:c>
      <x:c r="G234" s="80" t="str"/>
      <x:c r="H234" s="80" t="str"/>
      <x:c r="I234" s="83" t="str">
        <x:v>6068</x:v>
      </x:c>
      <x:c r="J234" s="80" t="str">
        <x:v>Blue</x:v>
      </x:c>
      <x:c r="K234" s="82" t="str">
        <x:v>"Monte Carlo" '3' Green Fenders</x:v>
      </x:c>
      <x:c r="L234" s="82" t="str"/>
      <x:c r="M234" s="82" t="str">
        <x:v>Yellow / Plastic</x:v>
      </x:c>
      <x:c r="N234" s="82" t="str">
        <x:v>Clear</x:v>
      </x:c>
      <x:c r="O234" s="82" t="str">
        <x:v>Yellow</x:v>
      </x:c>
      <x:c r="P234" s="82" t="str"/>
      <x:c r="Q234" s="82" t="str"/>
      <x:c r="R234" s="82" t="str">
        <x:v>Outra linha</x:v>
      </x:c>
      <x:c r="S234" s="82" t="str">
        <x:v>Comum / atual</x:v>
      </x:c>
      <x:c r="T234" s="82" t="str">
        <x:v>Ano não documentado</x:v>
      </x:c>
      <x:c r="U234" s="82" t="str">
        <x:v>Appears in a 2-Pack as well</x:v>
      </x:c>
      <x:c r="V234" s="80" t="str">
        <x:v>Escala 1:43</x:v>
      </x:c>
      <x:c r="W234" s="82" t="str">
        <x:v>https://hotwheels.fandom.com/wiki/Porsche_911_Turbo_(Super_Hot_Wheels)</x:v>
      </x:c>
      <x:c r="X234" s="82" t="str">
        <x:v>https://hotwheels.fandom.com/wiki/Porsche_911_Turbo_(Super_Hot_Wheels)</x:v>
      </x:c>
    </x:row>
    <x:row r="235">
      <x:c r="A235" s="80" t="str">
        <x:v>Não</x:v>
      </x:c>
      <x:c r="B235" s="80" t="str">
        <x:v>Fora da meta principal</x:v>
      </x:c>
      <x:c r="C235" s="81" t="str"/>
      <x:c r="D235" s="80" t="str">
        <x:v>Porsche 911 Turbo (Super Hot Wheels)</x:v>
      </x:c>
      <x:c r="E235" s="80" t="str">
        <x:v>Porsche 911 Turbo</x:v>
      </x:c>
      <x:c r="F235" s="82" t="str">
        <x:v>Super Hot Wheels Single Pack</x:v>
      </x:c>
      <x:c r="G235" s="80" t="str"/>
      <x:c r="H235" s="80" t="str"/>
      <x:c r="I235" s="83" t="str">
        <x:v>6066</x:v>
      </x:c>
      <x:c r="J235" s="80" t="str">
        <x:v>Red</x:v>
      </x:c>
      <x:c r="K235" s="82" t="str">
        <x:v>White stripe &amp; "5"</x:v>
      </x:c>
      <x:c r="L235" s="82" t="str"/>
      <x:c r="M235" s="82" t="str">
        <x:v>Black / Plastic</x:v>
      </x:c>
      <x:c r="N235" s="82" t="str">
        <x:v>Clear</x:v>
      </x:c>
      <x:c r="O235" s="82" t="str"/>
      <x:c r="P235" s="82" t="str"/>
      <x:c r="Q235" s="82" t="str"/>
      <x:c r="R235" s="82" t="str">
        <x:v>Outra linha</x:v>
      </x:c>
      <x:c r="S235" s="82" t="str">
        <x:v>Comum / atual</x:v>
      </x:c>
      <x:c r="T235" s="82" t="str">
        <x:v>Ano não documentado</x:v>
      </x:c>
      <x:c r="U235" s="82" t="str">
        <x:v>Appears in a 2-Pack as well</x:v>
      </x:c>
      <x:c r="V235" s="80" t="str">
        <x:v>Escala 1:43</x:v>
      </x:c>
      <x:c r="W235" s="82" t="str">
        <x:v>https://hotwheels.fandom.com/wiki/Porsche_911_Turbo_(Super_Hot_Wheels)</x:v>
      </x:c>
      <x:c r="X235" s="82" t="str">
        <x:v>https://hotwheels.fandom.com/wiki/Porsche_911_Turbo_(Super_Hot_Wheels)</x:v>
      </x:c>
    </x:row>
    <x:row r="236">
      <x:c r="A236" s="80" t="str">
        <x:v>Não</x:v>
      </x:c>
      <x:c r="B236" s="80" t="str">
        <x:v>Fora da meta principal</x:v>
      </x:c>
      <x:c r="C236" s="81" t="str"/>
      <x:c r="D236" s="80" t="str">
        <x:v>Porsche 911 Turbo (Super Hot Wheels)</x:v>
      </x:c>
      <x:c r="E236" s="80" t="str">
        <x:v>Porsche 911 Turbo</x:v>
      </x:c>
      <x:c r="F236" s="82" t="str">
        <x:v>Super Hot Wheels Window Box</x:v>
      </x:c>
      <x:c r="G236" s="80" t="str"/>
      <x:c r="H236" s="80" t="str"/>
      <x:c r="I236" s="83" t="str"/>
      <x:c r="J236" s="80" t="str">
        <x:v>Red</x:v>
      </x:c>
      <x:c r="K236" s="82" t="str">
        <x:v>White Strip #5, 12 Hours of SEBRING, Bora Bora, Bilstein, Winston, Union, Yellow "BOSCH"</x:v>
      </x:c>
      <x:c r="L236" s="82" t="str"/>
      <x:c r="M236" s="82" t="str">
        <x:v>Black / Plastic</x:v>
      </x:c>
      <x:c r="N236" s="82" t="str">
        <x:v>Clear, Black Sun stripe with White "Bora Bora"</x:v>
      </x:c>
      <x:c r="O236" s="82" t="str">
        <x:v>Black</x:v>
      </x:c>
      <x:c r="P236" s="82" t="str"/>
      <x:c r="Q236" s="82" t="str"/>
      <x:c r="R236" s="82" t="str">
        <x:v>Outra linha</x:v>
      </x:c>
      <x:c r="S236" s="82" t="str">
        <x:v>Comum / atual</x:v>
      </x:c>
      <x:c r="T236" s="82" t="str">
        <x:v>Ano não documentado</x:v>
      </x:c>
      <x:c r="U236" s="82" t="str"/>
      <x:c r="V236" s="80" t="str">
        <x:v>Escala 1:43</x:v>
      </x:c>
      <x:c r="W236" s="82" t="str">
        <x:v>https://hotwheels.fandom.com/wiki/Porsche_911_Turbo_(Super_Hot_Wheels)</x:v>
      </x:c>
      <x:c r="X236" s="82" t="str">
        <x:v>https://hotwheels.fandom.com/wiki/Porsche_911_Turbo_(Super_Hot_Wheels)</x:v>
      </x:c>
    </x:row>
    <x:row r="237">
      <x:c r="A237" s="80" t="str">
        <x:v>Não</x:v>
      </x:c>
      <x:c r="B237" s="80" t="str">
        <x:v>Fora da meta principal</x:v>
      </x:c>
      <x:c r="C237" s="81" t="str"/>
      <x:c r="D237" s="80" t="str">
        <x:v>Porsche 924 (Mebetoys)</x:v>
      </x:c>
      <x:c r="E237" s="80" t="str">
        <x:v>Porsche 924</x:v>
      </x:c>
      <x:c r="F237" s="82" t="str">
        <x:v>Mattel Mebetoys / serie europa</x:v>
      </x:c>
      <x:c r="G237" s="80" t="str"/>
      <x:c r="H237" s="80" t="str"/>
      <x:c r="I237" s="83" t="str">
        <x:v>A-93</x:v>
      </x:c>
      <x:c r="J237" s="80" t="str"/>
      <x:c r="K237" s="82" t="str"/>
      <x:c r="L237" s="82" t="str"/>
      <x:c r="M237" s="82" t="str"/>
      <x:c r="N237" s="82" t="str"/>
      <x:c r="O237" s="82" t="str"/>
      <x:c r="P237" s="82" t="str"/>
      <x:c r="Q237" s="82" t="str"/>
      <x:c r="R237" s="82" t="str">
        <x:v>Mainline</x:v>
      </x:c>
      <x:c r="S237" s="82" t="str">
        <x:v>Comum / atual</x:v>
      </x:c>
      <x:c r="T237" s="82" t="str">
        <x:v>Ano não documentado</x:v>
      </x:c>
      <x:c r="U237" s="82" t="str"/>
      <x:c r="V237" s="80" t="str">
        <x:v>Escala 1:43</x:v>
      </x:c>
      <x:c r="W237" s="82" t="str">
        <x:v>https://hotwheels.fandom.com/wiki/Porsche_924_(Mebetoys)</x:v>
      </x:c>
      <x:c r="X237" s="82" t="str">
        <x:v>https://hotwheels.fandom.com/wiki/Porsche_924_(Mebetoys)</x:v>
      </x:c>
    </x:row>
    <x:row r="238">
      <x:c r="A238" s="80" t="str">
        <x:v>Não</x:v>
      </x:c>
      <x:c r="B238" s="80" t="str">
        <x:v>Fora da meta principal</x:v>
      </x:c>
      <x:c r="C238" s="81" t="str"/>
      <x:c r="D238" s="80" t="str">
        <x:v>Porsche 924 (Mebetoys)</x:v>
      </x:c>
      <x:c r="E238" s="80" t="str">
        <x:v>Porsche 924</x:v>
      </x:c>
      <x:c r="F238" s="82" t="str">
        <x:v>Mattel Mebetoys / serie europa</x:v>
      </x:c>
      <x:c r="G238" s="80" t="str"/>
      <x:c r="H238" s="80" t="str"/>
      <x:c r="I238" s="83" t="str">
        <x:v>A-93</x:v>
      </x:c>
      <x:c r="J238" s="80" t="str">
        <x:v>Casablanca Beige Metallic</x:v>
      </x:c>
      <x:c r="K238" s="82" t="str"/>
      <x:c r="L238" s="82" t="str"/>
      <x:c r="M238" s="82" t="str"/>
      <x:c r="N238" s="82" t="str"/>
      <x:c r="O238" s="82" t="str"/>
      <x:c r="P238" s="82" t="str"/>
      <x:c r="Q238" s="82" t="str"/>
      <x:c r="R238" s="82" t="str">
        <x:v>Mainline</x:v>
      </x:c>
      <x:c r="S238" s="82" t="str">
        <x:v>Comum / atual</x:v>
      </x:c>
      <x:c r="T238" s="82" t="str">
        <x:v>Ano não documentado</x:v>
      </x:c>
      <x:c r="U238" s="82" t="str"/>
      <x:c r="V238" s="80" t="str">
        <x:v>Escala 1:43</x:v>
      </x:c>
      <x:c r="W238" s="82" t="str">
        <x:v>https://hotwheels.fandom.com/wiki/Porsche_924_(Mebetoys)</x:v>
      </x:c>
      <x:c r="X238" s="82" t="str">
        <x:v>https://hotwheels.fandom.com/wiki/Porsche_924_(Mebetoys)</x:v>
      </x:c>
    </x:row>
    <x:row r="239">
      <x:c r="A239" s="80" t="str">
        <x:v>Não</x:v>
      </x:c>
      <x:c r="B239" s="80" t="str">
        <x:v>Fora da meta principal</x:v>
      </x:c>
      <x:c r="C239" s="81" t="str"/>
      <x:c r="D239" s="80" t="str">
        <x:v>Porsche 924 (Mebetoys)</x:v>
      </x:c>
      <x:c r="E239" s="80" t="str">
        <x:v>Porsche 924</x:v>
      </x:c>
      <x:c r="F239" s="82" t="str">
        <x:v>Mattel Mebetoys / serie europa</x:v>
      </x:c>
      <x:c r="G239" s="80" t="str"/>
      <x:c r="H239" s="80" t="str"/>
      <x:c r="I239" s="83" t="str">
        <x:v>A-93</x:v>
      </x:c>
      <x:c r="J239" s="80" t="str">
        <x:v>Dolemite Grey Metallic</x:v>
      </x:c>
      <x:c r="K239" s="82" t="str"/>
      <x:c r="L239" s="82" t="str"/>
      <x:c r="M239" s="82" t="str"/>
      <x:c r="N239" s="82" t="str"/>
      <x:c r="O239" s="82" t="str"/>
      <x:c r="P239" s="82" t="str"/>
      <x:c r="Q239" s="82" t="str"/>
      <x:c r="R239" s="82" t="str">
        <x:v>Mainline</x:v>
      </x:c>
      <x:c r="S239" s="82" t="str">
        <x:v>Comum / atual</x:v>
      </x:c>
      <x:c r="T239" s="82" t="str">
        <x:v>Ano não documentado</x:v>
      </x:c>
      <x:c r="U239" s="82" t="str"/>
      <x:c r="V239" s="80" t="str">
        <x:v>Escala 1:43</x:v>
      </x:c>
      <x:c r="W239" s="82" t="str">
        <x:v>https://hotwheels.fandom.com/wiki/Porsche_924_(Mebetoys)</x:v>
      </x:c>
      <x:c r="X239" s="82" t="str">
        <x:v>https://hotwheels.fandom.com/wiki/Porsche_924_(Mebetoys)</x:v>
      </x:c>
    </x:row>
    <x:row r="240">
      <x:c r="A240" s="80" t="str">
        <x:v>Não</x:v>
      </x:c>
      <x:c r="B240" s="80" t="str">
        <x:v>Fora da meta principal</x:v>
      </x:c>
      <x:c r="C240" s="81" t="str"/>
      <x:c r="D240" s="80" t="str">
        <x:v>Porsche 924 (Mebetoys)</x:v>
      </x:c>
      <x:c r="E240" s="80" t="str">
        <x:v>Porsche 924</x:v>
      </x:c>
      <x:c r="F240" s="82" t="str">
        <x:v>Mattel Mebetoys / serie europa</x:v>
      </x:c>
      <x:c r="G240" s="80" t="str"/>
      <x:c r="H240" s="80" t="str"/>
      <x:c r="I240" s="83" t="str">
        <x:v>A-93</x:v>
      </x:c>
      <x:c r="J240" s="80" t="str">
        <x:v>Green</x:v>
      </x:c>
      <x:c r="K240" s="82" t="str"/>
      <x:c r="L240" s="82" t="str"/>
      <x:c r="M240" s="82" t="str"/>
      <x:c r="N240" s="82" t="str"/>
      <x:c r="O240" s="82" t="str"/>
      <x:c r="P240" s="82" t="str"/>
      <x:c r="Q240" s="82" t="str"/>
      <x:c r="R240" s="82" t="str">
        <x:v>Mainline</x:v>
      </x:c>
      <x:c r="S240" s="82" t="str">
        <x:v>Comum / atual</x:v>
      </x:c>
      <x:c r="T240" s="82" t="str">
        <x:v>Ano não documentado</x:v>
      </x:c>
      <x:c r="U240" s="82" t="str"/>
      <x:c r="V240" s="80" t="str">
        <x:v>Escala 1:43</x:v>
      </x:c>
      <x:c r="W240" s="82" t="str">
        <x:v>https://hotwheels.fandom.com/wiki/Porsche_924_(Mebetoys)</x:v>
      </x:c>
      <x:c r="X240" s="82" t="str">
        <x:v>https://hotwheels.fandom.com/wiki/Porsche_924_(Mebetoys)</x:v>
      </x:c>
    </x:row>
    <x:row r="241">
      <x:c r="A241" s="80" t="str">
        <x:v>Não</x:v>
      </x:c>
      <x:c r="B241" s="80" t="str">
        <x:v>Fora da meta principal</x:v>
      </x:c>
      <x:c r="C241" s="81" t="str"/>
      <x:c r="D241" s="80" t="str">
        <x:v>Porsche 924 (Mebetoys)</x:v>
      </x:c>
      <x:c r="E241" s="80" t="str">
        <x:v>Porsche 924</x:v>
      </x:c>
      <x:c r="F241" s="82" t="str">
        <x:v>Mattel Mebetoys / serie europa</x:v>
      </x:c>
      <x:c r="G241" s="80" t="str"/>
      <x:c r="H241" s="80" t="str"/>
      <x:c r="I241" s="83" t="str">
        <x:v>A-93</x:v>
      </x:c>
      <x:c r="J241" s="80" t="str">
        <x:v>Talbot Yellow</x:v>
      </x:c>
      <x:c r="K241" s="82" t="str"/>
      <x:c r="L241" s="82" t="str"/>
      <x:c r="M241" s="82" t="str"/>
      <x:c r="N241" s="82" t="str"/>
      <x:c r="O241" s="82" t="str"/>
      <x:c r="P241" s="82" t="str"/>
      <x:c r="Q241" s="82" t="str"/>
      <x:c r="R241" s="82" t="str">
        <x:v>Mainline</x:v>
      </x:c>
      <x:c r="S241" s="82" t="str">
        <x:v>Comum / atual</x:v>
      </x:c>
      <x:c r="T241" s="82" t="str">
        <x:v>Ano não documentado</x:v>
      </x:c>
      <x:c r="U241" s="82" t="str"/>
      <x:c r="V241" s="80" t="str">
        <x:v>Escala 1:43</x:v>
      </x:c>
      <x:c r="W241" s="82" t="str">
        <x:v>https://hotwheels.fandom.com/wiki/Porsche_924_(Mebetoys)</x:v>
      </x:c>
      <x:c r="X241" s="82" t="str">
        <x:v>https://hotwheels.fandom.com/wiki/Porsche_924_(Mebetoys)</x:v>
      </x:c>
    </x:row>
    <x:row r="242">
      <x:c r="A242" s="80" t="str">
        <x:v>Não</x:v>
      </x:c>
      <x:c r="B242" s="80" t="str">
        <x:v>Fora da meta principal</x:v>
      </x:c>
      <x:c r="C242" s="81" t="str"/>
      <x:c r="D242" s="80" t="str">
        <x:v>Porsche 924 (Mebetoys)</x:v>
      </x:c>
      <x:c r="E242" s="80" t="str">
        <x:v>Porsche 924</x:v>
      </x:c>
      <x:c r="F242" s="82" t="str">
        <x:v>Mattel Mebetoys / serie europa</x:v>
      </x:c>
      <x:c r="G242" s="80" t="str"/>
      <x:c r="H242" s="80" t="str"/>
      <x:c r="I242" s="83" t="str">
        <x:v>A-93</x:v>
      </x:c>
      <x:c r="J242" s="80" t="str">
        <x:v>Tobacco Metallic</x:v>
      </x:c>
      <x:c r="K242" s="82" t="str"/>
      <x:c r="L242" s="82" t="str"/>
      <x:c r="M242" s="82" t="str"/>
      <x:c r="N242" s="82" t="str"/>
      <x:c r="O242" s="82" t="str"/>
      <x:c r="P242" s="82" t="str"/>
      <x:c r="Q242" s="82" t="str"/>
      <x:c r="R242" s="82" t="str">
        <x:v>Mainline</x:v>
      </x:c>
      <x:c r="S242" s="82" t="str">
        <x:v>Comum / atual</x:v>
      </x:c>
      <x:c r="T242" s="82" t="str">
        <x:v>Ano não documentado</x:v>
      </x:c>
      <x:c r="U242" s="82" t="str"/>
      <x:c r="V242" s="80" t="str">
        <x:v>Escala 1:43</x:v>
      </x:c>
      <x:c r="W242" s="82" t="str">
        <x:v>https://hotwheels.fandom.com/wiki/Porsche_924_(Mebetoys)</x:v>
      </x:c>
      <x:c r="X242" s="82" t="str">
        <x:v>https://hotwheels.fandom.com/wiki/Porsche_924_(Mebetoys)</x:v>
      </x:c>
    </x:row>
    <x:row r="243">
      <x:c r="A243" s="80" t="str">
        <x:v>Não</x:v>
      </x:c>
      <x:c r="B243" s="80" t="str">
        <x:v>Fora da meta principal</x:v>
      </x:c>
      <x:c r="C243" s="81" t="str"/>
      <x:c r="D243" s="80" t="str">
        <x:v>Porsche 924 (Mebetoys)</x:v>
      </x:c>
      <x:c r="E243" s="80" t="str">
        <x:v>Porsche 924</x:v>
      </x:c>
      <x:c r="F243" s="82" t="str">
        <x:v>Super Hot Wheels Box</x:v>
      </x:c>
      <x:c r="G243" s="80" t="str"/>
      <x:c r="H243" s="80" t="str"/>
      <x:c r="I243" s="83" t="str">
        <x:v>A-93</x:v>
      </x:c>
      <x:c r="J243" s="80" t="str">
        <x:v>Alpine White</x:v>
      </x:c>
      <x:c r="K243" s="82" t="str"/>
      <x:c r="L243" s="82" t="str"/>
      <x:c r="M243" s="82" t="str">
        <x:v>Black / Plastic</x:v>
      </x:c>
      <x:c r="N243" s="82" t="str">
        <x:v>Clear</x:v>
      </x:c>
      <x:c r="O243" s="82" t="str">
        <x:v>Brown</x:v>
      </x:c>
      <x:c r="P243" s="82" t="str"/>
      <x:c r="Q243" s="82" t="str"/>
      <x:c r="R243" s="82" t="str">
        <x:v>Outra linha</x:v>
      </x:c>
      <x:c r="S243" s="82" t="str">
        <x:v>Comum / atual</x:v>
      </x:c>
      <x:c r="T243" s="82" t="str">
        <x:v>Ano não documentado</x:v>
      </x:c>
      <x:c r="U243" s="82" t="str"/>
      <x:c r="V243" s="80" t="str">
        <x:v>Escala 1:43</x:v>
      </x:c>
      <x:c r="W243" s="82" t="str">
        <x:v>https://hotwheels.fandom.com/wiki/Porsche_924_(Mebetoys)</x:v>
      </x:c>
      <x:c r="X243" s="82" t="str">
        <x:v>https://hotwheels.fandom.com/wiki/Porsche_924_(Mebetoys)</x:v>
      </x:c>
    </x:row>
    <x:row r="244">
      <x:c r="A244" s="80" t="str">
        <x:v>Não</x:v>
      </x:c>
      <x:c r="B244" s="80" t="str">
        <x:v>Fora da meta principal</x:v>
      </x:c>
      <x:c r="C244" s="81" t="str"/>
      <x:c r="D244" s="80" t="str">
        <x:v>Porsche 959 (micro)</x:v>
      </x:c>
      <x:c r="E244" s="80" t="str">
        <x:v>Porsche 959 (micro)</x:v>
      </x:c>
      <x:c r="F244" s="82" t="str">
        <x:v>Micro Hot Wheels</x:v>
      </x:c>
      <x:c r="G244" s="80" t="str"/>
      <x:c r="H244" s="80" t="str"/>
      <x:c r="I244" s="83" t="str"/>
      <x:c r="J244" s="80" t="str">
        <x:v>Yellow</x:v>
      </x:c>
      <x:c r="K244" s="82" t="str"/>
      <x:c r="L244" s="82" t="str">
        <x:v>MGW</x:v>
      </x:c>
      <x:c r="M244" s="82" t="str">
        <x:v>Black / / / Plastic</x:v>
      </x:c>
      <x:c r="N244" s="82" t="str">
        <x:v>Black</x:v>
      </x:c>
      <x:c r="O244" s="82" t="str">
        <x:v>N/A</x:v>
      </x:c>
      <x:c r="P244" s="82" t="str">
        <x:v>Malaysia</x:v>
      </x:c>
      <x:c r="Q244" s="82" t="str"/>
      <x:c r="R244" s="82" t="str">
        <x:v>Outra linha</x:v>
      </x:c>
      <x:c r="S244" s="82" t="str">
        <x:v>Comum / atual</x:v>
      </x:c>
      <x:c r="T244" s="82" t="str">
        <x:v>Ano não documentado</x:v>
      </x:c>
      <x:c r="U244" s="82" t="str"/>
      <x:c r="V244" s="80" t="str">
        <x:v>Micro</x:v>
      </x:c>
      <x:c r="W244" s="82" t="str">
        <x:v>https://hotwheels.fandom.com/wiki/Porsche_959_(micro)</x:v>
      </x:c>
      <x:c r="X244" s="82" t="str">
        <x:v>https://hotwheels.fandom.com/wiki/Porsche_959_(micro)</x:v>
      </x:c>
    </x:row>
    <x:row r="245">
      <x:c r="A245" s="80" t="str">
        <x:v>Não</x:v>
      </x:c>
      <x:c r="B245" s="80" t="str">
        <x:v>Fora da meta principal</x:v>
      </x:c>
      <x:c r="C245" s="81" t="str"/>
      <x:c r="D245" s="80" t="str">
        <x:v>Porsche GT3 (1:18)</x:v>
      </x:c>
      <x:c r="E245" s="80" t="str">
        <x:v>Porsche GT3 (1:18)</x:v>
      </x:c>
      <x:c r="F245" s="82" t="str">
        <x:v>100% Hot Wheels 1:18 Scale</x:v>
      </x:c>
      <x:c r="G245" s="80" t="str"/>
      <x:c r="H245" s="80" t="str"/>
      <x:c r="I245" s="83" t="str">
        <x:v>B6056</x:v>
      </x:c>
      <x:c r="J245" s="80" t="str">
        <x:v>Red</x:v>
      </x:c>
      <x:c r="K245" s="82" t="str"/>
      <x:c r="L245" s="82" t="str"/>
      <x:c r="M245" s="82" t="str">
        <x:v>Black / / / Plastic</x:v>
      </x:c>
      <x:c r="N245" s="82" t="str">
        <x:v>Clear</x:v>
      </x:c>
      <x:c r="O245" s="82" t="str">
        <x:v>Black</x:v>
      </x:c>
      <x:c r="P245" s="82" t="str">
        <x:v>China</x:v>
      </x:c>
      <x:c r="Q245" s="82" t="str"/>
      <x:c r="R245" s="82" t="str">
        <x:v>100% / Collectibles</x:v>
      </x:c>
      <x:c r="S245" s="82" t="str">
        <x:v>Incomum</x:v>
      </x:c>
      <x:c r="T245" s="82" t="str">
        <x:v>Ano não documentado</x:v>
      </x:c>
      <x:c r="U245" s="82" t="str">
        <x:v>Production code(s): 2904AZ</x:v>
      </x:c>
      <x:c r="V245" s="80" t="str">
        <x:v>Escala 1:18</x:v>
      </x:c>
      <x:c r="W245" s="82" t="str">
        <x:v>https://hotwheels.fandom.com/wiki/Porsche_GT3_(1:18)</x:v>
      </x:c>
      <x:c r="X245" s="82" t="str">
        <x:v>https://hotwheels.fandom.com/wiki/Porsche_GT3_(1:18)</x:v>
      </x:c>
    </x:row>
    <x:row r="246">
      <x:c r="A246" s="80" t="str">
        <x:v>Não</x:v>
      </x:c>
      <x:c r="B246" s="80" t="str">
        <x:v>Fora da meta principal</x:v>
      </x:c>
      <x:c r="C246" s="81" t="str"/>
      <x:c r="D246" s="80" t="str">
        <x:v>Porsche GT3 (1:18)</x:v>
      </x:c>
      <x:c r="E246" s="80" t="str">
        <x:v>Porsche GT3 (1:18)</x:v>
      </x:c>
      <x:c r="F246" s="82" t="str">
        <x:v>100% Hot Wheels 1:18 Scale</x:v>
      </x:c>
      <x:c r="G246" s="80" t="str"/>
      <x:c r="H246" s="80" t="str"/>
      <x:c r="I246" s="83" t="str">
        <x:v>C2590</x:v>
      </x:c>
      <x:c r="J246" s="80" t="str">
        <x:v>Silver</x:v>
      </x:c>
      <x:c r="K246" s="82" t="str"/>
      <x:c r="L246" s="82" t="str"/>
      <x:c r="M246" s="82" t="str">
        <x:v>Black / / / Plastic</x:v>
      </x:c>
      <x:c r="N246" s="82" t="str">
        <x:v>Clear</x:v>
      </x:c>
      <x:c r="O246" s="82" t="str">
        <x:v>Black</x:v>
      </x:c>
      <x:c r="P246" s="82" t="str">
        <x:v>China</x:v>
      </x:c>
      <x:c r="Q246" s="82" t="str"/>
      <x:c r="R246" s="82" t="str">
        <x:v>100% / Collectibles</x:v>
      </x:c>
      <x:c r="S246" s="82" t="str">
        <x:v>Incomum</x:v>
      </x:c>
      <x:c r="T246" s="82" t="str">
        <x:v>Ano não documentado</x:v>
      </x:c>
      <x:c r="U246" s="82" t="str"/>
      <x:c r="V246" s="80" t="str">
        <x:v>Escala 1:18</x:v>
      </x:c>
      <x:c r="W246" s="82" t="str">
        <x:v>https://hotwheels.fandom.com/wiki/Porsche_GT3_(1:18)</x:v>
      </x:c>
      <x:c r="X246" s="82" t="str">
        <x:v>https://hotwheels.fandom.com/wiki/Porsche_GT3_(1:18)</x:v>
      </x:c>
    </x:row>
    <x:row r="247">
      <x:c r="A247" s="80" t="str">
        <x:v>Não</x:v>
      </x:c>
      <x:c r="B247" s="80" t="str">
        <x:v>Fora da meta principal</x:v>
      </x:c>
      <x:c r="C247" s="81" t="str"/>
      <x:c r="D247" s="80" t="str">
        <x:v>Porsche GT3 (1:18)</x:v>
      </x:c>
      <x:c r="E247" s="80" t="str">
        <x:v>Porsche GT3 (1:18)</x:v>
      </x:c>
      <x:c r="F247" s="82" t="str">
        <x:v>Metal Collection</x:v>
      </x:c>
      <x:c r="G247" s="80" t="str"/>
      <x:c r="H247" s="80" t="str"/>
      <x:c r="I247" s="83" t="str"/>
      <x:c r="J247" s="80" t="str">
        <x:v>Yellow</x:v>
      </x:c>
      <x:c r="K247" s="82" t="str"/>
      <x:c r="L247" s="82" t="str"/>
      <x:c r="M247" s="82" t="str">
        <x:v>Black / / / Plastic</x:v>
      </x:c>
      <x:c r="N247" s="82" t="str">
        <x:v>Clear</x:v>
      </x:c>
      <x:c r="O247" s="82" t="str">
        <x:v>Black</x:v>
      </x:c>
      <x:c r="P247" s="82" t="str">
        <x:v>China</x:v>
      </x:c>
      <x:c r="Q247" s="82" t="str"/>
      <x:c r="R247" s="82" t="str">
        <x:v>Outra linha</x:v>
      </x:c>
      <x:c r="S247" s="82" t="str">
        <x:v>Comum / atual</x:v>
      </x:c>
      <x:c r="T247" s="82" t="str">
        <x:v>Ano não documentado</x:v>
      </x:c>
      <x:c r="U247" s="82" t="str"/>
      <x:c r="V247" s="80" t="str">
        <x:v>Escala 1:18</x:v>
      </x:c>
      <x:c r="W247" s="82" t="str">
        <x:v>https://hotwheels.fandom.com/wiki/Porsche_GT3_(1:18)</x:v>
      </x:c>
      <x:c r="X247" s="82" t="str">
        <x:v>https://hotwheels.fandom.com/wiki/Porsche_GT3_(1:18)</x:v>
      </x:c>
    </x:row>
  </x:sheetData>
  <x:mergeCells>
    <x:mergeCell ref="A1:X1"/>
    <x:mergeCell ref="A2:X2"/>
  </x:mergeCells>
  <x:conditionalFormatting sqref="A5:A247">
    <x:cfRule type="expression" dxfId="12" priority="1">
      <x:formula>$A5="Tenho"</x:formula>
    </x:cfRule>
    <x:cfRule type="expression" dxfId="13" priority="2">
      <x:formula>$A5="A caminho"</x:formula>
    </x:cfRule>
  </x:conditionalFormatting>
  <x:conditionalFormatting sqref="B5:B247">
    <x:cfRule type="expression" dxfId="14" priority="3">
      <x:formula>LEFT($B5,1)="1"</x:formula>
    </x:cfRule>
  </x:conditionalFormatting>
  <x:conditionalFormatting sqref="T5:T247">
    <x:cfRule type="expression" dxfId="15" priority="4">
      <x:formula>ISNUMBER(SEARCH("confirmar",$T5))</x:formula>
    </x:cfRule>
  </x:conditionalFormatting>
  <x:dataValidations count="1">
    <x:dataValidation type="list" sqref="A5:A247">
      <x:formula1>"Não,Tenho,A caminho"</x:formula1>
    </x:dataValidation>
  </x:dataValidations>
  <x:pageMargins left="0.7" right="0.7" top="0.75" bottom="0.75" header="0.3" footer="0.3"/>
  <x:tableParts count="1">
    <x:tablePart xmlns:r="http://schemas.openxmlformats.org/officeDocument/2006/relationships" r:id="R0e1af9f5c71c48d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29" hidden="0" customWidth="1"/>
    <x:col min="4" max="4" width="11" hidden="0" customWidth="1"/>
    <x:col min="5" max="5" width="13" hidden="0" customWidth="1"/>
    <x:col min="6" max="6" width="11" hidden="0" customWidth="1"/>
    <x:col min="7" max="7" width="11" hidden="0" customWidth="1"/>
    <x:col min="8" max="8" width="11" hidden="0" customWidth="1"/>
    <x:col min="9" max="9" width="26" hidden="0" customWidth="1"/>
    <x:col min="10" max="10" width="48" hidden="0" customWidth="1"/>
  </x:cols>
  <x:sheetData>
    <x:row r="1">
      <x:c r="A1" s="77" t="str">
        <x:v>Índice de castings</x:v>
      </x:c>
      <x:c r="B1" s="77"/>
      <x:c r="C1" s="77"/>
      <x:c r="D1" s="77"/>
      <x:c r="E1" s="77"/>
      <x:c r="F1" s="77"/>
      <x:c r="G1" s="77"/>
      <x:c r="H1" s="77"/>
      <x:c r="I1" s="77"/>
      <x:c r="J1" s="77"/>
    </x:row>
    <x:row r="2">
      <x:c r="A2" s="87" t="str">
        <x:v>Uma linha por molde/casting; use para planejar uma coleção por modelos antes de buscar todas as variações.</x:v>
      </x:c>
      <x:c r="B2" s="87"/>
      <x:c r="C2" s="87"/>
      <x:c r="D2" s="87"/>
      <x:c r="E2" s="87"/>
      <x:c r="F2" s="87"/>
      <x:c r="G2" s="87"/>
      <x:c r="H2" s="87"/>
      <x:c r="I2" s="87"/>
      <x:c r="J2" s="87"/>
    </x:row>
    <x:row r="3">
      <x:c r="A3" s="58"/>
      <x:c r="B3" s="58"/>
      <x:c r="C3" s="58"/>
      <x:c r="D3" s="58"/>
      <x:c r="E3" s="58"/>
      <x:c r="F3" s="58"/>
      <x:c r="G3" s="58"/>
      <x:c r="H3" s="58"/>
      <x:c r="I3" s="58"/>
      <x:c r="J3" s="58"/>
    </x:row>
    <x:row r="4">
      <x:c r="A4" s="59" t="str">
        <x:v>Marca</x:v>
      </x:c>
      <x:c r="B4" s="59" t="str">
        <x:v>Casting</x:v>
      </x:c>
      <x:c r="C4" s="59" t="str">
        <x:v>Escopo</x:v>
      </x:c>
      <x:c r="D4" s="59" t="str">
        <x:v>1º ano</x:v>
      </x:c>
      <x:c r="E4" s="59" t="str">
        <x:v>Último ano</x:v>
      </x:c>
      <x:c r="F4" s="59" t="str">
        <x:v>Versões</x:v>
      </x:c>
      <x:c r="G4" s="59" t="str">
        <x:v>Principais</x:v>
      </x:c>
      <x:c r="H4" s="59" t="str">
        <x:v>Paralelas</x:v>
      </x:c>
      <x:c r="I4" s="59" t="str">
        <x:v>Prioridade típica</x:v>
      </x:c>
      <x:c r="J4" s="59" t="str">
        <x:v>Página</x:v>
      </x:c>
    </x:row>
    <x:row r="5">
      <x:c r="A5" s="88" t="str">
        <x:v>BMW</x:v>
      </x:c>
      <x:c r="B5" s="88" t="str">
        <x:v>'10 BMW M3</x:v>
      </x:c>
      <x:c r="C5" s="88" t="str">
        <x:v>Coleção principal (~1:64)</x:v>
      </x:c>
      <x:c r="D5" s="88" t="n">
        <x:v>2011</x:v>
      </x:c>
      <x:c r="E5" s="88" t="n">
        <x:v>2026</x:v>
      </x:c>
      <x:c r="F5" s="88" t="n">
        <x:v>9</x:v>
      </x:c>
      <x:c r="G5" s="88" t="n">
        <x:v>9</x:v>
      </x:c>
      <x:c r="H5" s="88" t="n">
        <x:v>0</x:v>
      </x:c>
      <x:c r="I5" s="88" t="str">
        <x:v>1 — Comprar agora</x:v>
      </x:c>
      <x:c r="J5" s="89" t="str">
        <x:v>https://hotwheels.fandom.com/wiki/%2710_BMW_M3</x:v>
      </x:c>
    </x:row>
    <x:row r="6">
      <x:c r="A6" s="88" t="str">
        <x:v>BMW</x:v>
      </x:c>
      <x:c r="B6" s="88" t="str">
        <x:v>'73 BMW 3.0 CSL Race Car</x:v>
      </x:c>
      <x:c r="C6" s="88" t="str">
        <x:v>Coleção principal (~1:64)</x:v>
      </x:c>
      <x:c r="D6" s="88" t="n">
        <x:v>2016</x:v>
      </x:c>
      <x:c r="E6" s="88" t="n">
        <x:v>2026</x:v>
      </x:c>
      <x:c r="F6" s="88" t="n">
        <x:v>16</x:v>
      </x:c>
      <x:c r="G6" s="88" t="n">
        <x:v>16</x:v>
      </x:c>
      <x:c r="H6" s="88" t="n">
        <x:v>0</x:v>
      </x:c>
      <x:c r="I6" s="88" t="str">
        <x:v>1 — Comprar agora</x:v>
      </x:c>
      <x:c r="J6" s="89" t="str">
        <x:v>https://hotwheels.fandom.com/wiki/%2773_BMW_3.0_CSL_Race_Car</x:v>
      </x:c>
    </x:row>
    <x:row r="7">
      <x:c r="A7" s="88" t="str">
        <x:v>BMW</x:v>
      </x:c>
      <x:c r="B7" s="88" t="str">
        <x:v>'92 BMW M3</x:v>
      </x:c>
      <x:c r="C7" s="88" t="str">
        <x:v>Coleção principal (~1:64)</x:v>
      </x:c>
      <x:c r="D7" s="88" t="n">
        <x:v>2012</x:v>
      </x:c>
      <x:c r="E7" s="88" t="n">
        <x:v>2026</x:v>
      </x:c>
      <x:c r="F7" s="88" t="n">
        <x:v>22</x:v>
      </x:c>
      <x:c r="G7" s="88" t="n">
        <x:v>22</x:v>
      </x:c>
      <x:c r="H7" s="88" t="n">
        <x:v>0</x:v>
      </x:c>
      <x:c r="I7" s="88" t="str">
        <x:v>1 — Comprar agora</x:v>
      </x:c>
      <x:c r="J7" s="89" t="str">
        <x:v>https://hotwheels.fandom.com/wiki/%2792_BMW_M3</x:v>
      </x:c>
    </x:row>
    <x:row r="8">
      <x:c r="A8" s="88" t="str">
        <x:v>BMW</x:v>
      </x:c>
      <x:c r="B8" s="88" t="str">
        <x:v>1975 BMW 3.0 CSL Race</x:v>
      </x:c>
      <x:c r="C8" s="88" t="str">
        <x:v>Coleção principal (~1:64)</x:v>
      </x:c>
      <x:c r="D8" s="88" t="n">
        <x:v>2025</x:v>
      </x:c>
      <x:c r="E8" s="88" t="n">
        <x:v>2025</x:v>
      </x:c>
      <x:c r="F8" s="88" t="n">
        <x:v>2</x:v>
      </x:c>
      <x:c r="G8" s="88" t="n">
        <x:v>2</x:v>
      </x:c>
      <x:c r="H8" s="88" t="n">
        <x:v>0</x:v>
      </x:c>
      <x:c r="I8" s="88" t="str">
        <x:v>1 — Comprar agora</x:v>
      </x:c>
      <x:c r="J8" s="89" t="str">
        <x:v>https://hotwheels.fandom.com/wiki/1975_BMW_3.0_CSL_Race</x:v>
      </x:c>
    </x:row>
    <x:row r="9">
      <x:c r="A9" s="88" t="str">
        <x:v>BMW</x:v>
      </x:c>
      <x:c r="B9" s="88" t="str">
        <x:v>1983 BMW 733i</x:v>
      </x:c>
      <x:c r="C9" s="88" t="str">
        <x:v>Coleção principal (~1:64)</x:v>
      </x:c>
      <x:c r="D9" s="88" t="n">
        <x:v>2026</x:v>
      </x:c>
      <x:c r="E9" s="88" t="n">
        <x:v>2026</x:v>
      </x:c>
      <x:c r="F9" s="88" t="n">
        <x:v>1</x:v>
      </x:c>
      <x:c r="G9" s="88" t="n">
        <x:v>1</x:v>
      </x:c>
      <x:c r="H9" s="88" t="n">
        <x:v>0</x:v>
      </x:c>
      <x:c r="I9" s="88" t="str">
        <x:v>1 — Comprar agora</x:v>
      </x:c>
      <x:c r="J9" s="89" t="str">
        <x:v>https://hotwheels.fandom.com/wiki/1983_BMW_733i</x:v>
      </x:c>
    </x:row>
    <x:row r="10">
      <x:c r="A10" s="88" t="str">
        <x:v>BMW</x:v>
      </x:c>
      <x:c r="B10" s="88" t="str">
        <x:v>1990 BMW 318i Touring</x:v>
      </x:c>
      <x:c r="C10" s="88" t="str">
        <x:v>Coleção principal (~1:64)</x:v>
      </x:c>
      <x:c r="D10" s="88" t="n">
        <x:v>2024</x:v>
      </x:c>
      <x:c r="E10" s="88" t="n">
        <x:v>2024</x:v>
      </x:c>
      <x:c r="F10" s="88" t="n">
        <x:v>1</x:v>
      </x:c>
      <x:c r="G10" s="88" t="n">
        <x:v>1</x:v>
      </x:c>
      <x:c r="H10" s="88" t="n">
        <x:v>0</x:v>
      </x:c>
      <x:c r="I10" s="88" t="str">
        <x:v>1 — Comprar agora</x:v>
      </x:c>
      <x:c r="J10" s="89" t="str">
        <x:v>https://hotwheels.fandom.com/wiki/1990_BMW_318i_Touring</x:v>
      </x:c>
    </x:row>
    <x:row r="11">
      <x:c r="A11" s="88" t="str">
        <x:v>BMW</x:v>
      </x:c>
      <x:c r="B11" s="88" t="str">
        <x:v>1991 BMW M3</x:v>
      </x:c>
      <x:c r="C11" s="88" t="str">
        <x:v>Coleção principal (~1:64)</x:v>
      </x:c>
      <x:c r="D11" s="88" t="n">
        <x:v>2022</x:v>
      </x:c>
      <x:c r="E11" s="88" t="n">
        <x:v>2026</x:v>
      </x:c>
      <x:c r="F11" s="88" t="n">
        <x:v>3</x:v>
      </x:c>
      <x:c r="G11" s="88" t="n">
        <x:v>3</x:v>
      </x:c>
      <x:c r="H11" s="88" t="n">
        <x:v>0</x:v>
      </x:c>
      <x:c r="I11" s="88" t="str">
        <x:v>3 — Caça de longo prazo</x:v>
      </x:c>
      <x:c r="J11" s="89" t="str">
        <x:v>https://hotwheels.fandom.com/wiki/1991_BMW_M3</x:v>
      </x:c>
    </x:row>
    <x:row r="12">
      <x:c r="A12" s="88" t="str">
        <x:v>BMW</x:v>
      </x:c>
      <x:c r="B12" s="88" t="str">
        <x:v>1991 BMW M5</x:v>
      </x:c>
      <x:c r="C12" s="88" t="str">
        <x:v>Coleção principal (~1:64)</x:v>
      </x:c>
      <x:c r="D12" s="88" t="n">
        <x:v>2023</x:v>
      </x:c>
      <x:c r="E12" s="88" t="n">
        <x:v>2025</x:v>
      </x:c>
      <x:c r="F12" s="88" t="n">
        <x:v>2</x:v>
      </x:c>
      <x:c r="G12" s="88" t="n">
        <x:v>2</x:v>
      </x:c>
      <x:c r="H12" s="88" t="n">
        <x:v>0</x:v>
      </x:c>
      <x:c r="I12" s="88" t="str">
        <x:v>1 — Comprar agora</x:v>
      </x:c>
      <x:c r="J12" s="89" t="str">
        <x:v>https://hotwheels.fandom.com/wiki/1991_BMW_M5</x:v>
      </x:c>
    </x:row>
    <x:row r="13">
      <x:c r="A13" s="88" t="str">
        <x:v>BMW</x:v>
      </x:c>
      <x:c r="B13" s="88" t="str">
        <x:v>1995 BMW M3 LTW</x:v>
      </x:c>
      <x:c r="C13" s="88" t="str">
        <x:v>Coleção principal (~1:64)</x:v>
      </x:c>
      <x:c r="D13" s="88" t="n">
        <x:v>2025</x:v>
      </x:c>
      <x:c r="E13" s="88" t="n">
        <x:v>2025</x:v>
      </x:c>
      <x:c r="F13" s="88" t="n">
        <x:v>1</x:v>
      </x:c>
      <x:c r="G13" s="88" t="n">
        <x:v>1</x:v>
      </x:c>
      <x:c r="H13" s="88" t="n">
        <x:v>0</x:v>
      </x:c>
      <x:c r="I13" s="88" t="str">
        <x:v>3 — Caça de longo prazo</x:v>
      </x:c>
      <x:c r="J13" s="89" t="str">
        <x:v>https://hotwheels.fandom.com/wiki/1995_BMW_M3_LTW</x:v>
      </x:c>
    </x:row>
    <x:row r="14">
      <x:c r="A14" s="88" t="str">
        <x:v>BMW</x:v>
      </x:c>
      <x:c r="B14" s="88" t="str">
        <x:v>2001 BMW M5</x:v>
      </x:c>
      <x:c r="C14" s="88" t="str">
        <x:v>Coleção principal (~1:64)</x:v>
      </x:c>
      <x:c r="D14" s="88" t="n">
        <x:v>2022</x:v>
      </x:c>
      <x:c r="E14" s="88" t="n">
        <x:v>2025</x:v>
      </x:c>
      <x:c r="F14" s="88" t="n">
        <x:v>7</x:v>
      </x:c>
      <x:c r="G14" s="88" t="n">
        <x:v>7</x:v>
      </x:c>
      <x:c r="H14" s="88" t="n">
        <x:v>0</x:v>
      </x:c>
      <x:c r="I14" s="88" t="str">
        <x:v>1 — Comprar agora</x:v>
      </x:c>
      <x:c r="J14" s="89" t="str">
        <x:v>https://hotwheels.fandom.com/wiki/2001_BMW_M5</x:v>
      </x:c>
    </x:row>
    <x:row r="15">
      <x:c r="A15" s="88" t="str">
        <x:v>BMW</x:v>
      </x:c>
      <x:c r="B15" s="88" t="str">
        <x:v>2006 BMW M3</x:v>
      </x:c>
      <x:c r="C15" s="88" t="str">
        <x:v>Coleção principal (~1:64)</x:v>
      </x:c>
      <x:c r="D15" s="88" t="n">
        <x:v>2021</x:v>
      </x:c>
      <x:c r="E15" s="88" t="n">
        <x:v>2025</x:v>
      </x:c>
      <x:c r="F15" s="88" t="n">
        <x:v>3</x:v>
      </x:c>
      <x:c r="G15" s="88" t="n">
        <x:v>3</x:v>
      </x:c>
      <x:c r="H15" s="88" t="n">
        <x:v>0</x:v>
      </x:c>
      <x:c r="I15" s="88" t="str">
        <x:v>3 — Caça de longo prazo</x:v>
      </x:c>
      <x:c r="J15" s="89" t="str">
        <x:v>https://hotwheels.fandom.com/wiki/2006_BMW_M3</x:v>
      </x:c>
    </x:row>
    <x:row r="16">
      <x:c r="A16" s="88" t="str">
        <x:v>BMW</x:v>
      </x:c>
      <x:c r="B16" s="88" t="str">
        <x:v>2010 BMW M5</x:v>
      </x:c>
      <x:c r="C16" s="88" t="str">
        <x:v>Coleção principal (~1:64)</x:v>
      </x:c>
      <x:c r="D16" s="88" t="n">
        <x:v>2026</x:v>
      </x:c>
      <x:c r="E16" s="88" t="n">
        <x:v>2026</x:v>
      </x:c>
      <x:c r="F16" s="88" t="n">
        <x:v>3</x:v>
      </x:c>
      <x:c r="G16" s="88" t="n">
        <x:v>3</x:v>
      </x:c>
      <x:c r="H16" s="88" t="n">
        <x:v>0</x:v>
      </x:c>
      <x:c r="I16" s="88" t="str">
        <x:v>1 — Comprar agora</x:v>
      </x:c>
      <x:c r="J16" s="89" t="str">
        <x:v>https://hotwheels.fandom.com/wiki/2010_BMW_M5</x:v>
      </x:c>
    </x:row>
    <x:row r="17">
      <x:c r="A17" s="88" t="str">
        <x:v>BMW</x:v>
      </x:c>
      <x:c r="B17" s="88" t="str">
        <x:v>2016 BMW M2</x:v>
      </x:c>
      <x:c r="C17" s="88" t="str">
        <x:v>Coleção principal (~1:64)</x:v>
      </x:c>
      <x:c r="D17" s="88" t="n">
        <x:v>2018</x:v>
      </x:c>
      <x:c r="E17" s="88" t="n">
        <x:v>2025</x:v>
      </x:c>
      <x:c r="F17" s="88" t="n">
        <x:v>9</x:v>
      </x:c>
      <x:c r="G17" s="88" t="n">
        <x:v>9</x:v>
      </x:c>
      <x:c r="H17" s="88" t="n">
        <x:v>0</x:v>
      </x:c>
      <x:c r="I17" s="88" t="str">
        <x:v>1 — Comprar agora</x:v>
      </x:c>
      <x:c r="J17" s="89" t="str">
        <x:v>https://hotwheels.fandom.com/wiki/2016_BMW_M2</x:v>
      </x:c>
    </x:row>
    <x:row r="18">
      <x:c r="A18" s="88" t="str">
        <x:v>BMW</x:v>
      </x:c>
      <x:c r="B18" s="88" t="str">
        <x:v>2021 BMW M5</x:v>
      </x:c>
      <x:c r="C18" s="88" t="str">
        <x:v>Coleção principal (~1:64)</x:v>
      </x:c>
      <x:c r="D18" s="88" t="n">
        <x:v>2025</x:v>
      </x:c>
      <x:c r="E18" s="88" t="n">
        <x:v>2025</x:v>
      </x:c>
      <x:c r="F18" s="88" t="n">
        <x:v>1</x:v>
      </x:c>
      <x:c r="G18" s="88" t="n">
        <x:v>1</x:v>
      </x:c>
      <x:c r="H18" s="88" t="n">
        <x:v>0</x:v>
      </x:c>
      <x:c r="I18" s="88" t="str">
        <x:v>1 — Comprar agora</x:v>
      </x:c>
      <x:c r="J18" s="89" t="str">
        <x:v>https://hotwheels.fandom.com/wiki/2021_BMW_M5</x:v>
      </x:c>
    </x:row>
    <x:row r="19">
      <x:c r="A19" s="88" t="str">
        <x:v>BMW</x:v>
      </x:c>
      <x:c r="B19" s="88" t="str">
        <x:v>2022 BMW M4 GT3</x:v>
      </x:c>
      <x:c r="C19" s="88" t="str">
        <x:v>Pull-Back</x:v>
      </x:c>
      <x:c r="D19" s="88" t="n">
        <x:v>2025</x:v>
      </x:c>
      <x:c r="E19" s="88" t="n">
        <x:v>2026</x:v>
      </x:c>
      <x:c r="F19" s="88" t="n">
        <x:v>3</x:v>
      </x:c>
      <x:c r="G19" s="88" t="n">
        <x:v>0</x:v>
      </x:c>
      <x:c r="H19" s="88" t="n">
        <x:v>3</x:v>
      </x:c>
      <x:c r="I19" s="88" t="str">
        <x:v>Fora da meta principal</x:v>
      </x:c>
      <x:c r="J19" s="89" t="str">
        <x:v>https://hotwheels.fandom.com/wiki/2022_BMW_M4_GT3</x:v>
      </x:c>
    </x:row>
    <x:row r="20">
      <x:c r="A20" s="88" t="str">
        <x:v>BMW</x:v>
      </x:c>
      <x:c r="B20" s="88" t="str">
        <x:v>2025 BMW M5</x:v>
      </x:c>
      <x:c r="C20" s="88" t="str">
        <x:v>Coleção principal (~1:64)</x:v>
      </x:c>
      <x:c r="D20" s="88" t="n">
        <x:v>2026</x:v>
      </x:c>
      <x:c r="E20" s="88" t="n">
        <x:v>2026</x:v>
      </x:c>
      <x:c r="F20" s="88" t="n">
        <x:v>1</x:v>
      </x:c>
      <x:c r="G20" s="88" t="n">
        <x:v>1</x:v>
      </x:c>
      <x:c r="H20" s="88" t="n">
        <x:v>0</x:v>
      </x:c>
      <x:c r="I20" s="88" t="str">
        <x:v>1 — Comprar agora</x:v>
      </x:c>
      <x:c r="J20" s="89" t="str">
        <x:v>https://hotwheels.fandom.com/wiki/2025_BMW_M5</x:v>
      </x:c>
    </x:row>
    <x:row r="21">
      <x:c r="A21" s="88" t="str">
        <x:v>BMW</x:v>
      </x:c>
      <x:c r="B21" s="88" t="str">
        <x:v>AC Schnitzer ACS7</x:v>
      </x:c>
      <x:c r="C21" s="88" t="str">
        <x:v>Escala 1:50</x:v>
      </x:c>
      <x:c r="D21" s="88" t="n">
        <x:v>2005</x:v>
      </x:c>
      <x:c r="E21" s="88" t="n">
        <x:v>2006</x:v>
      </x:c>
      <x:c r="F21" s="88" t="n">
        <x:v>3</x:v>
      </x:c>
      <x:c r="G21" s="88" t="n">
        <x:v>0</x:v>
      </x:c>
      <x:c r="H21" s="88" t="n">
        <x:v>3</x:v>
      </x:c>
      <x:c r="I21" s="88" t="str">
        <x:v>Fora da meta principal</x:v>
      </x:c>
      <x:c r="J21" s="89" t="str">
        <x:v>https://hotwheels.fandom.com/wiki/AC_Schnitzer_ACS7</x:v>
      </x:c>
    </x:row>
    <x:row r="22">
      <x:c r="A22" s="88" t="str">
        <x:v>BMW</x:v>
      </x:c>
      <x:c r="B22" s="88" t="str">
        <x:v>Bike 4 (BMW)</x:v>
      </x:c>
      <x:c r="C22" s="88" t="str">
        <x:v>Motocicleta</x:v>
      </x:c>
      <x:c r="D22" s="88" t="str"/>
      <x:c r="E22" s="88" t="str"/>
      <x:c r="F22" s="88" t="n">
        <x:v>1</x:v>
      </x:c>
      <x:c r="G22" s="88" t="n">
        <x:v>0</x:v>
      </x:c>
      <x:c r="H22" s="88" t="n">
        <x:v>1</x:v>
      </x:c>
      <x:c r="I22" s="88" t="str">
        <x:v>Fora da meta principal</x:v>
      </x:c>
      <x:c r="J22" s="89" t="str">
        <x:v>https://hotwheels.fandom.com/wiki/BMW</x:v>
      </x:c>
    </x:row>
    <x:row r="23">
      <x:c r="A23" s="88" t="str">
        <x:v>BMW</x:v>
      </x:c>
      <x:c r="B23" s="88" t="str">
        <x:v>BMW 2002</x:v>
      </x:c>
      <x:c r="C23" s="88" t="str">
        <x:v>Coleção principal (~1:64)</x:v>
      </x:c>
      <x:c r="D23" s="88" t="n">
        <x:v>2012</x:v>
      </x:c>
      <x:c r="E23" s="88" t="n">
        <x:v>2026</x:v>
      </x:c>
      <x:c r="F23" s="88" t="n">
        <x:v>22</x:v>
      </x:c>
      <x:c r="G23" s="88" t="n">
        <x:v>22</x:v>
      </x:c>
      <x:c r="H23" s="88" t="n">
        <x:v>0</x:v>
      </x:c>
      <x:c r="I23" s="88" t="str">
        <x:v>1 — Comprar agora</x:v>
      </x:c>
      <x:c r="J23" s="89" t="str">
        <x:v>https://hotwheels.fandom.com/wiki/BMW_2002</x:v>
      </x:c>
    </x:row>
    <x:row r="24">
      <x:c r="A24" s="88" t="str">
        <x:v>BMW</x:v>
      </x:c>
      <x:c r="B24" s="88" t="str">
        <x:v>BMW 320 Group 5</x:v>
      </x:c>
      <x:c r="C24" s="88" t="str">
        <x:v>Coleção principal (~1:64)</x:v>
      </x:c>
      <x:c r="D24" s="88" t="n">
        <x:v>2026</x:v>
      </x:c>
      <x:c r="E24" s="88" t="n">
        <x:v>2026</x:v>
      </x:c>
      <x:c r="F24" s="88" t="n">
        <x:v>1</x:v>
      </x:c>
      <x:c r="G24" s="88" t="n">
        <x:v>1</x:v>
      </x:c>
      <x:c r="H24" s="88" t="n">
        <x:v>0</x:v>
      </x:c>
      <x:c r="I24" s="88" t="str">
        <x:v>2 — Completar aos poucos</x:v>
      </x:c>
      <x:c r="J24" s="89" t="str">
        <x:v>https://orangetrackdiecast.com/2026-hot-wheels-master-list-of-all-lines/</x:v>
      </x:c>
    </x:row>
    <x:row r="25">
      <x:c r="A25" s="88" t="str">
        <x:v>BMW</x:v>
      </x:c>
      <x:c r="B25" s="88" t="str">
        <x:v>BMW 320 Rally</x:v>
      </x:c>
      <x:c r="C25" s="88" t="str">
        <x:v>Linha vintage / escala variável</x:v>
      </x:c>
      <x:c r="D25" s="88" t="n">
        <x:v>1978</x:v>
      </x:c>
      <x:c r="E25" s="88" t="n">
        <x:v>1978</x:v>
      </x:c>
      <x:c r="F25" s="88" t="n">
        <x:v>1</x:v>
      </x:c>
      <x:c r="G25" s="88" t="n">
        <x:v>0</x:v>
      </x:c>
      <x:c r="H25" s="88" t="n">
        <x:v>1</x:v>
      </x:c>
      <x:c r="I25" s="88" t="str">
        <x:v>2 — Completar aos poucos</x:v>
      </x:c>
      <x:c r="J25" s="89" t="str">
        <x:v>https://hotwheels.fandom.com/wiki/BMW</x:v>
      </x:c>
    </x:row>
    <x:row r="26">
      <x:c r="A26" s="88" t="str">
        <x:v>BMW</x:v>
      </x:c>
      <x:c r="B26" s="88" t="str">
        <x:v>BMW 323</x:v>
      </x:c>
      <x:c r="C26" s="88" t="str">
        <x:v>Coleção principal (~1:64)</x:v>
      </x:c>
      <x:c r="D26" s="88" t="n">
        <x:v>1990</x:v>
      </x:c>
      <x:c r="E26" s="88" t="n">
        <x:v>1995</x:v>
      </x:c>
      <x:c r="F26" s="88" t="n">
        <x:v>6</x:v>
      </x:c>
      <x:c r="G26" s="88" t="n">
        <x:v>6</x:v>
      </x:c>
      <x:c r="H26" s="88" t="n">
        <x:v>0</x:v>
      </x:c>
      <x:c r="I26" s="88" t="str">
        <x:v>2 — Completar aos poucos</x:v>
      </x:c>
      <x:c r="J26" s="89" t="str">
        <x:v>https://hotwheels.fandom.com/wiki/BMW_323</x:v>
      </x:c>
    </x:row>
    <x:row r="27">
      <x:c r="A27" s="88" t="str">
        <x:v>BMW</x:v>
      </x:c>
      <x:c r="B27" s="88" t="str">
        <x:v>BMW 325i</x:v>
      </x:c>
      <x:c r="C27" s="88" t="str">
        <x:v>Coleção principal (~1:64)</x:v>
      </x:c>
      <x:c r="D27" s="88" t="n">
        <x:v>1997</x:v>
      </x:c>
      <x:c r="E27" s="88" t="n">
        <x:v>1997</x:v>
      </x:c>
      <x:c r="F27" s="88" t="n">
        <x:v>1</x:v>
      </x:c>
      <x:c r="G27" s="88" t="n">
        <x:v>1</x:v>
      </x:c>
      <x:c r="H27" s="88" t="n">
        <x:v>0</x:v>
      </x:c>
      <x:c r="I27" s="88" t="str">
        <x:v>2 — Completar aos poucos</x:v>
      </x:c>
      <x:c r="J27" s="89" t="str">
        <x:v>https://hotwheels.fandom.com/wiki/BMW_325i</x:v>
      </x:c>
    </x:row>
    <x:row r="28">
      <x:c r="A28" s="88" t="str">
        <x:v>BMW</x:v>
      </x:c>
      <x:c r="B28" s="88" t="str">
        <x:v>BMW 507</x:v>
      </x:c>
      <x:c r="C28" s="88" t="str">
        <x:v>Coleção principal (~1:64)</x:v>
      </x:c>
      <x:c r="D28" s="88" t="n">
        <x:v>2023</x:v>
      </x:c>
      <x:c r="E28" s="88" t="n">
        <x:v>2026</x:v>
      </x:c>
      <x:c r="F28" s="88" t="n">
        <x:v>6</x:v>
      </x:c>
      <x:c r="G28" s="88" t="n">
        <x:v>6</x:v>
      </x:c>
      <x:c r="H28" s="88" t="n">
        <x:v>0</x:v>
      </x:c>
      <x:c r="I28" s="88" t="str">
        <x:v>1 — Comprar agora</x:v>
      </x:c>
      <x:c r="J28" s="89" t="str">
        <x:v>https://hotwheels.fandom.com/wiki/BMW_507</x:v>
      </x:c>
    </x:row>
    <x:row r="29">
      <x:c r="A29" s="88" t="str">
        <x:v>BMW</x:v>
      </x:c>
      <x:c r="B29" s="88" t="str">
        <x:v>BMW 635</x:v>
      </x:c>
      <x:c r="C29" s="88" t="str">
        <x:v>Linha vintage / escala variável</x:v>
      </x:c>
      <x:c r="D29" s="88" t="n">
        <x:v>1983</x:v>
      </x:c>
      <x:c r="E29" s="88" t="n">
        <x:v>1983</x:v>
      </x:c>
      <x:c r="F29" s="88" t="n">
        <x:v>6</x:v>
      </x:c>
      <x:c r="G29" s="88" t="n">
        <x:v>0</x:v>
      </x:c>
      <x:c r="H29" s="88" t="n">
        <x:v>6</x:v>
      </x:c>
      <x:c r="I29" s="88" t="str">
        <x:v>2 — Completar aos poucos</x:v>
      </x:c>
      <x:c r="J29" s="89" t="str">
        <x:v>https://hotwheels.fandom.com/wiki/BMW_635</x:v>
      </x:c>
    </x:row>
    <x:row r="30">
      <x:c r="A30" s="88" t="str">
        <x:v>BMW</x:v>
      </x:c>
      <x:c r="B30" s="88" t="str">
        <x:v>BMW 635 CSi</x:v>
      </x:c>
      <x:c r="C30" s="88" t="str">
        <x:v>Coleção principal (~1:64)</x:v>
      </x:c>
      <x:c r="D30" s="88" t="n">
        <x:v>2025</x:v>
      </x:c>
      <x:c r="E30" s="88" t="n">
        <x:v>2026</x:v>
      </x:c>
      <x:c r="F30" s="88" t="n">
        <x:v>5</x:v>
      </x:c>
      <x:c r="G30" s="88" t="n">
        <x:v>5</x:v>
      </x:c>
      <x:c r="H30" s="88" t="n">
        <x:v>0</x:v>
      </x:c>
      <x:c r="I30" s="88" t="str">
        <x:v>1 — Comprar agora</x:v>
      </x:c>
      <x:c r="J30" s="89" t="str">
        <x:v>https://hotwheels.fandom.com/wiki/BMW_635_CSi</x:v>
      </x:c>
    </x:row>
    <x:row r="31">
      <x:c r="A31" s="88" t="str">
        <x:v>BMW</x:v>
      </x:c>
      <x:c r="B31" s="88" t="str">
        <x:v>BMW 730</x:v>
      </x:c>
      <x:c r="C31" s="88" t="str">
        <x:v>Linha vintage / escala variável</x:v>
      </x:c>
      <x:c r="D31" s="88" t="n">
        <x:v>1983</x:v>
      </x:c>
      <x:c r="E31" s="88" t="n">
        <x:v>1983</x:v>
      </x:c>
      <x:c r="F31" s="88" t="n">
        <x:v>1</x:v>
      </x:c>
      <x:c r="G31" s="88" t="n">
        <x:v>0</x:v>
      </x:c>
      <x:c r="H31" s="88" t="n">
        <x:v>1</x:v>
      </x:c>
      <x:c r="I31" s="88" t="str">
        <x:v>2 — Completar aos poucos</x:v>
      </x:c>
      <x:c r="J31" s="89" t="str">
        <x:v>https://hotwheels.fandom.com/wiki/BMW</x:v>
      </x:c>
    </x:row>
    <x:row r="32">
      <x:c r="A32" s="88" t="str">
        <x:v>BMW</x:v>
      </x:c>
      <x:c r="B32" s="88" t="str">
        <x:v>BMW 850i</x:v>
      </x:c>
      <x:c r="C32" s="88" t="str">
        <x:v>Coleção principal (~1:64)</x:v>
      </x:c>
      <x:c r="D32" s="88" t="n">
        <x:v>1991</x:v>
      </x:c>
      <x:c r="E32" s="88" t="n">
        <x:v>2001</x:v>
      </x:c>
      <x:c r="F32" s="88" t="n">
        <x:v>17</x:v>
      </x:c>
      <x:c r="G32" s="88" t="n">
        <x:v>17</x:v>
      </x:c>
      <x:c r="H32" s="88" t="n">
        <x:v>0</x:v>
      </x:c>
      <x:c r="I32" s="88" t="str">
        <x:v>2 — Completar aos poucos</x:v>
      </x:c>
      <x:c r="J32" s="89" t="str">
        <x:v>https://hotwheels.fandom.com/wiki/BMW_850i</x:v>
      </x:c>
    </x:row>
    <x:row r="33">
      <x:c r="A33" s="88" t="str">
        <x:v>BMW</x:v>
      </x:c>
      <x:c r="B33" s="88" t="str">
        <x:v>BMW 850i (1:43 Turbos Collection)</x:v>
      </x:c>
      <x:c r="C33" s="88" t="str">
        <x:v>Escala 1:43</x:v>
      </x:c>
      <x:c r="D33" s="88" t="n">
        <x:v>1996</x:v>
      </x:c>
      <x:c r="E33" s="88" t="n">
        <x:v>1996</x:v>
      </x:c>
      <x:c r="F33" s="88" t="n">
        <x:v>1</x:v>
      </x:c>
      <x:c r="G33" s="88" t="n">
        <x:v>0</x:v>
      </x:c>
      <x:c r="H33" s="88" t="n">
        <x:v>1</x:v>
      </x:c>
      <x:c r="I33" s="88" t="str">
        <x:v>Fora da meta principal</x:v>
      </x:c>
      <x:c r="J33" s="89" t="str">
        <x:v>https://hotwheels.fandom.com/wiki/BMW_850i_(1:43_Turbos_Collection)</x:v>
      </x:c>
    </x:row>
    <x:row r="34">
      <x:c r="A34" s="88" t="str">
        <x:v>BMW</x:v>
      </x:c>
      <x:c r="B34" s="88" t="str">
        <x:v>BMW 850i (Corgi)</x:v>
      </x:c>
      <x:c r="C34" s="88" t="str">
        <x:v>Coleção principal (~1:64)</x:v>
      </x:c>
      <x:c r="D34" s="88" t="n">
        <x:v>1994</x:v>
      </x:c>
      <x:c r="E34" s="88" t="n">
        <x:v>1997</x:v>
      </x:c>
      <x:c r="F34" s="88" t="n">
        <x:v>8</x:v>
      </x:c>
      <x:c r="G34" s="88" t="n">
        <x:v>8</x:v>
      </x:c>
      <x:c r="H34" s="88" t="n">
        <x:v>0</x:v>
      </x:c>
      <x:c r="I34" s="88" t="str">
        <x:v>2 — Completar aos poucos</x:v>
      </x:c>
      <x:c r="J34" s="89" t="str">
        <x:v>https://hotwheels.fandom.com/wiki/BMW_850i_(Corgi)</x:v>
      </x:c>
    </x:row>
    <x:row r="35">
      <x:c r="A35" s="88" t="str">
        <x:v>BMW</x:v>
      </x:c>
      <x:c r="B35" s="88" t="str">
        <x:v>BMW E36 M3 Race</x:v>
      </x:c>
      <x:c r="C35" s="88" t="str">
        <x:v>Coleção principal (~1:64)</x:v>
      </x:c>
      <x:c r="D35" s="88" t="n">
        <x:v>2014</x:v>
      </x:c>
      <x:c r="E35" s="88" t="n">
        <x:v>2025</x:v>
      </x:c>
      <x:c r="F35" s="88" t="n">
        <x:v>8</x:v>
      </x:c>
      <x:c r="G35" s="88" t="n">
        <x:v>8</x:v>
      </x:c>
      <x:c r="H35" s="88" t="n">
        <x:v>0</x:v>
      </x:c>
      <x:c r="I35" s="88" t="str">
        <x:v>1 — Comprar agora</x:v>
      </x:c>
      <x:c r="J35" s="89" t="str">
        <x:v>https://hotwheels.fandom.com/wiki/BMW_E36_M3_Race</x:v>
      </x:c>
    </x:row>
    <x:row r="36">
      <x:c r="A36" s="88" t="str">
        <x:v>BMW</x:v>
      </x:c>
      <x:c r="B36" s="88" t="str">
        <x:v>BMW i8 Roadster</x:v>
      </x:c>
      <x:c r="C36" s="88" t="str">
        <x:v>Coleção principal (~1:64)</x:v>
      </x:c>
      <x:c r="D36" s="88" t="n">
        <x:v>2019</x:v>
      </x:c>
      <x:c r="E36" s="88" t="n">
        <x:v>2025</x:v>
      </x:c>
      <x:c r="F36" s="88" t="n">
        <x:v>4</x:v>
      </x:c>
      <x:c r="G36" s="88" t="n">
        <x:v>4</x:v>
      </x:c>
      <x:c r="H36" s="88" t="n">
        <x:v>0</x:v>
      </x:c>
      <x:c r="I36" s="88" t="str">
        <x:v>1 — Comprar agora</x:v>
      </x:c>
      <x:c r="J36" s="89" t="str">
        <x:v>https://hotwheels.fandom.com/wiki/BMW_i8_Roadster</x:v>
      </x:c>
    </x:row>
    <x:row r="37">
      <x:c r="A37" s="88" t="str">
        <x:v>BMW</x:v>
      </x:c>
      <x:c r="B37" s="88" t="str">
        <x:v>BMW K 1300 R</x:v>
      </x:c>
      <x:c r="C37" s="88" t="str">
        <x:v>Motocicleta</x:v>
      </x:c>
      <x:c r="D37" s="88" t="n">
        <x:v>2013</x:v>
      </x:c>
      <x:c r="E37" s="88" t="n">
        <x:v>2024</x:v>
      </x:c>
      <x:c r="F37" s="88" t="n">
        <x:v>14</x:v>
      </x:c>
      <x:c r="G37" s="88" t="n">
        <x:v>0</x:v>
      </x:c>
      <x:c r="H37" s="88" t="n">
        <x:v>14</x:v>
      </x:c>
      <x:c r="I37" s="88" t="str">
        <x:v>Fora da meta principal</x:v>
      </x:c>
      <x:c r="J37" s="89" t="str">
        <x:v>https://hotwheels.fandom.com/wiki/BMW_K_1300_R</x:v>
      </x:c>
    </x:row>
    <x:row r="38">
      <x:c r="A38" s="88" t="str">
        <x:v>BMW</x:v>
      </x:c>
      <x:c r="B38" s="88" t="str">
        <x:v>BMW M Roadster</x:v>
      </x:c>
      <x:c r="C38" s="88" t="str">
        <x:v>Misto</x:v>
      </x:c>
      <x:c r="D38" s="88" t="n">
        <x:v>1997</x:v>
      </x:c>
      <x:c r="E38" s="88" t="n">
        <x:v>2002</x:v>
      </x:c>
      <x:c r="F38" s="88" t="n">
        <x:v>18</x:v>
      </x:c>
      <x:c r="G38" s="88" t="n">
        <x:v>17</x:v>
      </x:c>
      <x:c r="H38" s="88" t="n">
        <x:v>1</x:v>
      </x:c>
      <x:c r="I38" s="88" t="str">
        <x:v>2 — Completar aos poucos</x:v>
      </x:c>
      <x:c r="J38" s="89" t="str">
        <x:v>https://hotwheels.fandom.com/wiki/BMW_M_Roadster</x:v>
      </x:c>
    </x:row>
    <x:row r="39">
      <x:c r="A39" s="88" t="str">
        <x:v>BMW</x:v>
      </x:c>
      <x:c r="B39" s="88" t="str">
        <x:v>BMW M1</x:v>
      </x:c>
      <x:c r="C39" s="88" t="str">
        <x:v>Coleção principal (~1:64)</x:v>
      </x:c>
      <x:c r="D39" s="88" t="n">
        <x:v>1983</x:v>
      </x:c>
      <x:c r="E39" s="88" t="n">
        <x:v>2025</x:v>
      </x:c>
      <x:c r="F39" s="88" t="n">
        <x:v>22</x:v>
      </x:c>
      <x:c r="G39" s="88" t="n">
        <x:v>22</x:v>
      </x:c>
      <x:c r="H39" s="88" t="n">
        <x:v>0</x:v>
      </x:c>
      <x:c r="I39" s="88" t="str">
        <x:v>1 — Comprar agora</x:v>
      </x:c>
      <x:c r="J39" s="89" t="str">
        <x:v>https://hotwheels.fandom.com/wiki/BMW_M1</x:v>
      </x:c>
    </x:row>
    <x:row r="40">
      <x:c r="A40" s="88" t="str">
        <x:v>BMW</x:v>
      </x:c>
      <x:c r="B40" s="88" t="str">
        <x:v>BMW M1 Procar</x:v>
      </x:c>
      <x:c r="C40" s="88" t="str">
        <x:v>Coleção principal (~1:64)</x:v>
      </x:c>
      <x:c r="D40" s="88" t="n">
        <x:v>2017</x:v>
      </x:c>
      <x:c r="E40" s="88" t="n">
        <x:v>2025</x:v>
      </x:c>
      <x:c r="F40" s="88" t="n">
        <x:v>6</x:v>
      </x:c>
      <x:c r="G40" s="88" t="n">
        <x:v>6</x:v>
      </x:c>
      <x:c r="H40" s="88" t="n">
        <x:v>0</x:v>
      </x:c>
      <x:c r="I40" s="88" t="str">
        <x:v>1 — Comprar agora</x:v>
      </x:c>
      <x:c r="J40" s="89" t="str">
        <x:v>https://hotwheels.fandom.com/wiki/BMW_M1_Procar</x:v>
      </x:c>
    </x:row>
    <x:row r="41">
      <x:c r="A41" s="88" t="str">
        <x:v>BMW</x:v>
      </x:c>
      <x:c r="B41" s="88" t="str">
        <x:v>BMW M3 (1:43)</x:v>
      </x:c>
      <x:c r="C41" s="88" t="str">
        <x:v>Escala 1:43</x:v>
      </x:c>
      <x:c r="D41" s="88" t="n">
        <x:v>2025</x:v>
      </x:c>
      <x:c r="E41" s="88" t="n">
        <x:v>2026</x:v>
      </x:c>
      <x:c r="F41" s="88" t="n">
        <x:v>3</x:v>
      </x:c>
      <x:c r="G41" s="88" t="n">
        <x:v>0</x:v>
      </x:c>
      <x:c r="H41" s="88" t="n">
        <x:v>3</x:v>
      </x:c>
      <x:c r="I41" s="88" t="str">
        <x:v>Fora da meta principal</x:v>
      </x:c>
      <x:c r="J41" s="89" t="str">
        <x:v>https://hotwheels.fandom.com/wiki/BMW_M3_(1:43)</x:v>
      </x:c>
    </x:row>
    <x:row r="42">
      <x:c r="A42" s="88" t="str">
        <x:v>BMW</x:v>
      </x:c>
      <x:c r="B42" s="88" t="str">
        <x:v>BMW M3 (Action Racers)</x:v>
      </x:c>
      <x:c r="C42" s="88" t="str">
        <x:v>Action Racers</x:v>
      </x:c>
      <x:c r="D42" s="88" t="n">
        <x:v>1988</x:v>
      </x:c>
      <x:c r="E42" s="88" t="n">
        <x:v>1988</x:v>
      </x:c>
      <x:c r="F42" s="88" t="n">
        <x:v>4</x:v>
      </x:c>
      <x:c r="G42" s="88" t="n">
        <x:v>0</x:v>
      </x:c>
      <x:c r="H42" s="88" t="n">
        <x:v>4</x:v>
      </x:c>
      <x:c r="I42" s="88" t="str">
        <x:v>Fora da meta principal</x:v>
      </x:c>
      <x:c r="J42" s="89" t="str">
        <x:v>https://hotwheels.fandom.com/wiki/BMW_M3_(Action_Racers)</x:v>
      </x:c>
    </x:row>
    <x:row r="43">
      <x:c r="A43" s="88" t="str">
        <x:v>BMW</x:v>
      </x:c>
      <x:c r="B43" s="88" t="str">
        <x:v>BMW M3 (Corgi)</x:v>
      </x:c>
      <x:c r="C43" s="88" t="str">
        <x:v>Coleção principal (~1:64)</x:v>
      </x:c>
      <x:c r="D43" s="88" t="n">
        <x:v>1994</x:v>
      </x:c>
      <x:c r="E43" s="88" t="n">
        <x:v>1997</x:v>
      </x:c>
      <x:c r="F43" s="88" t="n">
        <x:v>4</x:v>
      </x:c>
      <x:c r="G43" s="88" t="n">
        <x:v>4</x:v>
      </x:c>
      <x:c r="H43" s="88" t="n">
        <x:v>0</x:v>
      </x:c>
      <x:c r="I43" s="88" t="str">
        <x:v>2 — Completar aos poucos</x:v>
      </x:c>
      <x:c r="J43" s="89" t="str">
        <x:v>https://hotwheels.fandom.com/wiki/BMW_M3_(Corgi)</x:v>
      </x:c>
    </x:row>
    <x:row r="44">
      <x:c r="A44" s="88" t="str">
        <x:v>BMW</x:v>
      </x:c>
      <x:c r="B44" s="88" t="str">
        <x:v>BMW M3 E46</x:v>
      </x:c>
      <x:c r="C44" s="88" t="str">
        <x:v>Coleção principal (~1:64)</x:v>
      </x:c>
      <x:c r="D44" s="88" t="n">
        <x:v>2021</x:v>
      </x:c>
      <x:c r="E44" s="88" t="n">
        <x:v>2026</x:v>
      </x:c>
      <x:c r="F44" s="88" t="n">
        <x:v>11</x:v>
      </x:c>
      <x:c r="G44" s="88" t="n">
        <x:v>11</x:v>
      </x:c>
      <x:c r="H44" s="88" t="n">
        <x:v>0</x:v>
      </x:c>
      <x:c r="I44" s="88" t="str">
        <x:v>1 — Comprar agora</x:v>
      </x:c>
      <x:c r="J44" s="89" t="str">
        <x:v>https://hotwheels.fandom.com/wiki/BMW_M3_E46</x:v>
      </x:c>
    </x:row>
    <x:row r="45">
      <x:c r="A45" s="88" t="str">
        <x:v>BMW</x:v>
      </x:c>
      <x:c r="B45" s="88" t="str">
        <x:v>BMW M3 GT2</x:v>
      </x:c>
      <x:c r="C45" s="88" t="str">
        <x:v>Coleção principal (~1:64)</x:v>
      </x:c>
      <x:c r="D45" s="88" t="n">
        <x:v>2012</x:v>
      </x:c>
      <x:c r="E45" s="88" t="n">
        <x:v>2026</x:v>
      </x:c>
      <x:c r="F45" s="88" t="n">
        <x:v>12</x:v>
      </x:c>
      <x:c r="G45" s="88" t="n">
        <x:v>12</x:v>
      </x:c>
      <x:c r="H45" s="88" t="n">
        <x:v>0</x:v>
      </x:c>
      <x:c r="I45" s="88" t="str">
        <x:v>1 — Comprar agora</x:v>
      </x:c>
      <x:c r="J45" s="89" t="str">
        <x:v>https://hotwheels.fandom.com/wiki/BMW_M3_GT2</x:v>
      </x:c>
    </x:row>
    <x:row r="46">
      <x:c r="A46" s="88" t="str">
        <x:v>BMW</x:v>
      </x:c>
      <x:c r="B46" s="88" t="str">
        <x:v>BMW M3 GTR</x:v>
      </x:c>
      <x:c r="C46" s="88" t="str">
        <x:v>Coleção principal (~1:64)</x:v>
      </x:c>
      <x:c r="D46" s="88" t="n">
        <x:v>2026</x:v>
      </x:c>
      <x:c r="E46" s="88" t="n">
        <x:v>2026</x:v>
      </x:c>
      <x:c r="F46" s="88" t="n">
        <x:v>1</x:v>
      </x:c>
      <x:c r="G46" s="88" t="n">
        <x:v>1</x:v>
      </x:c>
      <x:c r="H46" s="88" t="n">
        <x:v>0</x:v>
      </x:c>
      <x:c r="I46" s="88" t="str">
        <x:v>1 — Comprar agora</x:v>
      </x:c>
      <x:c r="J46" s="89" t="str">
        <x:v>https://orangetrackdiecast.com/2026-hot-wheels-master-list-of-all-lines/</x:v>
      </x:c>
    </x:row>
    <x:row r="47">
      <x:c r="A47" s="88" t="str">
        <x:v>BMW</x:v>
      </x:c>
      <x:c r="B47" s="88" t="str">
        <x:v>BMW M3 Touring</x:v>
      </x:c>
      <x:c r="C47" s="88" t="str">
        <x:v>Coleção principal (~1:64)</x:v>
      </x:c>
      <x:c r="D47" s="88" t="n">
        <x:v>2025</x:v>
      </x:c>
      <x:c r="E47" s="88" t="n">
        <x:v>2025</x:v>
      </x:c>
      <x:c r="F47" s="88" t="n">
        <x:v>2</x:v>
      </x:c>
      <x:c r="G47" s="88" t="n">
        <x:v>2</x:v>
      </x:c>
      <x:c r="H47" s="88" t="n">
        <x:v>0</x:v>
      </x:c>
      <x:c r="I47" s="88" t="str">
        <x:v>1 — Comprar agora</x:v>
      </x:c>
      <x:c r="J47" s="89" t="str">
        <x:v>https://hotwheels.fandom.com/wiki/BMW_M3_Touring</x:v>
      </x:c>
    </x:row>
    <x:row r="48">
      <x:c r="A48" s="88" t="str">
        <x:v>BMW</x:v>
      </x:c>
      <x:c r="B48" s="88" t="str">
        <x:v>BMW M3 Wagon</x:v>
      </x:c>
      <x:c r="C48" s="88" t="str">
        <x:v>Coleção principal (~1:64)</x:v>
      </x:c>
      <x:c r="D48" s="88" t="n">
        <x:v>2024</x:v>
      </x:c>
      <x:c r="E48" s="88" t="n">
        <x:v>2026</x:v>
      </x:c>
      <x:c r="F48" s="88" t="n">
        <x:v>6</x:v>
      </x:c>
      <x:c r="G48" s="88" t="n">
        <x:v>6</x:v>
      </x:c>
      <x:c r="H48" s="88" t="n">
        <x:v>0</x:v>
      </x:c>
      <x:c r="I48" s="88" t="str">
        <x:v>1 — Comprar agora</x:v>
      </x:c>
      <x:c r="J48" s="89" t="str">
        <x:v>https://hotwheels.fandom.com/wiki/BMW_M3_Wagon</x:v>
      </x:c>
    </x:row>
    <x:row r="49">
      <x:c r="A49" s="88" t="str">
        <x:v>BMW</x:v>
      </x:c>
      <x:c r="B49" s="88" t="str">
        <x:v>BMW M3 Wagon (Hot Wheels XL)</x:v>
      </x:c>
      <x:c r="C49" s="88" t="str">
        <x:v>Hot Wheels XL</x:v>
      </x:c>
      <x:c r="D49" s="88" t="n">
        <x:v>2026</x:v>
      </x:c>
      <x:c r="E49" s="88" t="n">
        <x:v>2026</x:v>
      </x:c>
      <x:c r="F49" s="88" t="n">
        <x:v>3</x:v>
      </x:c>
      <x:c r="G49" s="88" t="n">
        <x:v>0</x:v>
      </x:c>
      <x:c r="H49" s="88" t="n">
        <x:v>3</x:v>
      </x:c>
      <x:c r="I49" s="88" t="str">
        <x:v>Fora da meta principal</x:v>
      </x:c>
      <x:c r="J49" s="89" t="str">
        <x:v>https://hotwheels.fandom.com/wiki/BMW_M3_Wagon_(Hot_Wheels_XL)</x:v>
      </x:c>
    </x:row>
    <x:row r="50">
      <x:c r="A50" s="88" t="str">
        <x:v>BMW</x:v>
      </x:c>
      <x:c r="B50" s="88" t="str">
        <x:v>BMW M4</x:v>
      </x:c>
      <x:c r="C50" s="88" t="str">
        <x:v>Coleção principal (~1:64)</x:v>
      </x:c>
      <x:c r="D50" s="88" t="n">
        <x:v>2015</x:v>
      </x:c>
      <x:c r="E50" s="88" t="n">
        <x:v>2026</x:v>
      </x:c>
      <x:c r="F50" s="88" t="n">
        <x:v>15</x:v>
      </x:c>
      <x:c r="G50" s="88" t="n">
        <x:v>15</x:v>
      </x:c>
      <x:c r="H50" s="88" t="n">
        <x:v>0</x:v>
      </x:c>
      <x:c r="I50" s="88" t="str">
        <x:v>1 — Comprar agora</x:v>
      </x:c>
      <x:c r="J50" s="89" t="str">
        <x:v>https://hotwheels.fandom.com/wiki/BMW_M4</x:v>
      </x:c>
    </x:row>
    <x:row r="51">
      <x:c r="A51" s="88" t="str">
        <x:v>BMW</x:v>
      </x:c>
      <x:c r="B51" s="88" t="str">
        <x:v>BMW M4 GT3</x:v>
      </x:c>
      <x:c r="C51" s="88" t="str">
        <x:v>Coleção principal (~1:64)</x:v>
      </x:c>
      <x:c r="D51" s="88" t="n">
        <x:v>2026</x:v>
      </x:c>
      <x:c r="E51" s="88" t="n">
        <x:v>2026</x:v>
      </x:c>
      <x:c r="F51" s="88" t="n">
        <x:v>2</x:v>
      </x:c>
      <x:c r="G51" s="88" t="n">
        <x:v>2</x:v>
      </x:c>
      <x:c r="H51" s="88" t="n">
        <x:v>0</x:v>
      </x:c>
      <x:c r="I51" s="88" t="str">
        <x:v>1 — Comprar agora</x:v>
      </x:c>
      <x:c r="J51" s="89" t="str">
        <x:v>https://hotwheels.fandom.com/wiki/BMW_M4_GT3</x:v>
      </x:c>
    </x:row>
    <x:row r="52">
      <x:c r="A52" s="88" t="str">
        <x:v>BMW</x:v>
      </x:c>
      <x:c r="B52" s="88" t="str">
        <x:v>BMW R nineT Racer</x:v>
      </x:c>
      <x:c r="C52" s="88" t="str">
        <x:v>Motocicleta</x:v>
      </x:c>
      <x:c r="D52" s="88" t="n">
        <x:v>2022</x:v>
      </x:c>
      <x:c r="E52" s="88" t="n">
        <x:v>2024</x:v>
      </x:c>
      <x:c r="F52" s="88" t="n">
        <x:v>5</x:v>
      </x:c>
      <x:c r="G52" s="88" t="n">
        <x:v>0</x:v>
      </x:c>
      <x:c r="H52" s="88" t="n">
        <x:v>5</x:v>
      </x:c>
      <x:c r="I52" s="88" t="str">
        <x:v>Fora da meta principal</x:v>
      </x:c>
      <x:c r="J52" s="89" t="str">
        <x:v>https://hotwheels.fandom.com/wiki/BMW_R_nineT_Racer</x:v>
      </x:c>
    </x:row>
    <x:row r="53">
      <x:c r="A53" s="88" t="str">
        <x:v>BMW</x:v>
      </x:c>
      <x:c r="B53" s="88" t="str">
        <x:v>BMW Z4 M Motorsport</x:v>
      </x:c>
      <x:c r="C53" s="88" t="str">
        <x:v>Coleção principal (~1:64)</x:v>
      </x:c>
      <x:c r="D53" s="88" t="n">
        <x:v>2012</x:v>
      </x:c>
      <x:c r="E53" s="88" t="n">
        <x:v>2025</x:v>
      </x:c>
      <x:c r="F53" s="88" t="n">
        <x:v>10</x:v>
      </x:c>
      <x:c r="G53" s="88" t="n">
        <x:v>10</x:v>
      </x:c>
      <x:c r="H53" s="88" t="n">
        <x:v>0</x:v>
      </x:c>
      <x:c r="I53" s="88" t="str">
        <x:v>1 — Comprar agora</x:v>
      </x:c>
      <x:c r="J53" s="89" t="str">
        <x:v>https://hotwheels.fandom.com/wiki/BMW_Z4_M_Motorsport</x:v>
      </x:c>
    </x:row>
    <x:row r="54">
      <x:c r="A54" s="88" t="str">
        <x:v>BMW</x:v>
      </x:c>
      <x:c r="B54" s="88" t="str">
        <x:v>BMW Z8</x:v>
      </x:c>
      <x:c r="C54" s="88" t="str">
        <x:v>Coleção principal (~1:64)</x:v>
      </x:c>
      <x:c r="D54" s="88" t="n">
        <x:v>2001</x:v>
      </x:c>
      <x:c r="E54" s="88" t="n">
        <x:v>2001</x:v>
      </x:c>
      <x:c r="F54" s="88" t="n">
        <x:v>2</x:v>
      </x:c>
      <x:c r="G54" s="88" t="n">
        <x:v>2</x:v>
      </x:c>
      <x:c r="H54" s="88" t="n">
        <x:v>0</x:v>
      </x:c>
      <x:c r="I54" s="88" t="str">
        <x:v>2 — Completar aos poucos</x:v>
      </x:c>
      <x:c r="J54" s="89" t="str">
        <x:v>https://hotwheels.fandom.com/wiki/BMW_Z8</x:v>
      </x:c>
    </x:row>
    <x:row r="55">
      <x:c r="A55" s="88" t="str">
        <x:v>Ferrari</x:v>
      </x:c>
      <x:c r="B55" s="88" t="str">
        <x:v>1967 Ferrari 330 P4</x:v>
      </x:c>
      <x:c r="C55" s="88" t="str">
        <x:v>Coleção principal (~1:64)</x:v>
      </x:c>
      <x:c r="D55" s="88" t="n">
        <x:v>2025</x:v>
      </x:c>
      <x:c r="E55" s="88" t="n">
        <x:v>2025</x:v>
      </x:c>
      <x:c r="F55" s="88" t="n">
        <x:v>1</x:v>
      </x:c>
      <x:c r="G55" s="88" t="n">
        <x:v>1</x:v>
      </x:c>
      <x:c r="H55" s="88" t="n">
        <x:v>0</x:v>
      </x:c>
      <x:c r="I55" s="88" t="str">
        <x:v>1 — Comprar agora</x:v>
      </x:c>
      <x:c r="J55" s="89" t="str">
        <x:v>https://hotwheels.fandom.com/wiki/1967_Ferrari_330_P4</x:v>
      </x:c>
    </x:row>
    <x:row r="56">
      <x:c r="A56" s="88" t="str">
        <x:v>Ferrari</x:v>
      </x:c>
      <x:c r="B56" s="88" t="str">
        <x:v>1969 Ferrari 312 P</x:v>
      </x:c>
      <x:c r="C56" s="88" t="str">
        <x:v>Coleção principal (~1:64)</x:v>
      </x:c>
      <x:c r="D56" s="88" t="n">
        <x:v>2025</x:v>
      </x:c>
      <x:c r="E56" s="88" t="n">
        <x:v>2025</x:v>
      </x:c>
      <x:c r="F56" s="88" t="n">
        <x:v>1</x:v>
      </x:c>
      <x:c r="G56" s="88" t="n">
        <x:v>1</x:v>
      </x:c>
      <x:c r="H56" s="88" t="n">
        <x:v>0</x:v>
      </x:c>
      <x:c r="I56" s="88" t="str">
        <x:v>1 — Comprar agora</x:v>
      </x:c>
      <x:c r="J56" s="89" t="str">
        <x:v>https://hotwheels.fandom.com/wiki/1969_Ferrari_312_P</x:v>
      </x:c>
    </x:row>
    <x:row r="57">
      <x:c r="A57" s="88" t="str">
        <x:v>Ferrari</x:v>
      </x:c>
      <x:c r="B57" s="88" t="str">
        <x:v>Dino 206 GT</x:v>
      </x:c>
      <x:c r="C57" s="88" t="str">
        <x:v>Coleção principal (~1:64)</x:v>
      </x:c>
      <x:c r="D57" s="88" t="n">
        <x:v>2026</x:v>
      </x:c>
      <x:c r="E57" s="88" t="n">
        <x:v>2026</x:v>
      </x:c>
      <x:c r="F57" s="88" t="n">
        <x:v>3</x:v>
      </x:c>
      <x:c r="G57" s="88" t="n">
        <x:v>3</x:v>
      </x:c>
      <x:c r="H57" s="88" t="n">
        <x:v>0</x:v>
      </x:c>
      <x:c r="I57" s="88" t="str">
        <x:v>1 — Comprar agora</x:v>
      </x:c>
      <x:c r="J57" s="89" t="str">
        <x:v>https://hotwheels.fandom.com/wiki/Dino_206_GT</x:v>
      </x:c>
    </x:row>
    <x:row r="58">
      <x:c r="A58" s="88" t="str">
        <x:v>Ferrari</x:v>
      </x:c>
      <x:c r="B58" s="88" t="str">
        <x:v>Enzo Ferrari ('Tooned)</x:v>
      </x:c>
      <x:c r="C58" s="88" t="str">
        <x:v>Coleção principal (~1:64)</x:v>
      </x:c>
      <x:c r="D58" s="88" t="n">
        <x:v>2004</x:v>
      </x:c>
      <x:c r="E58" s="88" t="n">
        <x:v>2008</x:v>
      </x:c>
      <x:c r="F58" s="88" t="n">
        <x:v>7</x:v>
      </x:c>
      <x:c r="G58" s="88" t="n">
        <x:v>7</x:v>
      </x:c>
      <x:c r="H58" s="88" t="n">
        <x:v>0</x:v>
      </x:c>
      <x:c r="I58" s="88" t="str">
        <x:v>2 — Completar aos poucos</x:v>
      </x:c>
      <x:c r="J58" s="89" t="str">
        <x:v>https://hotwheels.fandom.com/wiki/Enzo_Ferrari_(%27Tooned)</x:v>
      </x:c>
    </x:row>
    <x:row r="59">
      <x:c r="A59" s="88" t="str">
        <x:v>Ferrari</x:v>
      </x:c>
      <x:c r="B59" s="88" t="str">
        <x:v>Enzo Ferrari (1:87)</x:v>
      </x:c>
      <x:c r="C59" s="88" t="str">
        <x:v>Escala 1:87</x:v>
      </x:c>
      <x:c r="D59" s="88" t="n">
        <x:v>2007</x:v>
      </x:c>
      <x:c r="E59" s="88" t="n">
        <x:v>2008</x:v>
      </x:c>
      <x:c r="F59" s="88" t="n">
        <x:v>3</x:v>
      </x:c>
      <x:c r="G59" s="88" t="n">
        <x:v>0</x:v>
      </x:c>
      <x:c r="H59" s="88" t="n">
        <x:v>3</x:v>
      </x:c>
      <x:c r="I59" s="88" t="str">
        <x:v>Fora da meta principal</x:v>
      </x:c>
      <x:c r="J59" s="89" t="str">
        <x:v>https://hotwheels.fandom.com/wiki/Enzo_Ferrari_(1:87)</x:v>
      </x:c>
    </x:row>
    <x:row r="60">
      <x:c r="A60" s="88" t="str">
        <x:v>Ferrari</x:v>
      </x:c>
      <x:c r="B60" s="88" t="str">
        <x:v>Enzo Ferrari (100%)</x:v>
      </x:c>
      <x:c r="C60" s="88" t="str">
        <x:v>Coleção principal (~1:64)</x:v>
      </x:c>
      <x:c r="D60" s="88" t="n">
        <x:v>2005</x:v>
      </x:c>
      <x:c r="E60" s="88" t="n">
        <x:v>2006</x:v>
      </x:c>
      <x:c r="F60" s="88" t="n">
        <x:v>5</x:v>
      </x:c>
      <x:c r="G60" s="88" t="n">
        <x:v>5</x:v>
      </x:c>
      <x:c r="H60" s="88" t="n">
        <x:v>0</x:v>
      </x:c>
      <x:c r="I60" s="88" t="str">
        <x:v>2 — Completar aos poucos</x:v>
      </x:c>
      <x:c r="J60" s="89" t="str">
        <x:v>https://hotwheels.fandom.com/wiki/Enzo_Ferrari_(100%25)</x:v>
      </x:c>
    </x:row>
    <x:row r="61">
      <x:c r="A61" s="88" t="str">
        <x:v>Ferrari</x:v>
      </x:c>
      <x:c r="B61" s="88" t="str">
        <x:v>Enzo Ferrari (2003)</x:v>
      </x:c>
      <x:c r="C61" s="88" t="str">
        <x:v>Coleção principal (~1:64)</x:v>
      </x:c>
      <x:c r="D61" s="88" t="n">
        <x:v>2003</x:v>
      </x:c>
      <x:c r="E61" s="88" t="n">
        <x:v>2003</x:v>
      </x:c>
      <x:c r="F61" s="88" t="n">
        <x:v>1</x:v>
      </x:c>
      <x:c r="G61" s="88" t="n">
        <x:v>1</x:v>
      </x:c>
      <x:c r="H61" s="88" t="n">
        <x:v>0</x:v>
      </x:c>
      <x:c r="I61" s="88" t="str">
        <x:v>2 — Completar aos poucos</x:v>
      </x:c>
      <x:c r="J61" s="89" t="str">
        <x:v>https://hotwheels.fandom.com/wiki/Enzo_Ferrari_(2003)</x:v>
      </x:c>
    </x:row>
    <x:row r="62">
      <x:c r="A62" s="88" t="str">
        <x:v>Ferrari</x:v>
      </x:c>
      <x:c r="B62" s="88" t="str">
        <x:v>Enzo Ferrari (2026)</x:v>
      </x:c>
      <x:c r="C62" s="88" t="str">
        <x:v>Coleção principal (~1:64)</x:v>
      </x:c>
      <x:c r="D62" s="88" t="n">
        <x:v>2026</x:v>
      </x:c>
      <x:c r="E62" s="88" t="n">
        <x:v>2026</x:v>
      </x:c>
      <x:c r="F62" s="88" t="n">
        <x:v>1</x:v>
      </x:c>
      <x:c r="G62" s="88" t="n">
        <x:v>1</x:v>
      </x:c>
      <x:c r="H62" s="88" t="n">
        <x:v>0</x:v>
      </x:c>
      <x:c r="I62" s="88" t="str">
        <x:v>1 — Comprar agora</x:v>
      </x:c>
      <x:c r="J62" s="89" t="str">
        <x:v>https://hotwheels.fandom.com/wiki/Enzo_Ferrari_(2026)</x:v>
      </x:c>
    </x:row>
    <x:row r="63">
      <x:c r="A63" s="88" t="str">
        <x:v>Ferrari</x:v>
      </x:c>
      <x:c r="B63" s="88" t="str">
        <x:v>Enzo Ferrari (Formula Fuelers)</x:v>
      </x:c>
      <x:c r="C63" s="88" t="str">
        <x:v>Coleção principal (~1:64)</x:v>
      </x:c>
      <x:c r="D63" s="88" t="n">
        <x:v>2004</x:v>
      </x:c>
      <x:c r="E63" s="88" t="n">
        <x:v>2004</x:v>
      </x:c>
      <x:c r="F63" s="88" t="n">
        <x:v>2</x:v>
      </x:c>
      <x:c r="G63" s="88" t="n">
        <x:v>2</x:v>
      </x:c>
      <x:c r="H63" s="88" t="n">
        <x:v>0</x:v>
      </x:c>
      <x:c r="I63" s="88" t="str">
        <x:v>2 — Completar aos poucos</x:v>
      </x:c>
      <x:c r="J63" s="89" t="str">
        <x:v>https://hotwheels.fandom.com/wiki/Enzo_Ferrari_(Formula_Fuelers)</x:v>
      </x:c>
    </x:row>
    <x:row r="64">
      <x:c r="A64" s="88" t="str">
        <x:v>Ferrari</x:v>
      </x:c>
      <x:c r="B64" s="88" t="str">
        <x:v>Enzo Ferrari (Speed Demons)</x:v>
      </x:c>
      <x:c r="C64" s="88" t="str">
        <x:v>Coleção principal (~1:64)</x:v>
      </x:c>
      <x:c r="D64" s="88" t="n">
        <x:v>2003</x:v>
      </x:c>
      <x:c r="E64" s="88" t="n">
        <x:v>2003</x:v>
      </x:c>
      <x:c r="F64" s="88" t="n">
        <x:v>3</x:v>
      </x:c>
      <x:c r="G64" s="88" t="n">
        <x:v>3</x:v>
      </x:c>
      <x:c r="H64" s="88" t="n">
        <x:v>0</x:v>
      </x:c>
      <x:c r="I64" s="88" t="str">
        <x:v>2 — Completar aos poucos</x:v>
      </x:c>
      <x:c r="J64" s="89" t="str">
        <x:v>https://hotwheels.fandom.com/wiki/Enzo_Ferrari_(Speed_Demons)</x:v>
      </x:c>
    </x:row>
    <x:row r="65">
      <x:c r="A65" s="88" t="str">
        <x:v>Ferrari</x:v>
      </x:c>
      <x:c r="B65" s="88" t="str">
        <x:v>Ferrari 12Cilindri</x:v>
      </x:c>
      <x:c r="C65" s="88" t="str">
        <x:v>Coleção principal (~1:64)</x:v>
      </x:c>
      <x:c r="D65" s="88" t="n">
        <x:v>2026</x:v>
      </x:c>
      <x:c r="E65" s="88" t="n">
        <x:v>2026</x:v>
      </x:c>
      <x:c r="F65" s="88" t="n">
        <x:v>3</x:v>
      </x:c>
      <x:c r="G65" s="88" t="n">
        <x:v>3</x:v>
      </x:c>
      <x:c r="H65" s="88" t="n">
        <x:v>0</x:v>
      </x:c>
      <x:c r="I65" s="88" t="str">
        <x:v>1 — Comprar agora</x:v>
      </x:c>
      <x:c r="J65" s="89" t="str">
        <x:v>https://hotwheels.fandom.com/wiki/Ferrari_12Cilindri</x:v>
      </x:c>
    </x:row>
    <x:row r="66">
      <x:c r="A66" s="88" t="str">
        <x:v>Ferrari</x:v>
      </x:c>
      <x:c r="B66" s="88" t="str">
        <x:v>Ferrari 156</x:v>
      </x:c>
      <x:c r="C66" s="88" t="str">
        <x:v>Coleção principal (~1:64)</x:v>
      </x:c>
      <x:c r="D66" s="88" t="n">
        <x:v>2001</x:v>
      </x:c>
      <x:c r="E66" s="88" t="n">
        <x:v>2009</x:v>
      </x:c>
      <x:c r="F66" s="88" t="n">
        <x:v>8</x:v>
      </x:c>
      <x:c r="G66" s="88" t="n">
        <x:v>8</x:v>
      </x:c>
      <x:c r="H66" s="88" t="n">
        <x:v>0</x:v>
      </x:c>
      <x:c r="I66" s="88" t="str">
        <x:v>2 — Completar aos poucos</x:v>
      </x:c>
      <x:c r="J66" s="89" t="str">
        <x:v>https://hotwheels.fandom.com/wiki/Ferrari_156</x:v>
      </x:c>
    </x:row>
    <x:row r="67">
      <x:c r="A67" s="88" t="str">
        <x:v>Ferrari</x:v>
      </x:c>
      <x:c r="B67" s="88" t="str">
        <x:v>Ferrari 208 Turbo</x:v>
      </x:c>
      <x:c r="C67" s="88" t="str">
        <x:v>Linha vintage / escala variável</x:v>
      </x:c>
      <x:c r="D67" s="88" t="n">
        <x:v>1979</x:v>
      </x:c>
      <x:c r="E67" s="88" t="n">
        <x:v>1979</x:v>
      </x:c>
      <x:c r="F67" s="88" t="n">
        <x:v>5</x:v>
      </x:c>
      <x:c r="G67" s="88" t="n">
        <x:v>0</x:v>
      </x:c>
      <x:c r="H67" s="88" t="n">
        <x:v>5</x:v>
      </x:c>
      <x:c r="I67" s="88" t="str">
        <x:v>2 — Completar aos poucos</x:v>
      </x:c>
      <x:c r="J67" s="89" t="str">
        <x:v>https://hotwheels.fandom.com/wiki/Ferrari_208_Turbo</x:v>
      </x:c>
    </x:row>
    <x:row r="68">
      <x:c r="A68" s="88" t="str">
        <x:v>Ferrari</x:v>
      </x:c>
      <x:c r="B68" s="88" t="str">
        <x:v>Ferrari 250</x:v>
      </x:c>
      <x:c r="C68" s="88" t="str">
        <x:v>Coleção principal (~1:64)</x:v>
      </x:c>
      <x:c r="D68" s="88" t="n">
        <x:v>1991</x:v>
      </x:c>
      <x:c r="E68" s="88" t="n">
        <x:v>2009</x:v>
      </x:c>
      <x:c r="F68" s="88" t="n">
        <x:v>25</x:v>
      </x:c>
      <x:c r="G68" s="88" t="n">
        <x:v>25</x:v>
      </x:c>
      <x:c r="H68" s="88" t="n">
        <x:v>0</x:v>
      </x:c>
      <x:c r="I68" s="88" t="str">
        <x:v>2 — Completar aos poucos</x:v>
      </x:c>
      <x:c r="J68" s="89" t="str">
        <x:v>https://hotwheels.fandom.com/wiki/Ferrari_250</x:v>
      </x:c>
    </x:row>
    <x:row r="69">
      <x:c r="A69" s="88" t="str">
        <x:v>Ferrari</x:v>
      </x:c>
      <x:c r="B69" s="88" t="str">
        <x:v>Ferrari 250 California</x:v>
      </x:c>
      <x:c r="C69" s="88" t="str">
        <x:v>Coleção principal (~1:64)</x:v>
      </x:c>
      <x:c r="D69" s="88" t="n">
        <x:v>2013</x:v>
      </x:c>
      <x:c r="E69" s="88" t="n">
        <x:v>2013</x:v>
      </x:c>
      <x:c r="F69" s="88" t="n">
        <x:v>1</x:v>
      </x:c>
      <x:c r="G69" s="88" t="n">
        <x:v>1</x:v>
      </x:c>
      <x:c r="H69" s="88" t="n">
        <x:v>0</x:v>
      </x:c>
      <x:c r="I69" s="88" t="str">
        <x:v>2 — Completar aos poucos</x:v>
      </x:c>
      <x:c r="J69" s="89" t="str">
        <x:v>https://hotwheels.fandom.com/wiki/Ferrari_250_California</x:v>
      </x:c>
    </x:row>
    <x:row r="70">
      <x:c r="A70" s="88" t="str">
        <x:v>Ferrari</x:v>
      </x:c>
      <x:c r="B70" s="88" t="str">
        <x:v>Ferrari 250 GTO (100%)</x:v>
      </x:c>
      <x:c r="C70" s="88" t="str">
        <x:v>Coleção principal (~1:64)</x:v>
      </x:c>
      <x:c r="D70" s="88" t="n">
        <x:v>2005</x:v>
      </x:c>
      <x:c r="E70" s="88" t="n">
        <x:v>2007</x:v>
      </x:c>
      <x:c r="F70" s="88" t="n">
        <x:v>2</x:v>
      </x:c>
      <x:c r="G70" s="88" t="n">
        <x:v>2</x:v>
      </x:c>
      <x:c r="H70" s="88" t="n">
        <x:v>0</x:v>
      </x:c>
      <x:c r="I70" s="88" t="str">
        <x:v>2 — Completar aos poucos</x:v>
      </x:c>
      <x:c r="J70" s="89" t="str">
        <x:v>https://hotwheels.fandom.com/wiki/Ferrari_250_GTO_(100%25)</x:v>
      </x:c>
    </x:row>
    <x:row r="71">
      <x:c r="A71" s="88" t="str">
        <x:v>Ferrari</x:v>
      </x:c>
      <x:c r="B71" s="88" t="str">
        <x:v>Ferrari 250 GTO (2009)</x:v>
      </x:c>
      <x:c r="C71" s="88" t="str">
        <x:v>Coleção principal (~1:64)</x:v>
      </x:c>
      <x:c r="D71" s="88" t="n">
        <x:v>2009</x:v>
      </x:c>
      <x:c r="E71" s="88" t="n">
        <x:v>2011</x:v>
      </x:c>
      <x:c r="F71" s="88" t="n">
        <x:v>6</x:v>
      </x:c>
      <x:c r="G71" s="88" t="n">
        <x:v>6</x:v>
      </x:c>
      <x:c r="H71" s="88" t="n">
        <x:v>0</x:v>
      </x:c>
      <x:c r="I71" s="88" t="str">
        <x:v>2 — Completar aos poucos</x:v>
      </x:c>
      <x:c r="J71" s="89" t="str">
        <x:v>https://hotwheels.fandom.com/wiki/Ferrari_250_GTO_(2009)</x:v>
      </x:c>
    </x:row>
    <x:row r="72">
      <x:c r="A72" s="88" t="str">
        <x:v>Ferrari</x:v>
      </x:c>
      <x:c r="B72" s="88" t="str">
        <x:v>Ferrari 250 GTO (2025)</x:v>
      </x:c>
      <x:c r="C72" s="88" t="str">
        <x:v>Coleção principal (~1:64)</x:v>
      </x:c>
      <x:c r="D72" s="88" t="n">
        <x:v>2025</x:v>
      </x:c>
      <x:c r="E72" s="88" t="n">
        <x:v>2026</x:v>
      </x:c>
      <x:c r="F72" s="88" t="n">
        <x:v>2</x:v>
      </x:c>
      <x:c r="G72" s="88" t="n">
        <x:v>2</x:v>
      </x:c>
      <x:c r="H72" s="88" t="n">
        <x:v>0</x:v>
      </x:c>
      <x:c r="I72" s="88" t="str">
        <x:v>1 — Comprar agora</x:v>
      </x:c>
      <x:c r="J72" s="89" t="str">
        <x:v>https://hotwheels.fandom.com/wiki/Ferrari_250_GTO_(2025)</x:v>
      </x:c>
    </x:row>
    <x:row r="73">
      <x:c r="A73" s="88" t="str">
        <x:v>Ferrari</x:v>
      </x:c>
      <x:c r="B73" s="88" t="str">
        <x:v>Ferrari 250 LM</x:v>
      </x:c>
      <x:c r="C73" s="88" t="str">
        <x:v>Coleção principal (~1:64)</x:v>
      </x:c>
      <x:c r="D73" s="88" t="n">
        <x:v>2007</x:v>
      </x:c>
      <x:c r="E73" s="88" t="n">
        <x:v>2009</x:v>
      </x:c>
      <x:c r="F73" s="88" t="n">
        <x:v>7</x:v>
      </x:c>
      <x:c r="G73" s="88" t="n">
        <x:v>7</x:v>
      </x:c>
      <x:c r="H73" s="88" t="n">
        <x:v>0</x:v>
      </x:c>
      <x:c r="I73" s="88" t="str">
        <x:v>2 — Completar aos poucos</x:v>
      </x:c>
      <x:c r="J73" s="89" t="str">
        <x:v>https://hotwheels.fandom.com/wiki/Ferrari_250_LM</x:v>
      </x:c>
    </x:row>
    <x:row r="74">
      <x:c r="A74" s="88" t="str">
        <x:v>Ferrari</x:v>
      </x:c>
      <x:c r="B74" s="88" t="str">
        <x:v>Ferrari 250 Testa Rossa (micro)</x:v>
      </x:c>
      <x:c r="C74" s="88" t="str">
        <x:v>Micro</x:v>
      </x:c>
      <x:c r="D74" s="88" t="n">
        <x:v>1989</x:v>
      </x:c>
      <x:c r="E74" s="88" t="n">
        <x:v>1990</x:v>
      </x:c>
      <x:c r="F74" s="88" t="n">
        <x:v>2</x:v>
      </x:c>
      <x:c r="G74" s="88" t="n">
        <x:v>0</x:v>
      </x:c>
      <x:c r="H74" s="88" t="n">
        <x:v>2</x:v>
      </x:c>
      <x:c r="I74" s="88" t="str">
        <x:v>Fora da meta principal</x:v>
      </x:c>
      <x:c r="J74" s="89" t="str">
        <x:v>https://hotwheels.fandom.com/wiki/Ferrari_250_Testa_Rossa_(micro)</x:v>
      </x:c>
    </x:row>
    <x:row r="75">
      <x:c r="A75" s="88" t="str">
        <x:v>Ferrari</x:v>
      </x:c>
      <x:c r="B75" s="88" t="str">
        <x:v>Ferrari 288 GTO</x:v>
      </x:c>
      <x:c r="C75" s="88" t="str">
        <x:v>Coleção principal (~1:64)</x:v>
      </x:c>
      <x:c r="D75" s="88" t="n">
        <x:v>2008</x:v>
      </x:c>
      <x:c r="E75" s="88" t="n">
        <x:v>2012</x:v>
      </x:c>
      <x:c r="F75" s="88" t="n">
        <x:v>13</x:v>
      </x:c>
      <x:c r="G75" s="88" t="n">
        <x:v>13</x:v>
      </x:c>
      <x:c r="H75" s="88" t="n">
        <x:v>0</x:v>
      </x:c>
      <x:c r="I75" s="88" t="str">
        <x:v>2 — Completar aos poucos</x:v>
      </x:c>
      <x:c r="J75" s="89" t="str">
        <x:v>https://hotwheels.fandom.com/wiki/Ferrari_288_GTO</x:v>
      </x:c>
    </x:row>
    <x:row r="76">
      <x:c r="A76" s="88" t="str">
        <x:v>Ferrari</x:v>
      </x:c>
      <x:c r="B76" s="88" t="str">
        <x:v>Ferrari 308 (micro)</x:v>
      </x:c>
      <x:c r="C76" s="88" t="str">
        <x:v>Micro</x:v>
      </x:c>
      <x:c r="D76" s="88" t="n">
        <x:v>1989</x:v>
      </x:c>
      <x:c r="E76" s="88" t="n">
        <x:v>1990</x:v>
      </x:c>
      <x:c r="F76" s="88" t="n">
        <x:v>9</x:v>
      </x:c>
      <x:c r="G76" s="88" t="n">
        <x:v>0</x:v>
      </x:c>
      <x:c r="H76" s="88" t="n">
        <x:v>9</x:v>
      </x:c>
      <x:c r="I76" s="88" t="str">
        <x:v>Fora da meta principal</x:v>
      </x:c>
      <x:c r="J76" s="89" t="str">
        <x:v>https://hotwheels.fandom.com/wiki/Ferrari_308_(micro)</x:v>
      </x:c>
    </x:row>
    <x:row r="77">
      <x:c r="A77" s="88" t="str">
        <x:v>Ferrari</x:v>
      </x:c>
      <x:c r="B77" s="88" t="str">
        <x:v>Ferrari 308 GTS</x:v>
      </x:c>
      <x:c r="C77" s="88" t="str">
        <x:v>Coleção principal (~1:64)</x:v>
      </x:c>
      <x:c r="D77" s="88" t="n">
        <x:v>2009</x:v>
      </x:c>
      <x:c r="E77" s="88" t="n">
        <x:v>2013</x:v>
      </x:c>
      <x:c r="F77" s="88" t="n">
        <x:v>10</x:v>
      </x:c>
      <x:c r="G77" s="88" t="n">
        <x:v>10</x:v>
      </x:c>
      <x:c r="H77" s="88" t="n">
        <x:v>0</x:v>
      </x:c>
      <x:c r="I77" s="88" t="str">
        <x:v>2 — Completar aos poucos</x:v>
      </x:c>
      <x:c r="J77" s="89" t="str">
        <x:v>https://hotwheels.fandom.com/wiki/Ferrari_308_GTS</x:v>
      </x:c>
    </x:row>
    <x:row r="78">
      <x:c r="A78" s="88" t="str">
        <x:v>Ferrari</x:v>
      </x:c>
      <x:c r="B78" s="88" t="str">
        <x:v>Ferrari 308 GTS (Corgi)</x:v>
      </x:c>
      <x:c r="C78" s="88" t="str">
        <x:v>Coleção principal (~1:64)</x:v>
      </x:c>
      <x:c r="D78" s="88" t="n">
        <x:v>1994</x:v>
      </x:c>
      <x:c r="E78" s="88" t="n">
        <x:v>1997</x:v>
      </x:c>
      <x:c r="F78" s="88" t="n">
        <x:v>6</x:v>
      </x:c>
      <x:c r="G78" s="88" t="n">
        <x:v>6</x:v>
      </x:c>
      <x:c r="H78" s="88" t="n">
        <x:v>0</x:v>
      </x:c>
      <x:c r="I78" s="88" t="str">
        <x:v>2 — Completar aos poucos</x:v>
      </x:c>
      <x:c r="J78" s="89" t="str">
        <x:v>https://hotwheels.fandom.com/wiki/Ferrari_308_GTS_(Corgi)</x:v>
      </x:c>
    </x:row>
    <x:row r="79">
      <x:c r="A79" s="88" t="str">
        <x:v>Ferrari</x:v>
      </x:c>
      <x:c r="B79" s="88" t="str">
        <x:v>Ferrari 312P</x:v>
      </x:c>
      <x:c r="C79" s="88" t="str">
        <x:v>Coleção principal (~1:64)</x:v>
      </x:c>
      <x:c r="D79" s="88" t="n">
        <x:v>1970</x:v>
      </x:c>
      <x:c r="E79" s="88" t="n">
        <x:v>1977</x:v>
      </x:c>
      <x:c r="F79" s="88" t="n">
        <x:v>36</x:v>
      </x:c>
      <x:c r="G79" s="88" t="n">
        <x:v>36</x:v>
      </x:c>
      <x:c r="H79" s="88" t="n">
        <x:v>0</x:v>
      </x:c>
      <x:c r="I79" s="88" t="str">
        <x:v>2 — Completar aos poucos</x:v>
      </x:c>
      <x:c r="J79" s="89" t="str">
        <x:v>https://hotwheels.fandom.com/wiki/Ferrari_312P</x:v>
      </x:c>
    </x:row>
    <x:row r="80">
      <x:c r="A80" s="88" t="str">
        <x:v>Ferrari</x:v>
      </x:c>
      <x:c r="B80" s="88" t="str">
        <x:v>Ferrari 328 GTB</x:v>
      </x:c>
      <x:c r="C80" s="88" t="str">
        <x:v>Coleção principal (~1:64)</x:v>
      </x:c>
      <x:c r="D80" s="88" t="n">
        <x:v>1990</x:v>
      </x:c>
      <x:c r="E80" s="88" t="n">
        <x:v>1997</x:v>
      </x:c>
      <x:c r="F80" s="88" t="n">
        <x:v>8</x:v>
      </x:c>
      <x:c r="G80" s="88" t="n">
        <x:v>8</x:v>
      </x:c>
      <x:c r="H80" s="88" t="n">
        <x:v>0</x:v>
      </x:c>
      <x:c r="I80" s="88" t="str">
        <x:v>2 — Completar aos poucos</x:v>
      </x:c>
      <x:c r="J80" s="89" t="str">
        <x:v>https://hotwheels.fandom.com/wiki/Ferrari_328_GTB</x:v>
      </x:c>
    </x:row>
    <x:row r="81">
      <x:c r="A81" s="88" t="str">
        <x:v>Ferrari</x:v>
      </x:c>
      <x:c r="B81" s="88" t="str">
        <x:v>Ferrari 328 GTS</x:v>
      </x:c>
      <x:c r="C81" s="88" t="str">
        <x:v>Action Racers</x:v>
      </x:c>
      <x:c r="D81" s="88" t="n">
        <x:v>1987</x:v>
      </x:c>
      <x:c r="E81" s="88" t="n">
        <x:v>1987</x:v>
      </x:c>
      <x:c r="F81" s="88" t="n">
        <x:v>4</x:v>
      </x:c>
      <x:c r="G81" s="88" t="n">
        <x:v>0</x:v>
      </x:c>
      <x:c r="H81" s="88" t="n">
        <x:v>4</x:v>
      </x:c>
      <x:c r="I81" s="88" t="str">
        <x:v>Fora da meta principal</x:v>
      </x:c>
      <x:c r="J81" s="89" t="str">
        <x:v>https://hotwheels.fandom.com/wiki/Ferrari_328_GTS</x:v>
      </x:c>
    </x:row>
    <x:row r="82">
      <x:c r="A82" s="88" t="str">
        <x:v>Ferrari</x:v>
      </x:c>
      <x:c r="B82" s="88" t="str">
        <x:v>Ferrari 330 P4</x:v>
      </x:c>
      <x:c r="C82" s="88" t="str">
        <x:v>Coleção principal (~1:64)</x:v>
      </x:c>
      <x:c r="D82" s="88" t="n">
        <x:v>2002</x:v>
      </x:c>
      <x:c r="E82" s="88" t="n">
        <x:v>2013</x:v>
      </x:c>
      <x:c r="F82" s="88" t="n">
        <x:v>13</x:v>
      </x:c>
      <x:c r="G82" s="88" t="n">
        <x:v>13</x:v>
      </x:c>
      <x:c r="H82" s="88" t="n">
        <x:v>0</x:v>
      </x:c>
      <x:c r="I82" s="88" t="str">
        <x:v>2 — Completar aos poucos</x:v>
      </x:c>
      <x:c r="J82" s="89" t="str">
        <x:v>https://hotwheels.fandom.com/wiki/Ferrari_330_P4</x:v>
      </x:c>
    </x:row>
    <x:row r="83">
      <x:c r="A83" s="88" t="str">
        <x:v>Ferrari</x:v>
      </x:c>
      <x:c r="B83" s="88" t="str">
        <x:v>Ferrari 333 SP</x:v>
      </x:c>
      <x:c r="C83" s="88" t="str">
        <x:v>Coleção principal (~1:64)</x:v>
      </x:c>
      <x:c r="D83" s="88" t="n">
        <x:v>2000</x:v>
      </x:c>
      <x:c r="E83" s="88" t="n">
        <x:v>2011</x:v>
      </x:c>
      <x:c r="F83" s="88" t="n">
        <x:v>19</x:v>
      </x:c>
      <x:c r="G83" s="88" t="n">
        <x:v>19</x:v>
      </x:c>
      <x:c r="H83" s="88" t="n">
        <x:v>0</x:v>
      </x:c>
      <x:c r="I83" s="88" t="str">
        <x:v>2 — Completar aos poucos</x:v>
      </x:c>
      <x:c r="J83" s="89" t="str">
        <x:v>https://hotwheels.fandom.com/wiki/Ferrari_333_SP</x:v>
      </x:c>
    </x:row>
    <x:row r="84">
      <x:c r="A84" s="88" t="str">
        <x:v>Ferrari</x:v>
      </x:c>
      <x:c r="B84" s="88" t="str">
        <x:v>Ferrari 348</x:v>
      </x:c>
      <x:c r="C84" s="88" t="str">
        <x:v>Coleção principal (~1:64)</x:v>
      </x:c>
      <x:c r="D84" s="88" t="n">
        <x:v>1991</x:v>
      </x:c>
      <x:c r="E84" s="88" t="n">
        <x:v>2009</x:v>
      </x:c>
      <x:c r="F84" s="88" t="n">
        <x:v>33</x:v>
      </x:c>
      <x:c r="G84" s="88" t="n">
        <x:v>33</x:v>
      </x:c>
      <x:c r="H84" s="88" t="n">
        <x:v>0</x:v>
      </x:c>
      <x:c r="I84" s="88" t="str">
        <x:v>2 — Completar aos poucos</x:v>
      </x:c>
      <x:c r="J84" s="89" t="str">
        <x:v>https://hotwheels.fandom.com/wiki/Ferrari_348</x:v>
      </x:c>
    </x:row>
    <x:row r="85">
      <x:c r="A85" s="88" t="str">
        <x:v>Ferrari</x:v>
      </x:c>
      <x:c r="B85" s="88" t="str">
        <x:v>Ferrari 348 tb</x:v>
      </x:c>
      <x:c r="C85" s="88" t="str">
        <x:v>Coleção principal (~1:64)</x:v>
      </x:c>
      <x:c r="D85" s="88" t="n">
        <x:v>1994</x:v>
      </x:c>
      <x:c r="E85" s="88" t="n">
        <x:v>1997</x:v>
      </x:c>
      <x:c r="F85" s="88" t="n">
        <x:v>5</x:v>
      </x:c>
      <x:c r="G85" s="88" t="n">
        <x:v>5</x:v>
      </x:c>
      <x:c r="H85" s="88" t="n">
        <x:v>0</x:v>
      </x:c>
      <x:c r="I85" s="88" t="str">
        <x:v>2 — Completar aos poucos</x:v>
      </x:c>
      <x:c r="J85" s="89" t="str">
        <x:v>https://hotwheels.fandom.com/wiki/Ferrari_348_tb</x:v>
      </x:c>
    </x:row>
    <x:row r="86">
      <x:c r="A86" s="88" t="str">
        <x:v>Ferrari</x:v>
      </x:c>
      <x:c r="B86" s="88" t="str">
        <x:v>Ferrari 348 tb (1:43 Turbos Collection)</x:v>
      </x:c>
      <x:c r="C86" s="88" t="str">
        <x:v>Escala 1:43</x:v>
      </x:c>
      <x:c r="D86" s="88" t="n">
        <x:v>1996</x:v>
      </x:c>
      <x:c r="E86" s="88" t="n">
        <x:v>1996</x:v>
      </x:c>
      <x:c r="F86" s="88" t="n">
        <x:v>1</x:v>
      </x:c>
      <x:c r="G86" s="88" t="n">
        <x:v>0</x:v>
      </x:c>
      <x:c r="H86" s="88" t="n">
        <x:v>1</x:v>
      </x:c>
      <x:c r="I86" s="88" t="str">
        <x:v>Fora da meta principal</x:v>
      </x:c>
      <x:c r="J86" s="89" t="str">
        <x:v>https://hotwheels.fandom.com/wiki/Ferrari_348_tb_(1:43_Turbos_Collection)</x:v>
      </x:c>
    </x:row>
    <x:row r="87">
      <x:c r="A87" s="88" t="str">
        <x:v>Ferrari</x:v>
      </x:c>
      <x:c r="B87" s="88" t="str">
        <x:v>Ferrari 360 Modena</x:v>
      </x:c>
      <x:c r="C87" s="88" t="str">
        <x:v>Coleção principal (~1:64)</x:v>
      </x:c>
      <x:c r="D87" s="88" t="n">
        <x:v>1999</x:v>
      </x:c>
      <x:c r="E87" s="88" t="n">
        <x:v>2010</x:v>
      </x:c>
      <x:c r="F87" s="88" t="n">
        <x:v>21</x:v>
      </x:c>
      <x:c r="G87" s="88" t="n">
        <x:v>21</x:v>
      </x:c>
      <x:c r="H87" s="88" t="n">
        <x:v>0</x:v>
      </x:c>
      <x:c r="I87" s="88" t="str">
        <x:v>2 — Completar aos poucos</x:v>
      </x:c>
      <x:c r="J87" s="89" t="str">
        <x:v>https://hotwheels.fandom.com/wiki/Ferrari_360_Modena</x:v>
      </x:c>
    </x:row>
    <x:row r="88">
      <x:c r="A88" s="88" t="str">
        <x:v>Ferrari</x:v>
      </x:c>
      <x:c r="B88" s="88" t="str">
        <x:v>Ferrari 360 Modena ('Tooned)</x:v>
      </x:c>
      <x:c r="C88" s="88" t="str">
        <x:v>Coleção principal (~1:64)</x:v>
      </x:c>
      <x:c r="D88" s="88" t="n">
        <x:v>2004</x:v>
      </x:c>
      <x:c r="E88" s="88" t="n">
        <x:v>2006</x:v>
      </x:c>
      <x:c r="F88" s="88" t="n">
        <x:v>3</x:v>
      </x:c>
      <x:c r="G88" s="88" t="n">
        <x:v>3</x:v>
      </x:c>
      <x:c r="H88" s="88" t="n">
        <x:v>0</x:v>
      </x:c>
      <x:c r="I88" s="88" t="str">
        <x:v>2 — Completar aos poucos</x:v>
      </x:c>
      <x:c r="J88" s="89" t="str">
        <x:v>https://hotwheels.fandom.com/wiki/Ferrari_360_Modena_(%27Tooned)</x:v>
      </x:c>
    </x:row>
    <x:row r="89">
      <x:c r="A89" s="88" t="str">
        <x:v>Ferrari</x:v>
      </x:c>
      <x:c r="B89" s="88" t="str">
        <x:v>Ferrari 360 Modena (X-Raycers)</x:v>
      </x:c>
      <x:c r="C89" s="88" t="str">
        <x:v>Coleção principal (~1:64)</x:v>
      </x:c>
      <x:c r="D89" s="88" t="n">
        <x:v>2005</x:v>
      </x:c>
      <x:c r="E89" s="88" t="n">
        <x:v>2009</x:v>
      </x:c>
      <x:c r="F89" s="88" t="n">
        <x:v>8</x:v>
      </x:c>
      <x:c r="G89" s="88" t="n">
        <x:v>8</x:v>
      </x:c>
      <x:c r="H89" s="88" t="n">
        <x:v>0</x:v>
      </x:c>
      <x:c r="I89" s="88" t="str">
        <x:v>2 — Completar aos poucos</x:v>
      </x:c>
      <x:c r="J89" s="89" t="str">
        <x:v>https://hotwheels.fandom.com/wiki/Ferrari_360_Modena_(X-Raycers)</x:v>
      </x:c>
    </x:row>
    <x:row r="90">
      <x:c r="A90" s="88" t="str">
        <x:v>Ferrari</x:v>
      </x:c>
      <x:c r="B90" s="88" t="str">
        <x:v>Ferrari 360 Modena GT</x:v>
      </x:c>
      <x:c r="C90" s="88" t="str">
        <x:v>Coleção principal (~1:64)</x:v>
      </x:c>
      <x:c r="D90" s="88" t="n">
        <x:v>2004</x:v>
      </x:c>
      <x:c r="E90" s="88" t="n">
        <x:v>2004</x:v>
      </x:c>
      <x:c r="F90" s="88" t="n">
        <x:v>2</x:v>
      </x:c>
      <x:c r="G90" s="88" t="n">
        <x:v>2</x:v>
      </x:c>
      <x:c r="H90" s="88" t="n">
        <x:v>0</x:v>
      </x:c>
      <x:c r="I90" s="88" t="str">
        <x:v>2 — Completar aos poucos</x:v>
      </x:c>
      <x:c r="J90" s="89" t="str">
        <x:v>https://hotwheels.fandom.com/wiki/Ferrari_360_Modena_GT</x:v>
      </x:c>
    </x:row>
    <x:row r="91">
      <x:c r="A91" s="88" t="str">
        <x:v>Ferrari</x:v>
      </x:c>
      <x:c r="B91" s="88" t="str">
        <x:v>Ferrari 360 Spider</x:v>
      </x:c>
      <x:c r="C91" s="88" t="str">
        <x:v>Escala 1:24</x:v>
      </x:c>
      <x:c r="D91" s="88" t="n">
        <x:v>2005</x:v>
      </x:c>
      <x:c r="E91" s="88" t="n">
        <x:v>2005</x:v>
      </x:c>
      <x:c r="F91" s="88" t="n">
        <x:v>1</x:v>
      </x:c>
      <x:c r="G91" s="88" t="n">
        <x:v>0</x:v>
      </x:c>
      <x:c r="H91" s="88" t="n">
        <x:v>1</x:v>
      </x:c>
      <x:c r="I91" s="88" t="str">
        <x:v>Fora da meta principal</x:v>
      </x:c>
      <x:c r="J91" s="89" t="str">
        <x:v>https://hotwheels.fandom.com/wiki/Ferrari</x:v>
      </x:c>
    </x:row>
    <x:row r="92">
      <x:c r="A92" s="88" t="str">
        <x:v>Ferrari</x:v>
      </x:c>
      <x:c r="B92" s="88" t="str">
        <x:v>Ferrari 360 Spider (1:50)</x:v>
      </x:c>
      <x:c r="C92" s="88" t="str">
        <x:v>Escala 1:50</x:v>
      </x:c>
      <x:c r="D92" s="88" t="n">
        <x:v>2005</x:v>
      </x:c>
      <x:c r="E92" s="88" t="n">
        <x:v>2009</x:v>
      </x:c>
      <x:c r="F92" s="88" t="n">
        <x:v>4</x:v>
      </x:c>
      <x:c r="G92" s="88" t="n">
        <x:v>0</x:v>
      </x:c>
      <x:c r="H92" s="88" t="n">
        <x:v>4</x:v>
      </x:c>
      <x:c r="I92" s="88" t="str">
        <x:v>Fora da meta principal</x:v>
      </x:c>
      <x:c r="J92" s="89" t="str">
        <x:v>https://hotwheels.fandom.com/wiki/Ferrari_360_Spider_(1:50)</x:v>
      </x:c>
    </x:row>
    <x:row r="93">
      <x:c r="A93" s="88" t="str">
        <x:v>Ferrari</x:v>
      </x:c>
      <x:c r="B93" s="88" t="str">
        <x:v>Ferrari 365 GTB/4</x:v>
      </x:c>
      <x:c r="C93" s="88" t="str">
        <x:v>Coleção principal (~1:64)</x:v>
      </x:c>
      <x:c r="D93" s="88" t="n">
        <x:v>2000</x:v>
      </x:c>
      <x:c r="E93" s="88" t="n">
        <x:v>2011</x:v>
      </x:c>
      <x:c r="F93" s="88" t="n">
        <x:v>14</x:v>
      </x:c>
      <x:c r="G93" s="88" t="n">
        <x:v>14</x:v>
      </x:c>
      <x:c r="H93" s="88" t="n">
        <x:v>0</x:v>
      </x:c>
      <x:c r="I93" s="88" t="str">
        <x:v>2 — Completar aos poucos</x:v>
      </x:c>
      <x:c r="J93" s="89" t="str">
        <x:v>https://hotwheels.fandom.com/wiki/Ferrari_365_GTB/4</x:v>
      </x:c>
    </x:row>
    <x:row r="94">
      <x:c r="A94" s="88" t="str">
        <x:v>Ferrari</x:v>
      </x:c>
      <x:c r="B94" s="88" t="str">
        <x:v>Ferrari 365 GTB4 Competizione</x:v>
      </x:c>
      <x:c r="C94" s="88" t="str">
        <x:v>Coleção principal (~1:64)</x:v>
      </x:c>
      <x:c r="D94" s="88" t="n">
        <x:v>2025</x:v>
      </x:c>
      <x:c r="E94" s="88" t="n">
        <x:v>2026</x:v>
      </x:c>
      <x:c r="F94" s="88" t="n">
        <x:v>6</x:v>
      </x:c>
      <x:c r="G94" s="88" t="n">
        <x:v>6</x:v>
      </x:c>
      <x:c r="H94" s="88" t="n">
        <x:v>0</x:v>
      </x:c>
      <x:c r="I94" s="88" t="str">
        <x:v>1 — Comprar agora</x:v>
      </x:c>
      <x:c r="J94" s="89" t="str">
        <x:v>https://hotwheels.fandom.com/wiki/Ferrari_365_GTB4_Competizione</x:v>
      </x:c>
    </x:row>
    <x:row r="95">
      <x:c r="A95" s="88" t="str">
        <x:v>Ferrari</x:v>
      </x:c>
      <x:c r="B95" s="88" t="str">
        <x:v>Ferrari 365 GTS/4 (1:43)</x:v>
      </x:c>
      <x:c r="C95" s="88" t="str">
        <x:v>Escala 1:43</x:v>
      </x:c>
      <x:c r="D95" s="88" t="n">
        <x:v>1999</x:v>
      </x:c>
      <x:c r="E95" s="88" t="n">
        <x:v>2001</x:v>
      </x:c>
      <x:c r="F95" s="88" t="n">
        <x:v>4</x:v>
      </x:c>
      <x:c r="G95" s="88" t="n">
        <x:v>0</x:v>
      </x:c>
      <x:c r="H95" s="88" t="n">
        <x:v>4</x:v>
      </x:c>
      <x:c r="I95" s="88" t="str">
        <x:v>Fora da meta principal</x:v>
      </x:c>
      <x:c r="J95" s="89" t="str">
        <x:v>https://hotwheels.fandom.com/wiki/Ferrari_365_GTS/4_(1:43)</x:v>
      </x:c>
    </x:row>
    <x:row r="96">
      <x:c r="A96" s="88" t="str">
        <x:v>Ferrari</x:v>
      </x:c>
      <x:c r="B96" s="88" t="str">
        <x:v>Ferrari 365 GTS4</x:v>
      </x:c>
      <x:c r="C96" s="88" t="str">
        <x:v>Coleção principal (~1:64)</x:v>
      </x:c>
      <x:c r="D96" s="88" t="n">
        <x:v>2009</x:v>
      </x:c>
      <x:c r="E96" s="88" t="n">
        <x:v>2013</x:v>
      </x:c>
      <x:c r="F96" s="88" t="n">
        <x:v>4</x:v>
      </x:c>
      <x:c r="G96" s="88" t="n">
        <x:v>4</x:v>
      </x:c>
      <x:c r="H96" s="88" t="n">
        <x:v>0</x:v>
      </x:c>
      <x:c r="I96" s="88" t="str">
        <x:v>2 — Completar aos poucos</x:v>
      </x:c>
      <x:c r="J96" s="89" t="str">
        <x:v>https://hotwheels.fandom.com/wiki/Ferrari_365_GTS4</x:v>
      </x:c>
    </x:row>
    <x:row r="97">
      <x:c r="A97" s="88" t="str">
        <x:v>Ferrari</x:v>
      </x:c>
      <x:c r="B97" s="88" t="str">
        <x:v>Ferrari 430 Scuderia</x:v>
      </x:c>
      <x:c r="C97" s="88" t="str">
        <x:v>Coleção principal (~1:64)</x:v>
      </x:c>
      <x:c r="D97" s="88" t="n">
        <x:v>2009</x:v>
      </x:c>
      <x:c r="E97" s="88" t="n">
        <x:v>2014</x:v>
      </x:c>
      <x:c r="F97" s="88" t="n">
        <x:v>8</x:v>
      </x:c>
      <x:c r="G97" s="88" t="n">
        <x:v>8</x:v>
      </x:c>
      <x:c r="H97" s="88" t="n">
        <x:v>0</x:v>
      </x:c>
      <x:c r="I97" s="88" t="str">
        <x:v>2 — Completar aos poucos</x:v>
      </x:c>
      <x:c r="J97" s="89" t="str">
        <x:v>https://hotwheels.fandom.com/wiki/Ferrari_430_Scuderia</x:v>
      </x:c>
    </x:row>
    <x:row r="98">
      <x:c r="A98" s="88" t="str">
        <x:v>Ferrari</x:v>
      </x:c>
      <x:c r="B98" s="88" t="str">
        <x:v>Ferrari 456M</x:v>
      </x:c>
      <x:c r="C98" s="88" t="str">
        <x:v>Coleção principal (~1:64)</x:v>
      </x:c>
      <x:c r="D98" s="88" t="n">
        <x:v>1999</x:v>
      </x:c>
      <x:c r="E98" s="88" t="n">
        <x:v>2009</x:v>
      </x:c>
      <x:c r="F98" s="88" t="n">
        <x:v>8</x:v>
      </x:c>
      <x:c r="G98" s="88" t="n">
        <x:v>8</x:v>
      </x:c>
      <x:c r="H98" s="88" t="n">
        <x:v>0</x:v>
      </x:c>
      <x:c r="I98" s="88" t="str">
        <x:v>2 — Completar aos poucos</x:v>
      </x:c>
      <x:c r="J98" s="89" t="str">
        <x:v>https://hotwheels.fandom.com/wiki/Ferrari_456M</x:v>
      </x:c>
    </x:row>
    <x:row r="99">
      <x:c r="A99" s="88" t="str">
        <x:v>Ferrari</x:v>
      </x:c>
      <x:c r="B99" s="88" t="str">
        <x:v>Ferrari 458 Italia</x:v>
      </x:c>
      <x:c r="C99" s="88" t="str">
        <x:v>Coleção principal (~1:64)</x:v>
      </x:c>
      <x:c r="D99" s="88" t="n">
        <x:v>2010</x:v>
      </x:c>
      <x:c r="E99" s="88" t="n">
        <x:v>2014</x:v>
      </x:c>
      <x:c r="F99" s="88" t="n">
        <x:v>12</x:v>
      </x:c>
      <x:c r="G99" s="88" t="n">
        <x:v>12</x:v>
      </x:c>
      <x:c r="H99" s="88" t="n">
        <x:v>0</x:v>
      </x:c>
      <x:c r="I99" s="88" t="str">
        <x:v>2 — Completar aos poucos</x:v>
      </x:c>
      <x:c r="J99" s="89" t="str">
        <x:v>https://hotwheels.fandom.com/wiki/Ferrari_458_Italia</x:v>
      </x:c>
    </x:row>
    <x:row r="100">
      <x:c r="A100" s="88" t="str">
        <x:v>Ferrari</x:v>
      </x:c>
      <x:c r="B100" s="88" t="str">
        <x:v>Ferrari 458 Spider</x:v>
      </x:c>
      <x:c r="C100" s="88" t="str">
        <x:v>Coleção principal (~1:64)</x:v>
      </x:c>
      <x:c r="D100" s="88" t="n">
        <x:v>2012</x:v>
      </x:c>
      <x:c r="E100" s="88" t="n">
        <x:v>2014</x:v>
      </x:c>
      <x:c r="F100" s="88" t="n">
        <x:v>6</x:v>
      </x:c>
      <x:c r="G100" s="88" t="n">
        <x:v>6</x:v>
      </x:c>
      <x:c r="H100" s="88" t="n">
        <x:v>0</x:v>
      </x:c>
      <x:c r="I100" s="88" t="str">
        <x:v>2 — Completar aos poucos</x:v>
      </x:c>
      <x:c r="J100" s="89" t="str">
        <x:v>https://hotwheels.fandom.com/wiki/Ferrari_458_Spider</x:v>
      </x:c>
    </x:row>
    <x:row r="101">
      <x:c r="A101" s="88" t="str">
        <x:v>Ferrari</x:v>
      </x:c>
      <x:c r="B101" s="88" t="str">
        <x:v>Ferrari 499P</x:v>
      </x:c>
      <x:c r="C101" s="88" t="str">
        <x:v>Coleção principal (~1:64)</x:v>
      </x:c>
      <x:c r="D101" s="88" t="n">
        <x:v>2025</x:v>
      </x:c>
      <x:c r="E101" s="88" t="n">
        <x:v>2025</x:v>
      </x:c>
      <x:c r="F101" s="88" t="n">
        <x:v>2</x:v>
      </x:c>
      <x:c r="G101" s="88" t="n">
        <x:v>2</x:v>
      </x:c>
      <x:c r="H101" s="88" t="n">
        <x:v>0</x:v>
      </x:c>
      <x:c r="I101" s="88" t="str">
        <x:v>1 — Comprar agora</x:v>
      </x:c>
      <x:c r="J101" s="89" t="str">
        <x:v>https://hotwheels.fandom.com/wiki/Ferrari_499P</x:v>
      </x:c>
    </x:row>
    <x:row r="102">
      <x:c r="A102" s="88" t="str">
        <x:v>Ferrari</x:v>
      </x:c>
      <x:c r="B102" s="88" t="str">
        <x:v>Ferrari 499P Modificata</x:v>
      </x:c>
      <x:c r="C102" s="88" t="str">
        <x:v>Coleção principal (~1:64)</x:v>
      </x:c>
      <x:c r="D102" s="88" t="n">
        <x:v>2025</x:v>
      </x:c>
      <x:c r="E102" s="88" t="n">
        <x:v>2025</x:v>
      </x:c>
      <x:c r="F102" s="88" t="n">
        <x:v>2</x:v>
      </x:c>
      <x:c r="G102" s="88" t="n">
        <x:v>2</x:v>
      </x:c>
      <x:c r="H102" s="88" t="n">
        <x:v>0</x:v>
      </x:c>
      <x:c r="I102" s="88" t="str">
        <x:v>1 — Comprar agora</x:v>
      </x:c>
      <x:c r="J102" s="89" t="str">
        <x:v>https://hotwheels.fandom.com/wiki/Ferrari_499P_Modificata</x:v>
      </x:c>
    </x:row>
    <x:row r="103">
      <x:c r="A103" s="88" t="str">
        <x:v>Ferrari</x:v>
      </x:c>
      <x:c r="B103" s="88" t="str">
        <x:v>Ferrari 512 M</x:v>
      </x:c>
      <x:c r="C103" s="88" t="str">
        <x:v>Coleção principal (~1:64)</x:v>
      </x:c>
      <x:c r="D103" s="88" t="n">
        <x:v>2006</x:v>
      </x:c>
      <x:c r="E103" s="88" t="n">
        <x:v>2013</x:v>
      </x:c>
      <x:c r="F103" s="88" t="n">
        <x:v>12</x:v>
      </x:c>
      <x:c r="G103" s="88" t="n">
        <x:v>12</x:v>
      </x:c>
      <x:c r="H103" s="88" t="n">
        <x:v>0</x:v>
      </x:c>
      <x:c r="I103" s="88" t="str">
        <x:v>2 — Completar aos poucos</x:v>
      </x:c>
      <x:c r="J103" s="89" t="str">
        <x:v>https://hotwheels.fandom.com/wiki/Ferrari_512_M</x:v>
      </x:c>
    </x:row>
    <x:row r="104">
      <x:c r="A104" s="88" t="str">
        <x:v>Ferrari</x:v>
      </x:c>
      <x:c r="B104" s="88" t="str">
        <x:v>Ferrari 512S</x:v>
      </x:c>
      <x:c r="C104" s="88" t="str">
        <x:v>Coleção principal (~1:64)</x:v>
      </x:c>
      <x:c r="D104" s="88" t="n">
        <x:v>1972</x:v>
      </x:c>
      <x:c r="E104" s="88" t="n">
        <x:v>1973</x:v>
      </x:c>
      <x:c r="F104" s="88" t="n">
        <x:v>17</x:v>
      </x:c>
      <x:c r="G104" s="88" t="n">
        <x:v>17</x:v>
      </x:c>
      <x:c r="H104" s="88" t="n">
        <x:v>0</x:v>
      </x:c>
      <x:c r="I104" s="88" t="str">
        <x:v>2 — Completar aos poucos</x:v>
      </x:c>
      <x:c r="J104" s="89" t="str">
        <x:v>https://hotwheels.fandom.com/wiki/Ferrari_512S</x:v>
      </x:c>
    </x:row>
    <x:row r="105">
      <x:c r="A105" s="88" t="str">
        <x:v>Ferrari</x:v>
      </x:c>
      <x:c r="B105" s="88" t="str">
        <x:v>Ferrari 512S Pininfarina</x:v>
      </x:c>
      <x:c r="C105" s="88" t="str">
        <x:v>Linha vintage / escala variável</x:v>
      </x:c>
      <x:c r="D105" s="88" t="n">
        <x:v>1970</x:v>
      </x:c>
      <x:c r="E105" s="88" t="n">
        <x:v>1972</x:v>
      </x:c>
      <x:c r="F105" s="88" t="n">
        <x:v>5</x:v>
      </x:c>
      <x:c r="G105" s="88" t="n">
        <x:v>0</x:v>
      </x:c>
      <x:c r="H105" s="88" t="n">
        <x:v>5</x:v>
      </x:c>
      <x:c r="I105" s="88" t="str">
        <x:v>2 — Completar aos poucos</x:v>
      </x:c>
      <x:c r="J105" s="89" t="str">
        <x:v>https://hotwheels.fandom.com/wiki/Ferrari_512S_Pininfarina</x:v>
      </x:c>
    </x:row>
    <x:row r="106">
      <x:c r="A106" s="88" t="str">
        <x:v>Ferrari</x:v>
      </x:c>
      <x:c r="B106" s="88" t="str">
        <x:v>Ferrari 550 Maranello</x:v>
      </x:c>
      <x:c r="C106" s="88" t="str">
        <x:v>Coleção principal (~1:64)</x:v>
      </x:c>
      <x:c r="D106" s="88" t="n">
        <x:v>2000</x:v>
      </x:c>
      <x:c r="E106" s="88" t="n">
        <x:v>2013</x:v>
      </x:c>
      <x:c r="F106" s="88" t="n">
        <x:v>14</x:v>
      </x:c>
      <x:c r="G106" s="88" t="n">
        <x:v>14</x:v>
      </x:c>
      <x:c r="H106" s="88" t="n">
        <x:v>0</x:v>
      </x:c>
      <x:c r="I106" s="88" t="str">
        <x:v>2 — Completar aos poucos</x:v>
      </x:c>
      <x:c r="J106" s="89" t="str">
        <x:v>https://hotwheels.fandom.com/wiki/Ferrari_550_Maranello</x:v>
      </x:c>
    </x:row>
    <x:row r="107">
      <x:c r="A107" s="88" t="str">
        <x:v>Ferrari</x:v>
      </x:c>
      <x:c r="B107" s="88" t="str">
        <x:v>Ferrari 575 GTC</x:v>
      </x:c>
      <x:c r="C107" s="88" t="str">
        <x:v>Coleção principal (~1:64)</x:v>
      </x:c>
      <x:c r="D107" s="88" t="n">
        <x:v>2005</x:v>
      </x:c>
      <x:c r="E107" s="88" t="n">
        <x:v>2011</x:v>
      </x:c>
      <x:c r="F107" s="88" t="n">
        <x:v>11</x:v>
      </x:c>
      <x:c r="G107" s="88" t="n">
        <x:v>11</x:v>
      </x:c>
      <x:c r="H107" s="88" t="n">
        <x:v>0</x:v>
      </x:c>
      <x:c r="I107" s="88" t="str">
        <x:v>2 — Completar aos poucos</x:v>
      </x:c>
      <x:c r="J107" s="89" t="str">
        <x:v>https://hotwheels.fandom.com/wiki/Ferrari_575_GTC</x:v>
      </x:c>
    </x:row>
    <x:row r="108">
      <x:c r="A108" s="88" t="str">
        <x:v>Ferrari</x:v>
      </x:c>
      <x:c r="B108" s="88" t="str">
        <x:v>Ferrari 599 GTB Fiorano</x:v>
      </x:c>
      <x:c r="C108" s="88" t="str">
        <x:v>Coleção principal (~1:64)</x:v>
      </x:c>
      <x:c r="D108" s="88" t="n">
        <x:v>2007</x:v>
      </x:c>
      <x:c r="E108" s="88" t="n">
        <x:v>2015</x:v>
      </x:c>
      <x:c r="F108" s="88" t="n">
        <x:v>14</x:v>
      </x:c>
      <x:c r="G108" s="88" t="n">
        <x:v>14</x:v>
      </x:c>
      <x:c r="H108" s="88" t="n">
        <x:v>0</x:v>
      </x:c>
      <x:c r="I108" s="88" t="str">
        <x:v>2 — Completar aos poucos</x:v>
      </x:c>
      <x:c r="J108" s="89" t="str">
        <x:v>https://hotwheels.fandom.com/wiki/Ferrari_599_GTB_Fiorano</x:v>
      </x:c>
    </x:row>
    <x:row r="109">
      <x:c r="A109" s="88" t="str">
        <x:v>Ferrari</x:v>
      </x:c>
      <x:c r="B109" s="88" t="str">
        <x:v>Ferrari 599XX</x:v>
      </x:c>
      <x:c r="C109" s="88" t="str">
        <x:v>Coleção principal (~1:64)</x:v>
      </x:c>
      <x:c r="D109" s="88" t="n">
        <x:v>2010</x:v>
      </x:c>
      <x:c r="E109" s="88" t="n">
        <x:v>2015</x:v>
      </x:c>
      <x:c r="F109" s="88" t="n">
        <x:v>9</x:v>
      </x:c>
      <x:c r="G109" s="88" t="n">
        <x:v>9</x:v>
      </x:c>
      <x:c r="H109" s="88" t="n">
        <x:v>0</x:v>
      </x:c>
      <x:c r="I109" s="88" t="str">
        <x:v>2 — Completar aos poucos</x:v>
      </x:c>
      <x:c r="J109" s="89" t="str">
        <x:v>https://hotwheels.fandom.com/wiki/Ferrari_599XX</x:v>
      </x:c>
    </x:row>
    <x:row r="110">
      <x:c r="A110" s="88" t="str">
        <x:v>Ferrari</x:v>
      </x:c>
      <x:c r="B110" s="88" t="str">
        <x:v>Ferrari 612 Scaglietti</x:v>
      </x:c>
      <x:c r="C110" s="88" t="str">
        <x:v>Coleção principal (~1:64)</x:v>
      </x:c>
      <x:c r="D110" s="88" t="n">
        <x:v>2009</x:v>
      </x:c>
      <x:c r="E110" s="88" t="n">
        <x:v>2014</x:v>
      </x:c>
      <x:c r="F110" s="88" t="n">
        <x:v>6</x:v>
      </x:c>
      <x:c r="G110" s="88" t="n">
        <x:v>6</x:v>
      </x:c>
      <x:c r="H110" s="88" t="n">
        <x:v>0</x:v>
      </x:c>
      <x:c r="I110" s="88" t="str">
        <x:v>2 — Completar aos poucos</x:v>
      </x:c>
      <x:c r="J110" s="89" t="str">
        <x:v>https://hotwheels.fandom.com/wiki/Ferrari_612_Scaglietti</x:v>
      </x:c>
    </x:row>
    <x:row r="111">
      <x:c r="A111" s="88" t="str">
        <x:v>Ferrari</x:v>
      </x:c>
      <x:c r="B111" s="88" t="str">
        <x:v>Ferrari California</x:v>
      </x:c>
      <x:c r="C111" s="88" t="str">
        <x:v>Coleção principal (~1:64)</x:v>
      </x:c>
      <x:c r="D111" s="88" t="n">
        <x:v>2009</x:v>
      </x:c>
      <x:c r="E111" s="88" t="n">
        <x:v>2012</x:v>
      </x:c>
      <x:c r="F111" s="88" t="n">
        <x:v>10</x:v>
      </x:c>
      <x:c r="G111" s="88" t="n">
        <x:v>10</x:v>
      </x:c>
      <x:c r="H111" s="88" t="n">
        <x:v>0</x:v>
      </x:c>
      <x:c r="I111" s="88" t="str">
        <x:v>2 — Completar aos poucos</x:v>
      </x:c>
      <x:c r="J111" s="89" t="str">
        <x:v>https://hotwheels.fandom.com/wiki/Ferrari_California</x:v>
      </x:c>
    </x:row>
    <x:row r="112">
      <x:c r="A112" s="88" t="str">
        <x:v>Ferrari</x:v>
      </x:c>
      <x:c r="B112" s="88" t="str">
        <x:v>Ferrari Can-Am</x:v>
      </x:c>
      <x:c r="C112" s="88" t="str">
        <x:v>Sizzlers/Scorchers</x:v>
      </x:c>
      <x:c r="D112" s="88" t="n">
        <x:v>1971</x:v>
      </x:c>
      <x:c r="E112" s="88" t="n">
        <x:v>1971</x:v>
      </x:c>
      <x:c r="F112" s="88" t="n">
        <x:v>2</x:v>
      </x:c>
      <x:c r="G112" s="88" t="n">
        <x:v>0</x:v>
      </x:c>
      <x:c r="H112" s="88" t="n">
        <x:v>2</x:v>
      </x:c>
      <x:c r="I112" s="88" t="str">
        <x:v>2 — Completar aos poucos</x:v>
      </x:c>
      <x:c r="J112" s="89" t="str">
        <x:v>https://hotwheels.fandom.com/wiki/Ferrari_Can-Am</x:v>
      </x:c>
    </x:row>
    <x:row r="113">
      <x:c r="A113" s="88" t="str">
        <x:v>Ferrari</x:v>
      </x:c>
      <x:c r="B113" s="88" t="str">
        <x:v>Ferrari Can-Am (Gran Toros)</x:v>
      </x:c>
      <x:c r="C113" s="88" t="str">
        <x:v>Linha vintage / escala variável</x:v>
      </x:c>
      <x:c r="D113" s="88" t="n">
        <x:v>1970</x:v>
      </x:c>
      <x:c r="E113" s="88" t="n">
        <x:v>1970</x:v>
      </x:c>
      <x:c r="F113" s="88" t="n">
        <x:v>3</x:v>
      </x:c>
      <x:c r="G113" s="88" t="n">
        <x:v>0</x:v>
      </x:c>
      <x:c r="H113" s="88" t="n">
        <x:v>3</x:v>
      </x:c>
      <x:c r="I113" s="88" t="str">
        <x:v>2 — Completar aos poucos</x:v>
      </x:c>
      <x:c r="J113" s="89" t="str">
        <x:v>https://hotwheels.fandom.com/wiki/Ferrari_Can-Am_(Gran_Toros)</x:v>
      </x:c>
    </x:row>
    <x:row r="114">
      <x:c r="A114" s="88" t="str">
        <x:v>Ferrari</x:v>
      </x:c>
      <x:c r="B114" s="88" t="str">
        <x:v>Ferrari Dino 246 GTS</x:v>
      </x:c>
      <x:c r="C114" s="88" t="str">
        <x:v>Coleção principal (~1:64)</x:v>
      </x:c>
      <x:c r="D114" s="88" t="n">
        <x:v>2004</x:v>
      </x:c>
      <x:c r="E114" s="88" t="n">
        <x:v>2014</x:v>
      </x:c>
      <x:c r="F114" s="88" t="n">
        <x:v>6</x:v>
      </x:c>
      <x:c r="G114" s="88" t="n">
        <x:v>6</x:v>
      </x:c>
      <x:c r="H114" s="88" t="n">
        <x:v>0</x:v>
      </x:c>
      <x:c r="I114" s="88" t="str">
        <x:v>2 — Completar aos poucos</x:v>
      </x:c>
      <x:c r="J114" s="89" t="str">
        <x:v>https://hotwheels.fandom.com/wiki/Ferrari_Dino_246_GTS</x:v>
      </x:c>
    </x:row>
    <x:row r="115">
      <x:c r="A115" s="88" t="str">
        <x:v>Ferrari</x:v>
      </x:c>
      <x:c r="B115" s="88" t="str">
        <x:v>Ferrari F1-2000 (RC)</x:v>
      </x:c>
      <x:c r="C115" s="88" t="str">
        <x:v>RC</x:v>
      </x:c>
      <x:c r="D115" s="88" t="n">
        <x:v>2026</x:v>
      </x:c>
      <x:c r="E115" s="88" t="n">
        <x:v>2026</x:v>
      </x:c>
      <x:c r="F115" s="88" t="n">
        <x:v>1</x:v>
      </x:c>
      <x:c r="G115" s="88" t="n">
        <x:v>0</x:v>
      </x:c>
      <x:c r="H115" s="88" t="n">
        <x:v>1</x:v>
      </x:c>
      <x:c r="I115" s="88" t="str">
        <x:v>Fora da meta principal</x:v>
      </x:c>
      <x:c r="J115" s="89" t="str">
        <x:v>https://hotwheels.fandom.com/wiki/Ferrari_F1-2000_(RC)</x:v>
      </x:c>
    </x:row>
    <x:row r="116">
      <x:c r="A116" s="88" t="str">
        <x:v>Ferrari</x:v>
      </x:c>
      <x:c r="B116" s="88" t="str">
        <x:v>Ferrari F1-89 (RC)</x:v>
      </x:c>
      <x:c r="C116" s="88" t="str">
        <x:v>RC</x:v>
      </x:c>
      <x:c r="D116" s="88" t="n">
        <x:v>2026</x:v>
      </x:c>
      <x:c r="E116" s="88" t="n">
        <x:v>2026</x:v>
      </x:c>
      <x:c r="F116" s="88" t="n">
        <x:v>1</x:v>
      </x:c>
      <x:c r="G116" s="88" t="n">
        <x:v>0</x:v>
      </x:c>
      <x:c r="H116" s="88" t="n">
        <x:v>1</x:v>
      </x:c>
      <x:c r="I116" s="88" t="str">
        <x:v>Fora da meta principal</x:v>
      </x:c>
      <x:c r="J116" s="89" t="str">
        <x:v>https://hotwheels.fandom.com/wiki/Ferrari_F1-89_(RC)</x:v>
      </x:c>
    </x:row>
    <x:row r="117">
      <x:c r="A117" s="88" t="str">
        <x:v>Ferrari</x:v>
      </x:c>
      <x:c r="B117" s="88" t="str">
        <x:v>Ferrari F1/87/88C</x:v>
      </x:c>
      <x:c r="C117" s="88" t="str">
        <x:v>Escala 1:87</x:v>
      </x:c>
      <x:c r="D117" s="88" t="n">
        <x:v>1989</x:v>
      </x:c>
      <x:c r="E117" s="88" t="n">
        <x:v>1989</x:v>
      </x:c>
      <x:c r="F117" s="88" t="n">
        <x:v>1</x:v>
      </x:c>
      <x:c r="G117" s="88" t="n">
        <x:v>0</x:v>
      </x:c>
      <x:c r="H117" s="88" t="n">
        <x:v>1</x:v>
      </x:c>
      <x:c r="I117" s="88" t="str">
        <x:v>Fora da meta principal</x:v>
      </x:c>
      <x:c r="J117" s="89" t="str">
        <x:v>https://hotwheels.fandom.com/wiki/Ferrari</x:v>
      </x:c>
    </x:row>
    <x:row r="118">
      <x:c r="A118" s="88" t="str">
        <x:v>Ferrari</x:v>
      </x:c>
      <x:c r="B118" s="88" t="str">
        <x:v>Ferrari F12berlinetta</x:v>
      </x:c>
      <x:c r="C118" s="88" t="str">
        <x:v>Coleção principal (~1:64)</x:v>
      </x:c>
      <x:c r="D118" s="88" t="n">
        <x:v>2013</x:v>
      </x:c>
      <x:c r="E118" s="88" t="n">
        <x:v>2014</x:v>
      </x:c>
      <x:c r="F118" s="88" t="n">
        <x:v>4</x:v>
      </x:c>
      <x:c r="G118" s="88" t="n">
        <x:v>4</x:v>
      </x:c>
      <x:c r="H118" s="88" t="n">
        <x:v>0</x:v>
      </x:c>
      <x:c r="I118" s="88" t="str">
        <x:v>2 — Completar aos poucos</x:v>
      </x:c>
      <x:c r="J118" s="89" t="str">
        <x:v>https://hotwheels.fandom.com/wiki/Ferrari_F12berlinetta</x:v>
      </x:c>
    </x:row>
    <x:row r="119">
      <x:c r="A119" s="88" t="str">
        <x:v>Ferrari</x:v>
      </x:c>
      <x:c r="B119" s="88" t="str">
        <x:v>Ferrari F2004</x:v>
      </x:c>
      <x:c r="C119" s="88" t="str">
        <x:v>Coleção principal (~1:64)</x:v>
      </x:c>
      <x:c r="D119" s="88" t="n">
        <x:v>2026</x:v>
      </x:c>
      <x:c r="E119" s="88" t="n">
        <x:v>2026</x:v>
      </x:c>
      <x:c r="F119" s="88" t="n">
        <x:v>1</x:v>
      </x:c>
      <x:c r="G119" s="88" t="n">
        <x:v>1</x:v>
      </x:c>
      <x:c r="H119" s="88" t="n">
        <x:v>0</x:v>
      </x:c>
      <x:c r="I119" s="88" t="str">
        <x:v>1 — Comprar agora</x:v>
      </x:c>
      <x:c r="J119" s="89" t="str">
        <x:v>https://hotwheels.fandom.com/wiki/Ferrari_F2004</x:v>
      </x:c>
    </x:row>
    <x:row r="120">
      <x:c r="A120" s="88" t="str">
        <x:v>Ferrari</x:v>
      </x:c>
      <x:c r="B120" s="88" t="str">
        <x:v>Ferrari F355</x:v>
      </x:c>
      <x:c r="C120" s="88" t="str">
        <x:v>Coleção principal (~1:64)</x:v>
      </x:c>
      <x:c r="D120" s="88" t="n">
        <x:v>1995</x:v>
      </x:c>
      <x:c r="E120" s="88" t="n">
        <x:v>2008</x:v>
      </x:c>
      <x:c r="F120" s="88" t="n">
        <x:v>20</x:v>
      </x:c>
      <x:c r="G120" s="88" t="n">
        <x:v>20</x:v>
      </x:c>
      <x:c r="H120" s="88" t="n">
        <x:v>0</x:v>
      </x:c>
      <x:c r="I120" s="88" t="str">
        <x:v>2 — Completar aos poucos</x:v>
      </x:c>
      <x:c r="J120" s="89" t="str">
        <x:v>https://hotwheels.fandom.com/wiki/Ferrari_F355</x:v>
      </x:c>
    </x:row>
    <x:row r="121">
      <x:c r="A121" s="88" t="str">
        <x:v>Ferrari</x:v>
      </x:c>
      <x:c r="B121" s="88" t="str">
        <x:v>Ferrari F355 Challenge</x:v>
      </x:c>
      <x:c r="C121" s="88" t="str">
        <x:v>Coleção principal (~1:64)</x:v>
      </x:c>
      <x:c r="D121" s="88" t="n">
        <x:v>1999</x:v>
      </x:c>
      <x:c r="E121" s="88" t="n">
        <x:v>2010</x:v>
      </x:c>
      <x:c r="F121" s="88" t="n">
        <x:v>15</x:v>
      </x:c>
      <x:c r="G121" s="88" t="n">
        <x:v>15</x:v>
      </x:c>
      <x:c r="H121" s="88" t="n">
        <x:v>0</x:v>
      </x:c>
      <x:c r="I121" s="88" t="str">
        <x:v>2 — Completar aos poucos</x:v>
      </x:c>
      <x:c r="J121" s="89" t="str">
        <x:v>https://hotwheels.fandom.com/wiki/Ferrari_F355_Challenge</x:v>
      </x:c>
    </x:row>
    <x:row r="122">
      <x:c r="A122" s="88" t="str">
        <x:v>Ferrari</x:v>
      </x:c>
      <x:c r="B122" s="88" t="str">
        <x:v>Ferrari F355 Spider</x:v>
      </x:c>
      <x:c r="C122" s="88" t="str">
        <x:v>Coleção principal (~1:64)</x:v>
      </x:c>
      <x:c r="D122" s="88" t="n">
        <x:v>1999</x:v>
      </x:c>
      <x:c r="E122" s="88" t="n">
        <x:v>2009</x:v>
      </x:c>
      <x:c r="F122" s="88" t="n">
        <x:v>6</x:v>
      </x:c>
      <x:c r="G122" s="88" t="n">
        <x:v>6</x:v>
      </x:c>
      <x:c r="H122" s="88" t="n">
        <x:v>0</x:v>
      </x:c>
      <x:c r="I122" s="88" t="str">
        <x:v>2 — Completar aos poucos</x:v>
      </x:c>
      <x:c r="J122" s="89" t="str">
        <x:v>https://hotwheels.fandom.com/wiki/Ferrari_F355_Spider</x:v>
      </x:c>
    </x:row>
    <x:row r="123">
      <x:c r="A123" s="88" t="str">
        <x:v>Ferrari</x:v>
      </x:c>
      <x:c r="B123" s="88" t="str">
        <x:v>Ferrari F40</x:v>
      </x:c>
      <x:c r="C123" s="88" t="str">
        <x:v>Coleção principal (~1:64)</x:v>
      </x:c>
      <x:c r="D123" s="88" t="n">
        <x:v>1989</x:v>
      </x:c>
      <x:c r="E123" s="88" t="n">
        <x:v>2014</x:v>
      </x:c>
      <x:c r="F123" s="88" t="n">
        <x:v>39</x:v>
      </x:c>
      <x:c r="G123" s="88" t="n">
        <x:v>39</x:v>
      </x:c>
      <x:c r="H123" s="88" t="n">
        <x:v>0</x:v>
      </x:c>
      <x:c r="I123" s="88" t="str">
        <x:v>2 — Completar aos poucos</x:v>
      </x:c>
      <x:c r="J123" s="89" t="str">
        <x:v>https://hotwheels.fandom.com/wiki/Ferrari_F40</x:v>
      </x:c>
    </x:row>
    <x:row r="124">
      <x:c r="A124" s="88" t="str">
        <x:v>Ferrari</x:v>
      </x:c>
      <x:c r="B124" s="88" t="str">
        <x:v>Ferrari F40 (Action Racers)</x:v>
      </x:c>
      <x:c r="C124" s="88" t="str">
        <x:v>Action Racers</x:v>
      </x:c>
      <x:c r="D124" s="88" t="n">
        <x:v>1989</x:v>
      </x:c>
      <x:c r="E124" s="88" t="n">
        <x:v>1996</x:v>
      </x:c>
      <x:c r="F124" s="88" t="n">
        <x:v>10</x:v>
      </x:c>
      <x:c r="G124" s="88" t="n">
        <x:v>0</x:v>
      </x:c>
      <x:c r="H124" s="88" t="n">
        <x:v>10</x:v>
      </x:c>
      <x:c r="I124" s="88" t="str">
        <x:v>Fora da meta principal</x:v>
      </x:c>
      <x:c r="J124" s="89" t="str">
        <x:v>https://hotwheels.fandom.com/wiki/Ferrari_F40_(Action_Racers)</x:v>
      </x:c>
    </x:row>
    <x:row r="125">
      <x:c r="A125" s="88" t="str">
        <x:v>Ferrari</x:v>
      </x:c>
      <x:c r="B125" s="88" t="str">
        <x:v>Ferrari F40 (RLC)</x:v>
      </x:c>
      <x:c r="C125" s="88" t="str">
        <x:v>Coleção principal (~1:64)</x:v>
      </x:c>
      <x:c r="D125" s="88" t="n">
        <x:v>2026</x:v>
      </x:c>
      <x:c r="E125" s="88" t="n">
        <x:v>2026</x:v>
      </x:c>
      <x:c r="F125" s="88" t="n">
        <x:v>1</x:v>
      </x:c>
      <x:c r="G125" s="88" t="n">
        <x:v>1</x:v>
      </x:c>
      <x:c r="H125" s="88" t="n">
        <x:v>0</x:v>
      </x:c>
      <x:c r="I125" s="88" t="str">
        <x:v>3 — Caça de longo prazo</x:v>
      </x:c>
      <x:c r="J125" s="89" t="str">
        <x:v>https://hotwheels.fandom.com/wiki/Ferrari_F40_(RLC)</x:v>
      </x:c>
    </x:row>
    <x:row r="126">
      <x:c r="A126" s="88" t="str">
        <x:v>Ferrari</x:v>
      </x:c>
      <x:c r="B126" s="88" t="str">
        <x:v>Ferrari F40 Competizione</x:v>
      </x:c>
      <x:c r="C126" s="88" t="str">
        <x:v>Coleção principal (~1:64)</x:v>
      </x:c>
      <x:c r="D126" s="88" t="n">
        <x:v>2025</x:v>
      </x:c>
      <x:c r="E126" s="88" t="n">
        <x:v>2026</x:v>
      </x:c>
      <x:c r="F126" s="88" t="n">
        <x:v>5</x:v>
      </x:c>
      <x:c r="G126" s="88" t="n">
        <x:v>5</x:v>
      </x:c>
      <x:c r="H126" s="88" t="n">
        <x:v>0</x:v>
      </x:c>
      <x:c r="I126" s="88" t="str">
        <x:v>1 — Comprar agora</x:v>
      </x:c>
      <x:c r="J126" s="89" t="str">
        <x:v>https://hotwheels.fandom.com/wiki/Ferrari_F40_Competizione</x:v>
      </x:c>
    </x:row>
    <x:row r="127">
      <x:c r="A127" s="88" t="str">
        <x:v>Ferrari</x:v>
      </x:c>
      <x:c r="B127" s="88" t="str">
        <x:v>Ferrari F430 (1:50)</x:v>
      </x:c>
      <x:c r="C127" s="88" t="str">
        <x:v>Escala 1:50</x:v>
      </x:c>
      <x:c r="D127" s="88" t="n">
        <x:v>2006</x:v>
      </x:c>
      <x:c r="E127" s="88" t="n">
        <x:v>2009</x:v>
      </x:c>
      <x:c r="F127" s="88" t="n">
        <x:v>4</x:v>
      </x:c>
      <x:c r="G127" s="88" t="n">
        <x:v>0</x:v>
      </x:c>
      <x:c r="H127" s="88" t="n">
        <x:v>4</x:v>
      </x:c>
      <x:c r="I127" s="88" t="str">
        <x:v>Fora da meta principal</x:v>
      </x:c>
      <x:c r="J127" s="89" t="str">
        <x:v>https://hotwheels.fandom.com/wiki/Ferrari_F430_(1:50)</x:v>
      </x:c>
    </x:row>
    <x:row r="128">
      <x:c r="A128" s="88" t="str">
        <x:v>Ferrari</x:v>
      </x:c>
      <x:c r="B128" s="88" t="str">
        <x:v>Ferrari F430 Challenge</x:v>
      </x:c>
      <x:c r="C128" s="88" t="str">
        <x:v>Coleção principal (~1:64)</x:v>
      </x:c>
      <x:c r="D128" s="88" t="n">
        <x:v>2008</x:v>
      </x:c>
      <x:c r="E128" s="88" t="n">
        <x:v>2013</x:v>
      </x:c>
      <x:c r="F128" s="88" t="n">
        <x:v>10</x:v>
      </x:c>
      <x:c r="G128" s="88" t="n">
        <x:v>10</x:v>
      </x:c>
      <x:c r="H128" s="88" t="n">
        <x:v>0</x:v>
      </x:c>
      <x:c r="I128" s="88" t="str">
        <x:v>2 — Completar aos poucos</x:v>
      </x:c>
      <x:c r="J128" s="89" t="str">
        <x:v>https://hotwheels.fandom.com/wiki/Ferrari_F430_Challenge</x:v>
      </x:c>
    </x:row>
    <x:row r="129">
      <x:c r="A129" s="88" t="str">
        <x:v>Ferrari</x:v>
      </x:c>
      <x:c r="B129" s="88" t="str">
        <x:v>Ferrari F430 Challenge (1:87)</x:v>
      </x:c>
      <x:c r="C129" s="88" t="str">
        <x:v>Escala 1:87</x:v>
      </x:c>
      <x:c r="D129" s="88" t="n">
        <x:v>2009</x:v>
      </x:c>
      <x:c r="E129" s="88" t="n">
        <x:v>2009</x:v>
      </x:c>
      <x:c r="F129" s="88" t="n">
        <x:v>3</x:v>
      </x:c>
      <x:c r="G129" s="88" t="n">
        <x:v>0</x:v>
      </x:c>
      <x:c r="H129" s="88" t="n">
        <x:v>3</x:v>
      </x:c>
      <x:c r="I129" s="88" t="str">
        <x:v>Fora da meta principal</x:v>
      </x:c>
      <x:c r="J129" s="89" t="str">
        <x:v>https://hotwheels.fandom.com/wiki/Ferrari_F430_Challenge_(1:87)</x:v>
      </x:c>
    </x:row>
    <x:row r="130">
      <x:c r="A130" s="88" t="str">
        <x:v>Ferrari</x:v>
      </x:c>
      <x:c r="B130" s="88" t="str">
        <x:v>Ferrari F430 Spider</x:v>
      </x:c>
      <x:c r="C130" s="88" t="str">
        <x:v>Coleção principal (~1:64)</x:v>
      </x:c>
      <x:c r="D130" s="88" t="n">
        <x:v>2006</x:v>
      </x:c>
      <x:c r="E130" s="88" t="n">
        <x:v>2011</x:v>
      </x:c>
      <x:c r="F130" s="88" t="n">
        <x:v>15</x:v>
      </x:c>
      <x:c r="G130" s="88" t="n">
        <x:v>15</x:v>
      </x:c>
      <x:c r="H130" s="88" t="n">
        <x:v>0</x:v>
      </x:c>
      <x:c r="I130" s="88" t="str">
        <x:v>2 — Completar aos poucos</x:v>
      </x:c>
      <x:c r="J130" s="89" t="str">
        <x:v>https://hotwheels.fandom.com/wiki/Ferrari_F430_Spider</x:v>
      </x:c>
    </x:row>
    <x:row r="131">
      <x:c r="A131" s="88" t="str">
        <x:v>Ferrari</x:v>
      </x:c>
      <x:c r="B131" s="88" t="str">
        <x:v>Ferrari F50</x:v>
      </x:c>
      <x:c r="C131" s="88" t="str">
        <x:v>Coleção principal (~1:64)</x:v>
      </x:c>
      <x:c r="D131" s="88" t="n">
        <x:v>2025</x:v>
      </x:c>
      <x:c r="E131" s="88" t="n">
        <x:v>2025</x:v>
      </x:c>
      <x:c r="F131" s="88" t="n">
        <x:v>1</x:v>
      </x:c>
      <x:c r="G131" s="88" t="n">
        <x:v>1</x:v>
      </x:c>
      <x:c r="H131" s="88" t="n">
        <x:v>0</x:v>
      </x:c>
      <x:c r="I131" s="88" t="str">
        <x:v>1 — Comprar agora</x:v>
      </x:c>
      <x:c r="J131" s="89" t="str">
        <x:v>https://hotwheels.fandom.com/wiki/Ferrari_F50</x:v>
      </x:c>
    </x:row>
    <x:row r="132">
      <x:c r="A132" s="88" t="str">
        <x:v>Ferrari</x:v>
      </x:c>
      <x:c r="B132" s="88" t="str">
        <x:v>Ferrari F50 (Motorized X-V Racers)</x:v>
      </x:c>
      <x:c r="C132" s="88" t="str">
        <x:v>Coleção principal (~1:64)</x:v>
      </x:c>
      <x:c r="D132" s="88" t="n">
        <x:v>1999</x:v>
      </x:c>
      <x:c r="E132" s="88" t="n">
        <x:v>2000</x:v>
      </x:c>
      <x:c r="F132" s="88" t="n">
        <x:v>3</x:v>
      </x:c>
      <x:c r="G132" s="88" t="n">
        <x:v>3</x:v>
      </x:c>
      <x:c r="H132" s="88" t="n">
        <x:v>0</x:v>
      </x:c>
      <x:c r="I132" s="88" t="str">
        <x:v>2 — Completar aos poucos</x:v>
      </x:c>
      <x:c r="J132" s="89" t="str">
        <x:v>https://hotwheels.fandom.com/wiki/Ferrari_F50_(Motorized_X-V_Racers)</x:v>
      </x:c>
    </x:row>
    <x:row r="133">
      <x:c r="A133" s="88" t="str">
        <x:v>Ferrari</x:v>
      </x:c>
      <x:c r="B133" s="88" t="str">
        <x:v>Ferrari F50 (Planet Micro)</x:v>
      </x:c>
      <x:c r="C133" s="88" t="str">
        <x:v>Micro</x:v>
      </x:c>
      <x:c r="D133" s="88" t="n">
        <x:v>1997</x:v>
      </x:c>
      <x:c r="E133" s="88" t="n">
        <x:v>2004</x:v>
      </x:c>
      <x:c r="F133" s="88" t="n">
        <x:v>11</x:v>
      </x:c>
      <x:c r="G133" s="88" t="n">
        <x:v>0</x:v>
      </x:c>
      <x:c r="H133" s="88" t="n">
        <x:v>11</x:v>
      </x:c>
      <x:c r="I133" s="88" t="str">
        <x:v>Fora da meta principal</x:v>
      </x:c>
      <x:c r="J133" s="89" t="str">
        <x:v>https://hotwheels.fandom.com/wiki/Ferrari_F50_(Planet_Micro)</x:v>
      </x:c>
    </x:row>
    <x:row r="134">
      <x:c r="A134" s="88" t="str">
        <x:v>Ferrari</x:v>
      </x:c>
      <x:c r="B134" s="88" t="str">
        <x:v>Ferrari F50 (Red Rooster)</x:v>
      </x:c>
      <x:c r="C134" s="88" t="str">
        <x:v>Coleção principal (~1:64)</x:v>
      </x:c>
      <x:c r="D134" s="88" t="n">
        <x:v>2000</x:v>
      </x:c>
      <x:c r="E134" s="88" t="n">
        <x:v>2000</x:v>
      </x:c>
      <x:c r="F134" s="88" t="n">
        <x:v>4</x:v>
      </x:c>
      <x:c r="G134" s="88" t="n">
        <x:v>4</x:v>
      </x:c>
      <x:c r="H134" s="88" t="n">
        <x:v>0</x:v>
      </x:c>
      <x:c r="I134" s="88" t="str">
        <x:v>2 — Completar aos poucos</x:v>
      </x:c>
      <x:c r="J134" s="89" t="str">
        <x:v>https://hotwheels.fandom.com/wiki/Ferrari_F50_(Red_Rooster)</x:v>
      </x:c>
    </x:row>
    <x:row r="135">
      <x:c r="A135" s="88" t="str">
        <x:v>Ferrari</x:v>
      </x:c>
      <x:c r="B135" s="88" t="str">
        <x:v>Ferrari F50 Challenge</x:v>
      </x:c>
      <x:c r="C135" s="88" t="str">
        <x:v>Coleção principal (~1:64)</x:v>
      </x:c>
      <x:c r="D135" s="88" t="n">
        <x:v>1999</x:v>
      </x:c>
      <x:c r="E135" s="88" t="n">
        <x:v>2013</x:v>
      </x:c>
      <x:c r="F135" s="88" t="n">
        <x:v>14</x:v>
      </x:c>
      <x:c r="G135" s="88" t="n">
        <x:v>14</x:v>
      </x:c>
      <x:c r="H135" s="88" t="n">
        <x:v>0</x:v>
      </x:c>
      <x:c r="I135" s="88" t="str">
        <x:v>2 — Completar aos poucos</x:v>
      </x:c>
      <x:c r="J135" s="89" t="str">
        <x:v>https://hotwheels.fandom.com/wiki/Ferrari_F50_Challenge</x:v>
      </x:c>
    </x:row>
    <x:row r="136">
      <x:c r="A136" s="88" t="str">
        <x:v>Ferrari</x:v>
      </x:c>
      <x:c r="B136" s="88" t="str">
        <x:v>Ferrari F50 Spider</x:v>
      </x:c>
      <x:c r="C136" s="88" t="str">
        <x:v>Coleção principal (~1:64)</x:v>
      </x:c>
      <x:c r="D136" s="88" t="n">
        <x:v>1996</x:v>
      </x:c>
      <x:c r="E136" s="88" t="n">
        <x:v>1999</x:v>
      </x:c>
      <x:c r="F136" s="88" t="n">
        <x:v>14</x:v>
      </x:c>
      <x:c r="G136" s="88" t="n">
        <x:v>14</x:v>
      </x:c>
      <x:c r="H136" s="88" t="n">
        <x:v>0</x:v>
      </x:c>
      <x:c r="I136" s="88" t="str">
        <x:v>2 — Completar aos poucos</x:v>
      </x:c>
      <x:c r="J136" s="89" t="str">
        <x:v>https://hotwheels.fandom.com/wiki/Ferrari_F50_Spider</x:v>
      </x:c>
    </x:row>
    <x:row r="137">
      <x:c r="A137" s="88" t="str">
        <x:v>Ferrari</x:v>
      </x:c>
      <x:c r="B137" s="88" t="str">
        <x:v>Ferrari F512M</x:v>
      </x:c>
      <x:c r="C137" s="88" t="str">
        <x:v>Coleção principal (~1:64)</x:v>
      </x:c>
      <x:c r="D137" s="88" t="n">
        <x:v>1998</x:v>
      </x:c>
      <x:c r="E137" s="88" t="n">
        <x:v>2013</x:v>
      </x:c>
      <x:c r="F137" s="88" t="n">
        <x:v>18</x:v>
      </x:c>
      <x:c r="G137" s="88" t="n">
        <x:v>18</x:v>
      </x:c>
      <x:c r="H137" s="88" t="n">
        <x:v>0</x:v>
      </x:c>
      <x:c r="I137" s="88" t="str">
        <x:v>2 — Completar aos poucos</x:v>
      </x:c>
      <x:c r="J137" s="89" t="str">
        <x:v>https://hotwheels.fandom.com/wiki/Ferrari_F512M</x:v>
      </x:c>
    </x:row>
    <x:row r="138">
      <x:c r="A138" s="88" t="str">
        <x:v>Ferrari</x:v>
      </x:c>
      <x:c r="B138" s="88" t="str">
        <x:v>Ferrari FF</x:v>
      </x:c>
      <x:c r="C138" s="88" t="str">
        <x:v>Coleção principal (~1:64)</x:v>
      </x:c>
      <x:c r="D138" s="88" t="n">
        <x:v>2011</x:v>
      </x:c>
      <x:c r="E138" s="88" t="n">
        <x:v>2013</x:v>
      </x:c>
      <x:c r="F138" s="88" t="n">
        <x:v>3</x:v>
      </x:c>
      <x:c r="G138" s="88" t="n">
        <x:v>3</x:v>
      </x:c>
      <x:c r="H138" s="88" t="n">
        <x:v>0</x:v>
      </x:c>
      <x:c r="I138" s="88" t="str">
        <x:v>2 — Completar aos poucos</x:v>
      </x:c>
      <x:c r="J138" s="89" t="str">
        <x:v>https://hotwheels.fandom.com/wiki/Ferrari_FF</x:v>
      </x:c>
    </x:row>
    <x:row r="139">
      <x:c r="A139" s="88" t="str">
        <x:v>Ferrari</x:v>
      </x:c>
      <x:c r="B139" s="88" t="str">
        <x:v>Ferrari FXX</x:v>
      </x:c>
      <x:c r="C139" s="88" t="str">
        <x:v>Coleção principal (~1:64)</x:v>
      </x:c>
      <x:c r="D139" s="88" t="n">
        <x:v>2008</x:v>
      </x:c>
      <x:c r="E139" s="88" t="n">
        <x:v>2013</x:v>
      </x:c>
      <x:c r="F139" s="88" t="n">
        <x:v>9</x:v>
      </x:c>
      <x:c r="G139" s="88" t="n">
        <x:v>9</x:v>
      </x:c>
      <x:c r="H139" s="88" t="n">
        <x:v>0</x:v>
      </x:c>
      <x:c r="I139" s="88" t="str">
        <x:v>2 — Completar aos poucos</x:v>
      </x:c>
      <x:c r="J139" s="89" t="str">
        <x:v>https://hotwheels.fandom.com/wiki/Ferrari_FXX</x:v>
      </x:c>
    </x:row>
    <x:row r="140">
      <x:c r="A140" s="88" t="str">
        <x:v>Ferrari</x:v>
      </x:c>
      <x:c r="B140" s="88" t="str">
        <x:v>Ferrari LaFerrari</x:v>
      </x:c>
      <x:c r="C140" s="88" t="str">
        <x:v>Coleção principal (~1:64)</x:v>
      </x:c>
      <x:c r="D140" s="88" t="n">
        <x:v>2026</x:v>
      </x:c>
      <x:c r="E140" s="88" t="n">
        <x:v>2026</x:v>
      </x:c>
      <x:c r="F140" s="88" t="n">
        <x:v>1</x:v>
      </x:c>
      <x:c r="G140" s="88" t="n">
        <x:v>1</x:v>
      </x:c>
      <x:c r="H140" s="88" t="n">
        <x:v>0</x:v>
      </x:c>
      <x:c r="I140" s="88" t="str">
        <x:v>1 — Comprar agora</x:v>
      </x:c>
      <x:c r="J140" s="89" t="str">
        <x:v>https://orangetrackdiecast.com/2026-hot-wheels-master-list-of-all-lines/</x:v>
      </x:c>
    </x:row>
    <x:row r="141">
      <x:c r="A141" s="88" t="str">
        <x:v>Ferrari</x:v>
      </x:c>
      <x:c r="B141" s="88" t="str">
        <x:v>Ferrari P4 (Gran Toros)</x:v>
      </x:c>
      <x:c r="C141" s="88" t="str">
        <x:v>Linha vintage / escala variável</x:v>
      </x:c>
      <x:c r="D141" s="88" t="n">
        <x:v>1970</x:v>
      </x:c>
      <x:c r="E141" s="88" t="n">
        <x:v>1970</x:v>
      </x:c>
      <x:c r="F141" s="88" t="n">
        <x:v>1</x:v>
      </x:c>
      <x:c r="G141" s="88" t="n">
        <x:v>0</x:v>
      </x:c>
      <x:c r="H141" s="88" t="n">
        <x:v>1</x:v>
      </x:c>
      <x:c r="I141" s="88" t="str">
        <x:v>2 — Completar aos poucos</x:v>
      </x:c>
      <x:c r="J141" s="89" t="str">
        <x:v>https://hotwheels.fandom.com/wiki/Ferrari_P4_(Gran_Toros)</x:v>
      </x:c>
    </x:row>
    <x:row r="142">
      <x:c r="A142" s="88" t="str">
        <x:v>Ferrari</x:v>
      </x:c>
      <x:c r="B142" s="88" t="str">
        <x:v>Ferrari P4 (Sizzlers)</x:v>
      </x:c>
      <x:c r="C142" s="88" t="str">
        <x:v>Sizzlers/Scorchers</x:v>
      </x:c>
      <x:c r="D142" s="88" t="n">
        <x:v>1970</x:v>
      </x:c>
      <x:c r="E142" s="88" t="n">
        <x:v>1970</x:v>
      </x:c>
      <x:c r="F142" s="88" t="n">
        <x:v>1</x:v>
      </x:c>
      <x:c r="G142" s="88" t="n">
        <x:v>0</x:v>
      </x:c>
      <x:c r="H142" s="88" t="n">
        <x:v>1</x:v>
      </x:c>
      <x:c r="I142" s="88" t="str">
        <x:v>2 — Completar aos poucos</x:v>
      </x:c>
      <x:c r="J142" s="89" t="str">
        <x:v>https://hotwheels.fandom.com/wiki/Ferrari_P4_(Sizzlers)</x:v>
      </x:c>
    </x:row>
    <x:row r="143">
      <x:c r="A143" s="88" t="str">
        <x:v>Ferrari</x:v>
      </x:c>
      <x:c r="B143" s="88" t="str">
        <x:v>Ferrari SF-25</x:v>
      </x:c>
      <x:c r="C143" s="88" t="str">
        <x:v>Coleção principal (~1:64)</x:v>
      </x:c>
      <x:c r="D143" s="88" t="n">
        <x:v>2026</x:v>
      </x:c>
      <x:c r="E143" s="88" t="n">
        <x:v>2026</x:v>
      </x:c>
      <x:c r="F143" s="88" t="n">
        <x:v>2</x:v>
      </x:c>
      <x:c r="G143" s="88" t="n">
        <x:v>2</x:v>
      </x:c>
      <x:c r="H143" s="88" t="n">
        <x:v>0</x:v>
      </x:c>
      <x:c r="I143" s="88" t="str">
        <x:v>1 — Comprar agora</x:v>
      </x:c>
      <x:c r="J143" s="89" t="str">
        <x:v>https://hotwheels.fandom.com/wiki/Ferrari_SF-25</x:v>
      </x:c>
    </x:row>
    <x:row r="144">
      <x:c r="A144" s="88" t="str">
        <x:v>Ferrari</x:v>
      </x:c>
      <x:c r="B144" s="88" t="str">
        <x:v>Ferrari SF90 Stradale</x:v>
      </x:c>
      <x:c r="C144" s="88" t="str">
        <x:v>Coleção principal (~1:64)</x:v>
      </x:c>
      <x:c r="D144" s="88" t="n">
        <x:v>2025</x:v>
      </x:c>
      <x:c r="E144" s="88" t="n">
        <x:v>2026</x:v>
      </x:c>
      <x:c r="F144" s="88" t="n">
        <x:v>7</x:v>
      </x:c>
      <x:c r="G144" s="88" t="n">
        <x:v>7</x:v>
      </x:c>
      <x:c r="H144" s="88" t="n">
        <x:v>0</x:v>
      </x:c>
      <x:c r="I144" s="88" t="str">
        <x:v>1 — Comprar agora</x:v>
      </x:c>
      <x:c r="J144" s="89" t="str">
        <x:v>https://hotwheels.fandom.com/wiki/Ferrari_SF90_Stradale</x:v>
      </x:c>
    </x:row>
    <x:row r="145">
      <x:c r="A145" s="88" t="str">
        <x:v>Ferrari</x:v>
      </x:c>
      <x:c r="B145" s="88" t="str">
        <x:v>Ferrari SF90 Stradale Assetto Fiorano</x:v>
      </x:c>
      <x:c r="C145" s="88" t="str">
        <x:v>RC</x:v>
      </x:c>
      <x:c r="D145" s="88" t="n">
        <x:v>2025</x:v>
      </x:c>
      <x:c r="E145" s="88" t="n">
        <x:v>2025</x:v>
      </x:c>
      <x:c r="F145" s="88" t="n">
        <x:v>1</x:v>
      </x:c>
      <x:c r="G145" s="88" t="n">
        <x:v>0</x:v>
      </x:c>
      <x:c r="H145" s="88" t="n">
        <x:v>1</x:v>
      </x:c>
      <x:c r="I145" s="88" t="str">
        <x:v>Fora da meta principal</x:v>
      </x:c>
      <x:c r="J145" s="89" t="str">
        <x:v>https://hotwheels.fandom.com/wiki/Ferrari_SF90_Stradale_Assetto_Fiorano</x:v>
      </x:c>
    </x:row>
    <x:row r="146">
      <x:c r="A146" s="88" t="str">
        <x:v>Ferrari</x:v>
      </x:c>
      <x:c r="B146" s="88" t="str">
        <x:v>Ferrari Testarossa (1987)</x:v>
      </x:c>
      <x:c r="C146" s="88" t="str">
        <x:v>Coleção principal (~1:64)</x:v>
      </x:c>
      <x:c r="D146" s="88" t="n">
        <x:v>1987</x:v>
      </x:c>
      <x:c r="E146" s="88" t="n">
        <x:v>1998</x:v>
      </x:c>
      <x:c r="F146" s="88" t="n">
        <x:v>64</x:v>
      </x:c>
      <x:c r="G146" s="88" t="n">
        <x:v>64</x:v>
      </x:c>
      <x:c r="H146" s="88" t="n">
        <x:v>0</x:v>
      </x:c>
      <x:c r="I146" s="88" t="str">
        <x:v>2 — Completar aos poucos</x:v>
      </x:c>
      <x:c r="J146" s="89" t="str">
        <x:v>https://hotwheels.fandom.com/wiki/Ferrari_Testarossa_(1987)</x:v>
      </x:c>
    </x:row>
    <x:row r="147">
      <x:c r="A147" s="88" t="str">
        <x:v>Ferrari</x:v>
      </x:c>
      <x:c r="B147" s="88" t="str">
        <x:v>Ferrari Testarossa (2026)</x:v>
      </x:c>
      <x:c r="C147" s="88" t="str">
        <x:v>Coleção principal (~1:64)</x:v>
      </x:c>
      <x:c r="D147" s="88" t="n">
        <x:v>2026</x:v>
      </x:c>
      <x:c r="E147" s="88" t="n">
        <x:v>2026</x:v>
      </x:c>
      <x:c r="F147" s="88" t="n">
        <x:v>1</x:v>
      </x:c>
      <x:c r="G147" s="88" t="n">
        <x:v>1</x:v>
      </x:c>
      <x:c r="H147" s="88" t="n">
        <x:v>0</x:v>
      </x:c>
      <x:c r="I147" s="88" t="str">
        <x:v>1 — Comprar agora</x:v>
      </x:c>
      <x:c r="J147" s="89" t="str">
        <x:v>https://hotwheels.fandom.com/wiki/Ferrari_Testarossa_(2026)</x:v>
      </x:c>
    </x:row>
    <x:row r="148">
      <x:c r="A148" s="88" t="str">
        <x:v>Ferrari</x:v>
      </x:c>
      <x:c r="B148" s="88" t="str">
        <x:v>Ferrari Testarossa (Action Racers)</x:v>
      </x:c>
      <x:c r="C148" s="88" t="str">
        <x:v>Action Racers</x:v>
      </x:c>
      <x:c r="D148" s="88" t="n">
        <x:v>1987</x:v>
      </x:c>
      <x:c r="E148" s="88" t="n">
        <x:v>1987</x:v>
      </x:c>
      <x:c r="F148" s="88" t="n">
        <x:v>8</x:v>
      </x:c>
      <x:c r="G148" s="88" t="n">
        <x:v>0</x:v>
      </x:c>
      <x:c r="H148" s="88" t="n">
        <x:v>8</x:v>
      </x:c>
      <x:c r="I148" s="88" t="str">
        <x:v>Fora da meta principal</x:v>
      </x:c>
      <x:c r="J148" s="89" t="str">
        <x:v>https://hotwheels.fandom.com/wiki/Ferrari_Testarossa_(Action_Racers)</x:v>
      </x:c>
    </x:row>
    <x:row r="149">
      <x:c r="A149" s="88" t="str">
        <x:v>Ferrari</x:v>
      </x:c>
      <x:c r="B149" s="88" t="str">
        <x:v>Ferrari Testarossa (Corgi)</x:v>
      </x:c>
      <x:c r="C149" s="88" t="str">
        <x:v>Coleção principal (~1:64)</x:v>
      </x:c>
      <x:c r="D149" s="88" t="n">
        <x:v>1996</x:v>
      </x:c>
      <x:c r="E149" s="88" t="n">
        <x:v>1997</x:v>
      </x:c>
      <x:c r="F149" s="88" t="n">
        <x:v>5</x:v>
      </x:c>
      <x:c r="G149" s="88" t="n">
        <x:v>5</x:v>
      </x:c>
      <x:c r="H149" s="88" t="n">
        <x:v>0</x:v>
      </x:c>
      <x:c r="I149" s="88" t="str">
        <x:v>2 — Completar aos poucos</x:v>
      </x:c>
      <x:c r="J149" s="89" t="str">
        <x:v>https://hotwheels.fandom.com/wiki/Ferrari_Testarossa_(Corgi)</x:v>
      </x:c>
    </x:row>
    <x:row r="150">
      <x:c r="A150" s="88" t="str">
        <x:v>Ferrari</x:v>
      </x:c>
      <x:c r="B150" s="88" t="str">
        <x:v>Ferrari Testarossa (micro)</x:v>
      </x:c>
      <x:c r="C150" s="88" t="str">
        <x:v>Micro</x:v>
      </x:c>
      <x:c r="D150" s="88" t="n">
        <x:v>1989</x:v>
      </x:c>
      <x:c r="E150" s="88" t="n">
        <x:v>1990</x:v>
      </x:c>
      <x:c r="F150" s="88" t="n">
        <x:v>12</x:v>
      </x:c>
      <x:c r="G150" s="88" t="n">
        <x:v>0</x:v>
      </x:c>
      <x:c r="H150" s="88" t="n">
        <x:v>12</x:v>
      </x:c>
      <x:c r="I150" s="88" t="str">
        <x:v>Fora da meta principal</x:v>
      </x:c>
      <x:c r="J150" s="89" t="str">
        <x:v>https://hotwheels.fandom.com/wiki/Ferrari_Testarossa_(micro)</x:v>
      </x:c>
    </x:row>
    <x:row r="151">
      <x:c r="A151" s="88" t="str">
        <x:v>Ferrari</x:v>
      </x:c>
      <x:c r="B151" s="88" t="str">
        <x:v>LaFerrari (2014)</x:v>
      </x:c>
      <x:c r="C151" s="88" t="str">
        <x:v>Coleção principal (~1:64)</x:v>
      </x:c>
      <x:c r="D151" s="88" t="n">
        <x:v>2014</x:v>
      </x:c>
      <x:c r="E151" s="88" t="n">
        <x:v>2014</x:v>
      </x:c>
      <x:c r="F151" s="88" t="n">
        <x:v>2</x:v>
      </x:c>
      <x:c r="G151" s="88" t="n">
        <x:v>2</x:v>
      </x:c>
      <x:c r="H151" s="88" t="n">
        <x:v>0</x:v>
      </x:c>
      <x:c r="I151" s="88" t="str">
        <x:v>2 — Completar aos poucos</x:v>
      </x:c>
      <x:c r="J151" s="89" t="str">
        <x:v>https://hotwheels.fandom.com/wiki/LaFerrari_(2014)</x:v>
      </x:c>
    </x:row>
    <x:row r="152">
      <x:c r="A152" s="88" t="str">
        <x:v>Ferrari</x:v>
      </x:c>
      <x:c r="B152" s="88" t="str">
        <x:v>LaFerrari (2025)</x:v>
      </x:c>
      <x:c r="C152" s="88" t="str">
        <x:v>Coleção principal (~1:64)</x:v>
      </x:c>
      <x:c r="D152" s="88" t="n">
        <x:v>2025</x:v>
      </x:c>
      <x:c r="E152" s="88" t="n">
        <x:v>2025</x:v>
      </x:c>
      <x:c r="F152" s="88" t="n">
        <x:v>1</x:v>
      </x:c>
      <x:c r="G152" s="88" t="n">
        <x:v>1</x:v>
      </x:c>
      <x:c r="H152" s="88" t="n">
        <x:v>0</x:v>
      </x:c>
      <x:c r="I152" s="88" t="str">
        <x:v>1 — Comprar agora</x:v>
      </x:c>
      <x:c r="J152" s="89" t="str">
        <x:v>https://hotwheels.fandom.com/wiki/LaFerrari_(2025)</x:v>
      </x:c>
    </x:row>
    <x:row r="153">
      <x:c r="A153" s="88" t="str">
        <x:v>Ferrari</x:v>
      </x:c>
      <x:c r="B153" s="88" t="str">
        <x:v>Racebait 308</x:v>
      </x:c>
      <x:c r="C153" s="88" t="str">
        <x:v>Coleção principal (~1:64)</x:v>
      </x:c>
      <x:c r="D153" s="88" t="n">
        <x:v>1978</x:v>
      </x:c>
      <x:c r="E153" s="88" t="n">
        <x:v>2004</x:v>
      </x:c>
      <x:c r="F153" s="88" t="n">
        <x:v>35</x:v>
      </x:c>
      <x:c r="G153" s="88" t="n">
        <x:v>35</x:v>
      </x:c>
      <x:c r="H153" s="88" t="n">
        <x:v>0</x:v>
      </x:c>
      <x:c r="I153" s="88" t="str">
        <x:v>2 — Completar aos poucos</x:v>
      </x:c>
      <x:c r="J153" s="89" t="str">
        <x:v>https://hotwheels.fandom.com/wiki/Racebait_308</x:v>
      </x:c>
    </x:row>
    <x:row r="154">
      <x:c r="A154" s="88" t="str">
        <x:v>Ferrari</x:v>
      </x:c>
      <x:c r="B154" s="88" t="str">
        <x:v>Scuderia Ferrari HP</x:v>
      </x:c>
      <x:c r="C154" s="88" t="str">
        <x:v>Coleção principal (~1:64)</x:v>
      </x:c>
      <x:c r="D154" s="88" t="n">
        <x:v>2026</x:v>
      </x:c>
      <x:c r="E154" s="88" t="n">
        <x:v>2026</x:v>
      </x:c>
      <x:c r="F154" s="88" t="n">
        <x:v>1</x:v>
      </x:c>
      <x:c r="G154" s="88" t="n">
        <x:v>1</x:v>
      </x:c>
      <x:c r="H154" s="88" t="n">
        <x:v>0</x:v>
      </x:c>
      <x:c r="I154" s="88" t="str">
        <x:v>1 — Comprar agora</x:v>
      </x:c>
      <x:c r="J154" s="89" t="str">
        <x:v>https://hotwheels.fandom.com/wiki/Formula_1</x:v>
      </x:c>
    </x:row>
    <x:row r="155">
      <x:c r="A155" s="88" t="str">
        <x:v>Porsche</x:v>
      </x:c>
      <x:c r="B155" s="88" t="str">
        <x:v>’08 Porsche Cayenne w/ Rally Trailer</x:v>
      </x:c>
      <x:c r="C155" s="88" t="str">
        <x:v>Coleção principal (~1:64)</x:v>
      </x:c>
      <x:c r="D155" s="88" t="n">
        <x:v>2026</x:v>
      </x:c>
      <x:c r="E155" s="88" t="n">
        <x:v>2026</x:v>
      </x:c>
      <x:c r="F155" s="88" t="n">
        <x:v>1</x:v>
      </x:c>
      <x:c r="G155" s="88" t="n">
        <x:v>1</x:v>
      </x:c>
      <x:c r="H155" s="88" t="n">
        <x:v>0</x:v>
      </x:c>
      <x:c r="I155" s="88" t="str">
        <x:v>1 — Comprar agora</x:v>
      </x:c>
      <x:c r="J155" s="89" t="str">
        <x:v>https://orangetrackdiecast.com/2026-hot-wheels-master-list-of-all-lines/</x:v>
      </x:c>
    </x:row>
    <x:row r="156">
      <x:c r="A156" s="88" t="str">
        <x:v>Porsche</x:v>
      </x:c>
      <x:c r="B156" s="88" t="str">
        <x:v>'66 Porsche 906 Carrera 6</x:v>
      </x:c>
      <x:c r="C156" s="88" t="str">
        <x:v>Coleção principal (~1:64)</x:v>
      </x:c>
      <x:c r="D156" s="88" t="n">
        <x:v>2024</x:v>
      </x:c>
      <x:c r="E156" s="88" t="n">
        <x:v>2026</x:v>
      </x:c>
      <x:c r="F156" s="88" t="n">
        <x:v>2</x:v>
      </x:c>
      <x:c r="G156" s="88" t="n">
        <x:v>2</x:v>
      </x:c>
      <x:c r="H156" s="88" t="n">
        <x:v>0</x:v>
      </x:c>
      <x:c r="I156" s="88" t="str">
        <x:v>1 — Comprar agora</x:v>
      </x:c>
      <x:c r="J156" s="89" t="str">
        <x:v>https://hotwheels.fandom.com/wiki/%2766_Porsche_906_Carrera_6</x:v>
      </x:c>
    </x:row>
    <x:row r="157">
      <x:c r="A157" s="88" t="str">
        <x:v>Porsche</x:v>
      </x:c>
      <x:c r="B157" s="88" t="str">
        <x:v>'67 Porsche 911 R</x:v>
      </x:c>
      <x:c r="C157" s="88" t="str">
        <x:v>Coleção principal (~1:64)</x:v>
      </x:c>
      <x:c r="D157" s="88" t="n">
        <x:v>2024</x:v>
      </x:c>
      <x:c r="E157" s="88" t="n">
        <x:v>2025</x:v>
      </x:c>
      <x:c r="F157" s="88" t="n">
        <x:v>3</x:v>
      </x:c>
      <x:c r="G157" s="88" t="n">
        <x:v>3</x:v>
      </x:c>
      <x:c r="H157" s="88" t="n">
        <x:v>0</x:v>
      </x:c>
      <x:c r="I157" s="88" t="str">
        <x:v>1 — Comprar agora</x:v>
      </x:c>
      <x:c r="J157" s="89" t="str">
        <x:v>https://hotwheels.fandom.com/wiki/%2767_Porsche_911_R</x:v>
      </x:c>
    </x:row>
    <x:row r="158">
      <x:c r="A158" s="88" t="str">
        <x:v>Porsche</x:v>
      </x:c>
      <x:c r="B158" s="88" t="str">
        <x:v>'71 Porsche 911</x:v>
      </x:c>
      <x:c r="C158" s="88" t="str">
        <x:v>Coleção principal (~1:64)</x:v>
      </x:c>
      <x:c r="D158" s="88" t="n">
        <x:v>2018</x:v>
      </x:c>
      <x:c r="E158" s="88" t="n">
        <x:v>2026</x:v>
      </x:c>
      <x:c r="F158" s="88" t="n">
        <x:v>21</x:v>
      </x:c>
      <x:c r="G158" s="88" t="n">
        <x:v>21</x:v>
      </x:c>
      <x:c r="H158" s="88" t="n">
        <x:v>0</x:v>
      </x:c>
      <x:c r="I158" s="88" t="str">
        <x:v>1 — Comprar agora</x:v>
      </x:c>
      <x:c r="J158" s="89" t="str">
        <x:v>https://hotwheels.fandom.com/wiki/%2771_Porsche_911</x:v>
      </x:c>
    </x:row>
    <x:row r="159">
      <x:c r="A159" s="88" t="str">
        <x:v>Porsche</x:v>
      </x:c>
      <x:c r="B159" s="88" t="str">
        <x:v>'78 Porsche 935-78</x:v>
      </x:c>
      <x:c r="C159" s="88" t="str">
        <x:v>Coleção principal (~1:64)</x:v>
      </x:c>
      <x:c r="D159" s="88" t="n">
        <x:v>2012</x:v>
      </x:c>
      <x:c r="E159" s="88" t="n">
        <x:v>2026</x:v>
      </x:c>
      <x:c r="F159" s="88" t="n">
        <x:v>10</x:v>
      </x:c>
      <x:c r="G159" s="88" t="n">
        <x:v>10</x:v>
      </x:c>
      <x:c r="H159" s="88" t="n">
        <x:v>0</x:v>
      </x:c>
      <x:c r="I159" s="88" t="str">
        <x:v>1 — Comprar agora</x:v>
      </x:c>
      <x:c r="J159" s="89" t="str">
        <x:v>https://hotwheels.fandom.com/wiki/%2778_Porsche_935-78</x:v>
      </x:c>
    </x:row>
    <x:row r="160">
      <x:c r="A160" s="88" t="str">
        <x:v>Porsche</x:v>
      </x:c>
      <x:c r="B160" s="88" t="str">
        <x:v>'89 Porsche 944 Turbo</x:v>
      </x:c>
      <x:c r="C160" s="88" t="str">
        <x:v>Coleção principal (~1:64)</x:v>
      </x:c>
      <x:c r="D160" s="88" t="n">
        <x:v>2020</x:v>
      </x:c>
      <x:c r="E160" s="88" t="n">
        <x:v>2026</x:v>
      </x:c>
      <x:c r="F160" s="88" t="n">
        <x:v>11</x:v>
      </x:c>
      <x:c r="G160" s="88" t="n">
        <x:v>11</x:v>
      </x:c>
      <x:c r="H160" s="88" t="n">
        <x:v>0</x:v>
      </x:c>
      <x:c r="I160" s="88" t="str">
        <x:v>1 — Comprar agora</x:v>
      </x:c>
      <x:c r="J160" s="89" t="str">
        <x:v>https://hotwheels.fandom.com/wiki/%2789_Porsche_944_Turbo</x:v>
      </x:c>
    </x:row>
    <x:row r="161">
      <x:c r="A161" s="88" t="str">
        <x:v>Porsche</x:v>
      </x:c>
      <x:c r="B161" s="88" t="str">
        <x:v>'96 Porsche Carrera</x:v>
      </x:c>
      <x:c r="C161" s="88" t="str">
        <x:v>Coleção principal (~1:64)</x:v>
      </x:c>
      <x:c r="D161" s="88" t="n">
        <x:v>2019</x:v>
      </x:c>
      <x:c r="E161" s="88" t="n">
        <x:v>2026</x:v>
      </x:c>
      <x:c r="F161" s="88" t="n">
        <x:v>13</x:v>
      </x:c>
      <x:c r="G161" s="88" t="n">
        <x:v>13</x:v>
      </x:c>
      <x:c r="H161" s="88" t="n">
        <x:v>0</x:v>
      </x:c>
      <x:c r="I161" s="88" t="str">
        <x:v>1 — Comprar agora</x:v>
      </x:c>
      <x:c r="J161" s="89" t="str">
        <x:v>https://hotwheels.fandom.com/wiki/%2796_Porsche_Carrera</x:v>
      </x:c>
    </x:row>
    <x:row r="162">
      <x:c r="A162" s="88" t="str">
        <x:v>Porsche</x:v>
      </x:c>
      <x:c r="B162" s="88" t="str">
        <x:v>1970 Porsche 917</x:v>
      </x:c>
      <x:c r="C162" s="88" t="str">
        <x:v>Escala 1:43</x:v>
      </x:c>
      <x:c r="D162" s="88" t="n">
        <x:v>2025</x:v>
      </x:c>
      <x:c r="E162" s="88" t="n">
        <x:v>2025</x:v>
      </x:c>
      <x:c r="F162" s="88" t="n">
        <x:v>1</x:v>
      </x:c>
      <x:c r="G162" s="88" t="n">
        <x:v>0</x:v>
      </x:c>
      <x:c r="H162" s="88" t="n">
        <x:v>1</x:v>
      </x:c>
      <x:c r="I162" s="88" t="str">
        <x:v>Fora da meta principal</x:v>
      </x:c>
      <x:c r="J162" s="89" t="str">
        <x:v>https://hotwheels.fandom.com/wiki/1970_Porsche_917</x:v>
      </x:c>
    </x:row>
    <x:row r="163">
      <x:c r="A163" s="88" t="str">
        <x:v>Porsche</x:v>
      </x:c>
      <x:c r="B163" s="88" t="str">
        <x:v>1983 Porsche 928S</x:v>
      </x:c>
      <x:c r="C163" s="88" t="str">
        <x:v>Coleção principal (~1:64)</x:v>
      </x:c>
      <x:c r="D163" s="88" t="n">
        <x:v>2025</x:v>
      </x:c>
      <x:c r="E163" s="88" t="n">
        <x:v>2026</x:v>
      </x:c>
      <x:c r="F163" s="88" t="n">
        <x:v>3</x:v>
      </x:c>
      <x:c r="G163" s="88" t="n">
        <x:v>3</x:v>
      </x:c>
      <x:c r="H163" s="88" t="n">
        <x:v>0</x:v>
      </x:c>
      <x:c r="I163" s="88" t="str">
        <x:v>1 — Comprar agora</x:v>
      </x:c>
      <x:c r="J163" s="89" t="str">
        <x:v>https://hotwheels.fandom.com/wiki/1983_Porsche_928S</x:v>
      </x:c>
    </x:row>
    <x:row r="164">
      <x:c r="A164" s="88" t="str">
        <x:v>Porsche</x:v>
      </x:c>
      <x:c r="B164" s="88" t="str">
        <x:v>1988 Porsche 911 Targa Turbo</x:v>
      </x:c>
      <x:c r="C164" s="88" t="str">
        <x:v>Coleção principal (~1:64)</x:v>
      </x:c>
      <x:c r="D164" s="88" t="n">
        <x:v>2026</x:v>
      </x:c>
      <x:c r="E164" s="88" t="n">
        <x:v>2026</x:v>
      </x:c>
      <x:c r="F164" s="88" t="n">
        <x:v>2</x:v>
      </x:c>
      <x:c r="G164" s="88" t="n">
        <x:v>2</x:v>
      </x:c>
      <x:c r="H164" s="88" t="n">
        <x:v>0</x:v>
      </x:c>
      <x:c r="I164" s="88" t="str">
        <x:v>3 — Caça de longo prazo</x:v>
      </x:c>
      <x:c r="J164" s="89" t="str">
        <x:v>https://hotwheels.fandom.com/wiki/1988_Porsche_911_Targa_Turbo</x:v>
      </x:c>
    </x:row>
    <x:row r="165">
      <x:c r="A165" s="88" t="str">
        <x:v>Porsche</x:v>
      </x:c>
      <x:c r="B165" s="88" t="str">
        <x:v>1997 Porsche 911 GT1</x:v>
      </x:c>
      <x:c r="C165" s="88" t="str">
        <x:v>Coleção principal (~1:64)</x:v>
      </x:c>
      <x:c r="D165" s="88" t="n">
        <x:v>2025</x:v>
      </x:c>
      <x:c r="E165" s="88" t="n">
        <x:v>2025</x:v>
      </x:c>
      <x:c r="F165" s="88" t="n">
        <x:v>2</x:v>
      </x:c>
      <x:c r="G165" s="88" t="n">
        <x:v>2</x:v>
      </x:c>
      <x:c r="H165" s="88" t="n">
        <x:v>0</x:v>
      </x:c>
      <x:c r="I165" s="88" t="str">
        <x:v>1 — Comprar agora</x:v>
      </x:c>
      <x:c r="J165" s="89" t="str">
        <x:v>https://hotwheels.fandom.com/wiki/1997_Porsche_911_GT1</x:v>
      </x:c>
    </x:row>
    <x:row r="166">
      <x:c r="A166" s="88" t="str">
        <x:v>Porsche</x:v>
      </x:c>
      <x:c r="B166" s="88" t="str">
        <x:v>1998 Porsche Boxster</x:v>
      </x:c>
      <x:c r="C166" s="88" t="str">
        <x:v>Coleção principal (~1:64)</x:v>
      </x:c>
      <x:c r="D166" s="88" t="n">
        <x:v>1999</x:v>
      </x:c>
      <x:c r="E166" s="88" t="n">
        <x:v>2000</x:v>
      </x:c>
      <x:c r="F166" s="88" t="n">
        <x:v>2</x:v>
      </x:c>
      <x:c r="G166" s="88" t="n">
        <x:v>2</x:v>
      </x:c>
      <x:c r="H166" s="88" t="n">
        <x:v>0</x:v>
      </x:c>
      <x:c r="I166" s="88" t="str">
        <x:v>2 — Completar aos poucos</x:v>
      </x:c>
      <x:c r="J166" s="89" t="str">
        <x:v>https://hotwheels.fandom.com/wiki/1998_Porsche_Boxster</x:v>
      </x:c>
    </x:row>
    <x:row r="167">
      <x:c r="A167" s="88" t="str">
        <x:v>Porsche</x:v>
      </x:c>
      <x:c r="B167" s="88" t="str">
        <x:v>2003 Porsche Cayenne</x:v>
      </x:c>
      <x:c r="C167" s="88" t="str">
        <x:v>Coleção principal (~1:64)</x:v>
      </x:c>
      <x:c r="D167" s="88" t="n">
        <x:v>2026</x:v>
      </x:c>
      <x:c r="E167" s="88" t="n">
        <x:v>2026</x:v>
      </x:c>
      <x:c r="F167" s="88" t="n">
        <x:v>1</x:v>
      </x:c>
      <x:c r="G167" s="88" t="n">
        <x:v>1</x:v>
      </x:c>
      <x:c r="H167" s="88" t="n">
        <x:v>0</x:v>
      </x:c>
      <x:c r="I167" s="88" t="str">
        <x:v>1 — Comprar agora</x:v>
      </x:c>
      <x:c r="J167" s="89" t="str">
        <x:v>https://hotwheels.fandom.com/wiki/2003_Porsche_Cayenne</x:v>
      </x:c>
    </x:row>
    <x:row r="168">
      <x:c r="A168" s="88" t="str">
        <x:v>Porsche</x:v>
      </x:c>
      <x:c r="B168" s="88" t="str">
        <x:v>2022 Porsche 911 GT3 RS</x:v>
      </x:c>
      <x:c r="C168" s="88" t="str">
        <x:v>Coleção principal (~1:64)</x:v>
      </x:c>
      <x:c r="D168" s="88" t="n">
        <x:v>2026</x:v>
      </x:c>
      <x:c r="E168" s="88" t="n">
        <x:v>2026</x:v>
      </x:c>
      <x:c r="F168" s="88" t="n">
        <x:v>1</x:v>
      </x:c>
      <x:c r="G168" s="88" t="n">
        <x:v>1</x:v>
      </x:c>
      <x:c r="H168" s="88" t="n">
        <x:v>0</x:v>
      </x:c>
      <x:c r="I168" s="88" t="str">
        <x:v>1 — Comprar agora</x:v>
      </x:c>
      <x:c r="J168" s="89" t="str">
        <x:v>https://hotwheels.fandom.com/wiki/2022_Porsche_911_GT3_RS</x:v>
      </x:c>
    </x:row>
    <x:row r="169">
      <x:c r="A169" s="88" t="str">
        <x:v>Porsche</x:v>
      </x:c>
      <x:c r="B169" s="88" t="str">
        <x:v>Eroded Porsche 930</x:v>
      </x:c>
      <x:c r="C169" s="88" t="str">
        <x:v>Coleção principal (~1:64)</x:v>
      </x:c>
      <x:c r="D169" s="88" t="n">
        <x:v>2023</x:v>
      </x:c>
      <x:c r="E169" s="88" t="n">
        <x:v>2023</x:v>
      </x:c>
      <x:c r="F169" s="88" t="n">
        <x:v>1</x:v>
      </x:c>
      <x:c r="G169" s="88" t="n">
        <x:v>1</x:v>
      </x:c>
      <x:c r="H169" s="88" t="n">
        <x:v>0</x:v>
      </x:c>
      <x:c r="I169" s="88" t="str">
        <x:v>2 — Completar aos poucos</x:v>
      </x:c>
      <x:c r="J169" s="89" t="str">
        <x:v>https://hotwheels.fandom.com/wiki/Eroded_Porsche_930</x:v>
      </x:c>
    </x:row>
    <x:row r="170">
      <x:c r="A170" s="88" t="str">
        <x:v>Porsche</x:v>
      </x:c>
      <x:c r="B170" s="88" t="str">
        <x:v>Eroded Safari</x:v>
      </x:c>
      <x:c r="C170" s="88" t="str">
        <x:v>Coleção principal (~1:64)</x:v>
      </x:c>
      <x:c r="D170" s="88" t="n">
        <x:v>2024</x:v>
      </x:c>
      <x:c r="E170" s="88" t="n">
        <x:v>2024</x:v>
      </x:c>
      <x:c r="F170" s="88" t="n">
        <x:v>1</x:v>
      </x:c>
      <x:c r="G170" s="88" t="n">
        <x:v>1</x:v>
      </x:c>
      <x:c r="H170" s="88" t="n">
        <x:v>0</x:v>
      </x:c>
      <x:c r="I170" s="88" t="str">
        <x:v>1 — Comprar agora</x:v>
      </x:c>
      <x:c r="J170" s="89" t="str">
        <x:v>https://hotwheels.fandom.com/wiki/Eroded_Safari</x:v>
      </x:c>
    </x:row>
    <x:row r="171">
      <x:c r="A171" s="88" t="str">
        <x:v>Porsche</x:v>
      </x:c>
      <x:c r="B171" s="88" t="str">
        <x:v>KPop Demon Hunters Porsche 911 GT3 R (992)</x:v>
      </x:c>
      <x:c r="C171" s="88" t="str">
        <x:v>Coleção principal (~1:64)</x:v>
      </x:c>
      <x:c r="D171" s="88" t="n">
        <x:v>2026</x:v>
      </x:c>
      <x:c r="E171" s="88" t="n">
        <x:v>2026</x:v>
      </x:c>
      <x:c r="F171" s="88" t="n">
        <x:v>1</x:v>
      </x:c>
      <x:c r="G171" s="88" t="n">
        <x:v>1</x:v>
      </x:c>
      <x:c r="H171" s="88" t="n">
        <x:v>0</x:v>
      </x:c>
      <x:c r="I171" s="88" t="str">
        <x:v>3 — Caça de longo prazo</x:v>
      </x:c>
      <x:c r="J171" s="89" t="str">
        <x:v>https://orangetrackdiecast.com/2026-hot-wheels-master-list-of-all-lines/</x:v>
      </x:c>
    </x:row>
    <x:row r="172">
      <x:c r="A172" s="88" t="str">
        <x:v>Porsche</x:v>
      </x:c>
      <x:c r="B172" s="88" t="str">
        <x:v>Moon Ghost</x:v>
      </x:c>
      <x:c r="C172" s="88" t="str">
        <x:v>Sizzlers/Scorchers</x:v>
      </x:c>
      <x:c r="D172" s="88" t="n">
        <x:v>1978</x:v>
      </x:c>
      <x:c r="E172" s="88" t="n">
        <x:v>1978</x:v>
      </x:c>
      <x:c r="F172" s="88" t="n">
        <x:v>1</x:v>
      </x:c>
      <x:c r="G172" s="88" t="n">
        <x:v>0</x:v>
      </x:c>
      <x:c r="H172" s="88" t="n">
        <x:v>1</x:v>
      </x:c>
      <x:c r="I172" s="88" t="str">
        <x:v>2 — Completar aos poucos</x:v>
      </x:c>
      <x:c r="J172" s="89" t="str">
        <x:v>https://hotwheels.fandom.com/wiki/Moon_Ghost</x:v>
      </x:c>
    </x:row>
    <x:row r="173">
      <x:c r="A173" s="88" t="str">
        <x:v>Porsche</x:v>
      </x:c>
      <x:c r="B173" s="88" t="str">
        <x:v>P-911</x:v>
      </x:c>
      <x:c r="C173" s="88" t="str">
        <x:v>Coleção principal (~1:64)</x:v>
      </x:c>
      <x:c r="D173" s="88" t="n">
        <x:v>1975</x:v>
      </x:c>
      <x:c r="E173" s="88" t="n">
        <x:v>2001</x:v>
      </x:c>
      <x:c r="F173" s="88" t="n">
        <x:v>99</x:v>
      </x:c>
      <x:c r="G173" s="88" t="n">
        <x:v>99</x:v>
      </x:c>
      <x:c r="H173" s="88" t="n">
        <x:v>0</x:v>
      </x:c>
      <x:c r="I173" s="88" t="str">
        <x:v>2 — Completar aos poucos</x:v>
      </x:c>
      <x:c r="J173" s="89" t="str">
        <x:v>https://hotwheels.fandom.com/wiki/P-911</x:v>
      </x:c>
    </x:row>
    <x:row r="174">
      <x:c r="A174" s="88" t="str">
        <x:v>Porsche</x:v>
      </x:c>
      <x:c r="B174" s="88" t="str">
        <x:v>P-928</x:v>
      </x:c>
      <x:c r="C174" s="88" t="str">
        <x:v>Coleção principal (~1:64)</x:v>
      </x:c>
      <x:c r="D174" s="88" t="n">
        <x:v>1982</x:v>
      </x:c>
      <x:c r="E174" s="88" t="n">
        <x:v>2002</x:v>
      </x:c>
      <x:c r="F174" s="88" t="n">
        <x:v>25</x:v>
      </x:c>
      <x:c r="G174" s="88" t="n">
        <x:v>25</x:v>
      </x:c>
      <x:c r="H174" s="88" t="n">
        <x:v>0</x:v>
      </x:c>
      <x:c r="I174" s="88" t="str">
        <x:v>2 — Completar aos poucos</x:v>
      </x:c>
      <x:c r="J174" s="89" t="str">
        <x:v>https://hotwheels.fandom.com/wiki/P-928</x:v>
      </x:c>
    </x:row>
    <x:row r="175">
      <x:c r="A175" s="88" t="str">
        <x:v>Porsche</x:v>
      </x:c>
      <x:c r="B175" s="88" t="str">
        <x:v>Porsche 356 Outlaw</x:v>
      </x:c>
      <x:c r="C175" s="88" t="str">
        <x:v>Coleção principal (~1:64)</x:v>
      </x:c>
      <x:c r="D175" s="88" t="n">
        <x:v>2016</x:v>
      </x:c>
      <x:c r="E175" s="88" t="n">
        <x:v>2026</x:v>
      </x:c>
      <x:c r="F175" s="88" t="n">
        <x:v>18</x:v>
      </x:c>
      <x:c r="G175" s="88" t="n">
        <x:v>18</x:v>
      </x:c>
      <x:c r="H175" s="88" t="n">
        <x:v>0</x:v>
      </x:c>
      <x:c r="I175" s="88" t="str">
        <x:v>1 — Comprar agora</x:v>
      </x:c>
      <x:c r="J175" s="89" t="str">
        <x:v>https://hotwheels.fandom.com/wiki/Porsche_356_Outlaw</x:v>
      </x:c>
    </x:row>
    <x:row r="176">
      <x:c r="A176" s="88" t="str">
        <x:v>Porsche</x:v>
      </x:c>
      <x:c r="B176" s="88" t="str">
        <x:v>Porsche 356 Speedster</x:v>
      </x:c>
      <x:c r="C176" s="88" t="str">
        <x:v>Coleção principal (~1:64)</x:v>
      </x:c>
      <x:c r="D176" s="88" t="n">
        <x:v>2017</x:v>
      </x:c>
      <x:c r="E176" s="88" t="n">
        <x:v>2024</x:v>
      </x:c>
      <x:c r="F176" s="88" t="n">
        <x:v>7</x:v>
      </x:c>
      <x:c r="G176" s="88" t="n">
        <x:v>7</x:v>
      </x:c>
      <x:c r="H176" s="88" t="n">
        <x:v>0</x:v>
      </x:c>
      <x:c r="I176" s="88" t="str">
        <x:v>1 — Comprar agora</x:v>
      </x:c>
      <x:c r="J176" s="89" t="str">
        <x:v>https://hotwheels.fandom.com/wiki/Porsche_356_Speedster</x:v>
      </x:c>
    </x:row>
    <x:row r="177">
      <x:c r="A177" s="88" t="str">
        <x:v>Porsche</x:v>
      </x:c>
      <x:c r="B177" s="88" t="str">
        <x:v>Porsche 356 Speedster (1:43)</x:v>
      </x:c>
      <x:c r="C177" s="88" t="str">
        <x:v>Escala 1:43</x:v>
      </x:c>
      <x:c r="D177" s="88" t="n">
        <x:v>1998</x:v>
      </x:c>
      <x:c r="E177" s="88" t="n">
        <x:v>2001</x:v>
      </x:c>
      <x:c r="F177" s="88" t="n">
        <x:v>3</x:v>
      </x:c>
      <x:c r="G177" s="88" t="n">
        <x:v>0</x:v>
      </x:c>
      <x:c r="H177" s="88" t="n">
        <x:v>3</x:v>
      </x:c>
      <x:c r="I177" s="88" t="str">
        <x:v>Fora da meta principal</x:v>
      </x:c>
      <x:c r="J177" s="89" t="str">
        <x:v>https://hotwheels.fandom.com/wiki/Porsche_356_Speedster_(1:43)</x:v>
      </x:c>
    </x:row>
    <x:row r="178">
      <x:c r="A178" s="88" t="str">
        <x:v>Porsche</x:v>
      </x:c>
      <x:c r="B178" s="88" t="str">
        <x:v>Porsche 550 Spyder</x:v>
      </x:c>
      <x:c r="C178" s="88" t="str">
        <x:v>Coleção principal (~1:64)</x:v>
      </x:c>
      <x:c r="D178" s="88" t="n">
        <x:v>1999</x:v>
      </x:c>
      <x:c r="E178" s="88" t="n">
        <x:v>2000</x:v>
      </x:c>
      <x:c r="F178" s="88" t="n">
        <x:v>4</x:v>
      </x:c>
      <x:c r="G178" s="88" t="n">
        <x:v>4</x:v>
      </x:c>
      <x:c r="H178" s="88" t="n">
        <x:v>0</x:v>
      </x:c>
      <x:c r="I178" s="88" t="str">
        <x:v>2 — Completar aos poucos</x:v>
      </x:c>
      <x:c r="J178" s="89" t="str">
        <x:v>https://hotwheels.fandom.com/wiki/Porsche_550_Spyder</x:v>
      </x:c>
    </x:row>
    <x:row r="179">
      <x:c r="A179" s="88" t="str">
        <x:v>Porsche</x:v>
      </x:c>
      <x:c r="B179" s="88" t="str">
        <x:v>Porsche 718 Cayman GT4</x:v>
      </x:c>
      <x:c r="C179" s="88" t="str">
        <x:v>Coleção principal (~1:64)</x:v>
      </x:c>
      <x:c r="D179" s="88" t="n">
        <x:v>2023</x:v>
      </x:c>
      <x:c r="E179" s="88" t="n">
        <x:v>2026</x:v>
      </x:c>
      <x:c r="F179" s="88" t="n">
        <x:v>7</x:v>
      </x:c>
      <x:c r="G179" s="88" t="n">
        <x:v>7</x:v>
      </x:c>
      <x:c r="H179" s="88" t="n">
        <x:v>0</x:v>
      </x:c>
      <x:c r="I179" s="88" t="str">
        <x:v>1 — Comprar agora</x:v>
      </x:c>
      <x:c r="J179" s="89" t="str">
        <x:v>https://hotwheels.fandom.com/wiki/Porsche_718_Cayman_GT4</x:v>
      </x:c>
    </x:row>
    <x:row r="180">
      <x:c r="A180" s="88" t="str">
        <x:v>Porsche</x:v>
      </x:c>
      <x:c r="B180" s="88" t="str">
        <x:v>Porsche 904 Carrera GTS</x:v>
      </x:c>
      <x:c r="C180" s="88" t="str">
        <x:v>Coleção principal (~1:64)</x:v>
      </x:c>
      <x:c r="D180" s="88" t="n">
        <x:v>2024</x:v>
      </x:c>
      <x:c r="E180" s="88" t="n">
        <x:v>2026</x:v>
      </x:c>
      <x:c r="F180" s="88" t="n">
        <x:v>7</x:v>
      </x:c>
      <x:c r="G180" s="88" t="n">
        <x:v>7</x:v>
      </x:c>
      <x:c r="H180" s="88" t="n">
        <x:v>0</x:v>
      </x:c>
      <x:c r="I180" s="88" t="str">
        <x:v>1 — Comprar agora</x:v>
      </x:c>
      <x:c r="J180" s="89" t="str">
        <x:v>https://hotwheels.fandom.com/wiki/Porsche_904_Carrera_GTS</x:v>
      </x:c>
    </x:row>
    <x:row r="181">
      <x:c r="A181" s="88" t="str">
        <x:v>Porsche</x:v>
      </x:c>
      <x:c r="B181" s="88" t="str">
        <x:v>Porsche 908-3</x:v>
      </x:c>
      <x:c r="C181" s="88" t="str">
        <x:v>Coleção principal (~1:64)</x:v>
      </x:c>
      <x:c r="D181" s="88" t="n">
        <x:v>2026</x:v>
      </x:c>
      <x:c r="E181" s="88" t="n">
        <x:v>2026</x:v>
      </x:c>
      <x:c r="F181" s="88" t="n">
        <x:v>1</x:v>
      </x:c>
      <x:c r="G181" s="88" t="n">
        <x:v>1</x:v>
      </x:c>
      <x:c r="H181" s="88" t="n">
        <x:v>0</x:v>
      </x:c>
      <x:c r="I181" s="88" t="str">
        <x:v>1 — Comprar agora</x:v>
      </x:c>
      <x:c r="J181" s="89" t="str">
        <x:v>https://hotwheels.fandom.com/wiki/Porsche_908-3</x:v>
      </x:c>
    </x:row>
    <x:row r="182">
      <x:c r="A182" s="88" t="str">
        <x:v>Porsche</x:v>
      </x:c>
      <x:c r="B182" s="88" t="str">
        <x:v>Porsche 911 (1:18)</x:v>
      </x:c>
      <x:c r="C182" s="88" t="str">
        <x:v>Escala 1:18</x:v>
      </x:c>
      <x:c r="D182" s="88" t="n">
        <x:v>1999</x:v>
      </x:c>
      <x:c r="E182" s="88" t="n">
        <x:v>2002</x:v>
      </x:c>
      <x:c r="F182" s="88" t="n">
        <x:v>6</x:v>
      </x:c>
      <x:c r="G182" s="88" t="n">
        <x:v>0</x:v>
      </x:c>
      <x:c r="H182" s="88" t="n">
        <x:v>6</x:v>
      </x:c>
      <x:c r="I182" s="88" t="str">
        <x:v>Fora da meta principal</x:v>
      </x:c>
      <x:c r="J182" s="89" t="str">
        <x:v>https://hotwheels.fandom.com/wiki/Porsche_911_(1:18)</x:v>
      </x:c>
    </x:row>
    <x:row r="183">
      <x:c r="A183" s="88" t="str">
        <x:v>Porsche</x:v>
      </x:c>
      <x:c r="B183" s="88" t="str">
        <x:v>Porsche 911 (micro)</x:v>
      </x:c>
      <x:c r="C183" s="88" t="str">
        <x:v>Micro</x:v>
      </x:c>
      <x:c r="D183" s="88" t="n">
        <x:v>1990</x:v>
      </x:c>
      <x:c r="E183" s="88" t="n">
        <x:v>1990</x:v>
      </x:c>
      <x:c r="F183" s="88" t="n">
        <x:v>6</x:v>
      </x:c>
      <x:c r="G183" s="88" t="n">
        <x:v>0</x:v>
      </x:c>
      <x:c r="H183" s="88" t="n">
        <x:v>6</x:v>
      </x:c>
      <x:c r="I183" s="88" t="str">
        <x:v>Fora da meta principal</x:v>
      </x:c>
      <x:c r="J183" s="89" t="str">
        <x:v>https://hotwheels.fandom.com/wiki/Porsche_911_(micro)</x:v>
      </x:c>
    </x:row>
    <x:row r="184">
      <x:c r="A184" s="88" t="str">
        <x:v>Porsche</x:v>
      </x:c>
      <x:c r="B184" s="88" t="str">
        <x:v>Porsche 911 Carrera</x:v>
      </x:c>
      <x:c r="C184" s="88" t="str">
        <x:v>Coleção principal (~1:64)</x:v>
      </x:c>
      <x:c r="D184" s="88" t="n">
        <x:v>1996</x:v>
      </x:c>
      <x:c r="E184" s="88" t="n">
        <x:v>2003</x:v>
      </x:c>
      <x:c r="F184" s="88" t="n">
        <x:v>17</x:v>
      </x:c>
      <x:c r="G184" s="88" t="n">
        <x:v>17</x:v>
      </x:c>
      <x:c r="H184" s="88" t="n">
        <x:v>0</x:v>
      </x:c>
      <x:c r="I184" s="88" t="str">
        <x:v>2 — Completar aos poucos</x:v>
      </x:c>
      <x:c r="J184" s="89" t="str">
        <x:v>https://hotwheels.fandom.com/wiki/Porsche_911_Carrera</x:v>
      </x:c>
    </x:row>
    <x:row r="185">
      <x:c r="A185" s="88" t="str">
        <x:v>Porsche</x:v>
      </x:c>
      <x:c r="B185" s="88" t="str">
        <x:v>Porsche 911 Carrera (1:43 Turbos Collection)</x:v>
      </x:c>
      <x:c r="C185" s="88" t="str">
        <x:v>Escala 1:43</x:v>
      </x:c>
      <x:c r="D185" s="88" t="n">
        <x:v>1996</x:v>
      </x:c>
      <x:c r="E185" s="88" t="n">
        <x:v>1996</x:v>
      </x:c>
      <x:c r="F185" s="88" t="n">
        <x:v>1</x:v>
      </x:c>
      <x:c r="G185" s="88" t="n">
        <x:v>0</x:v>
      </x:c>
      <x:c r="H185" s="88" t="n">
        <x:v>1</x:v>
      </x:c>
      <x:c r="I185" s="88" t="str">
        <x:v>Fora da meta principal</x:v>
      </x:c>
      <x:c r="J185" s="89" t="str">
        <x:v>https://hotwheels.fandom.com/wiki/Porsche_911_Carrera_(1:43_Turbos_Collection)</x:v>
      </x:c>
    </x:row>
    <x:row r="186">
      <x:c r="A186" s="88" t="str">
        <x:v>Porsche</x:v>
      </x:c>
      <x:c r="B186" s="88" t="str">
        <x:v>Porsche 911 Carrera Clip</x:v>
      </x:c>
      <x:c r="C186" s="88" t="str">
        <x:v>Coleção principal (~1:64)</x:v>
      </x:c>
      <x:c r="D186" s="88" t="n">
        <x:v>2024</x:v>
      </x:c>
      <x:c r="E186" s="88" t="n">
        <x:v>2025</x:v>
      </x:c>
      <x:c r="F186" s="88" t="n">
        <x:v>4</x:v>
      </x:c>
      <x:c r="G186" s="88" t="n">
        <x:v>4</x:v>
      </x:c>
      <x:c r="H186" s="88" t="n">
        <x:v>0</x:v>
      </x:c>
      <x:c r="I186" s="88" t="str">
        <x:v>1 — Comprar agora</x:v>
      </x:c>
      <x:c r="J186" s="89" t="str">
        <x:v>https://hotwheels.fandom.com/wiki/Porsche_911_Carrera_Clip</x:v>
      </x:c>
    </x:row>
    <x:row r="187">
      <x:c r="A187" s="88" t="str">
        <x:v>Porsche</x:v>
      </x:c>
      <x:c r="B187" s="88" t="str">
        <x:v>Porsche 911 Carrera RS 2.7</x:v>
      </x:c>
      <x:c r="C187" s="88" t="str">
        <x:v>Coleção principal (~1:64)</x:v>
      </x:c>
      <x:c r="D187" s="88" t="n">
        <x:v>2023</x:v>
      </x:c>
      <x:c r="E187" s="88" t="n">
        <x:v>2026</x:v>
      </x:c>
      <x:c r="F187" s="88" t="n">
        <x:v>12</x:v>
      </x:c>
      <x:c r="G187" s="88" t="n">
        <x:v>12</x:v>
      </x:c>
      <x:c r="H187" s="88" t="n">
        <x:v>0</x:v>
      </x:c>
      <x:c r="I187" s="88" t="str">
        <x:v>1 — Comprar agora</x:v>
      </x:c>
      <x:c r="J187" s="89" t="str">
        <x:v>https://hotwheels.fandom.com/wiki/Porsche_911_Carrera_RS_2.7</x:v>
      </x:c>
    </x:row>
    <x:row r="188">
      <x:c r="A188" s="88" t="str">
        <x:v>Porsche</x:v>
      </x:c>
      <x:c r="B188" s="88" t="str">
        <x:v>Porsche 911 Carrera RS 3.8</x:v>
      </x:c>
      <x:c r="C188" s="88" t="str">
        <x:v>Coleção principal (~1:64)</x:v>
      </x:c>
      <x:c r="D188" s="88" t="n">
        <x:v>2024</x:v>
      </x:c>
      <x:c r="E188" s="88" t="n">
        <x:v>2026</x:v>
      </x:c>
      <x:c r="F188" s="88" t="n">
        <x:v>8</x:v>
      </x:c>
      <x:c r="G188" s="88" t="n">
        <x:v>8</x:v>
      </x:c>
      <x:c r="H188" s="88" t="n">
        <x:v>0</x:v>
      </x:c>
      <x:c r="I188" s="88" t="str">
        <x:v>1 — Comprar agora</x:v>
      </x:c>
      <x:c r="J188" s="89" t="str">
        <x:v>https://hotwheels.fandom.com/wiki/Porsche_911_Carrera_RS_3.8</x:v>
      </x:c>
    </x:row>
    <x:row r="189">
      <x:c r="A189" s="88" t="str">
        <x:v>Porsche</x:v>
      </x:c>
      <x:c r="B189" s="88" t="str">
        <x:v>Porsche 911 Carrera T</x:v>
      </x:c>
      <x:c r="C189" s="88" t="str">
        <x:v>Coleção principal (~1:64)</x:v>
      </x:c>
      <x:c r="D189" s="88" t="n">
        <x:v>2026</x:v>
      </x:c>
      <x:c r="E189" s="88" t="n">
        <x:v>2026</x:v>
      </x:c>
      <x:c r="F189" s="88" t="n">
        <x:v>5</x:v>
      </x:c>
      <x:c r="G189" s="88" t="n">
        <x:v>5</x:v>
      </x:c>
      <x:c r="H189" s="88" t="n">
        <x:v>0</x:v>
      </x:c>
      <x:c r="I189" s="88" t="str">
        <x:v>1 — Comprar agora</x:v>
      </x:c>
      <x:c r="J189" s="89" t="str">
        <x:v>https://hotwheels.fandom.com/wiki/Porsche_911_Carrera_T</x:v>
      </x:c>
    </x:row>
    <x:row r="190">
      <x:c r="A190" s="88" t="str">
        <x:v>Porsche</x:v>
      </x:c>
      <x:c r="B190" s="88" t="str">
        <x:v>Porsche 911 GT1 (Motorized X-V Racers)</x:v>
      </x:c>
      <x:c r="C190" s="88" t="str">
        <x:v>Não lançado / protótipo</x:v>
      </x:c>
      <x:c r="D190" s="88" t="n">
        <x:v>1998</x:v>
      </x:c>
      <x:c r="E190" s="88" t="n">
        <x:v>1998</x:v>
      </x:c>
      <x:c r="F190" s="88" t="n">
        <x:v>1</x:v>
      </x:c>
      <x:c r="G190" s="88" t="n">
        <x:v>0</x:v>
      </x:c>
      <x:c r="H190" s="88" t="n">
        <x:v>1</x:v>
      </x:c>
      <x:c r="I190" s="88" t="str">
        <x:v>Fora da meta principal</x:v>
      </x:c>
      <x:c r="J190" s="89" t="str">
        <x:v>https://hotwheels.fandom.com/wiki/Porsche_911_GT1_(Motorized_X-V_Racers)</x:v>
      </x:c>
    </x:row>
    <x:row r="191">
      <x:c r="A191" s="88" t="str">
        <x:v>Porsche</x:v>
      </x:c>
      <x:c r="B191" s="88" t="str">
        <x:v>Porsche 911 GT1-98</x:v>
      </x:c>
      <x:c r="C191" s="88" t="str">
        <x:v>Coleção principal (~1:64)</x:v>
      </x:c>
      <x:c r="D191" s="88" t="n">
        <x:v>1999</x:v>
      </x:c>
      <x:c r="E191" s="88" t="n">
        <x:v>2010</x:v>
      </x:c>
      <x:c r="F191" s="88" t="n">
        <x:v>8</x:v>
      </x:c>
      <x:c r="G191" s="88" t="n">
        <x:v>8</x:v>
      </x:c>
      <x:c r="H191" s="88" t="n">
        <x:v>0</x:v>
      </x:c>
      <x:c r="I191" s="88" t="str">
        <x:v>2 — Completar aos poucos</x:v>
      </x:c>
      <x:c r="J191" s="89" t="str">
        <x:v>https://hotwheels.fandom.com/wiki/Porsche_911_GT1-98</x:v>
      </x:c>
    </x:row>
    <x:row r="192">
      <x:c r="A192" s="88" t="str">
        <x:v>Porsche</x:v>
      </x:c>
      <x:c r="B192" s="88" t="str">
        <x:v>Porsche 911 GT2</x:v>
      </x:c>
      <x:c r="C192" s="88" t="str">
        <x:v>Coleção principal (~1:64)</x:v>
      </x:c>
      <x:c r="D192" s="88" t="n">
        <x:v>2010</x:v>
      </x:c>
      <x:c r="E192" s="88" t="n">
        <x:v>2026</x:v>
      </x:c>
      <x:c r="F192" s="88" t="n">
        <x:v>21</x:v>
      </x:c>
      <x:c r="G192" s="88" t="n">
        <x:v>21</x:v>
      </x:c>
      <x:c r="H192" s="88" t="n">
        <x:v>0</x:v>
      </x:c>
      <x:c r="I192" s="88" t="str">
        <x:v>1 — Comprar agora</x:v>
      </x:c>
      <x:c r="J192" s="89" t="str">
        <x:v>https://hotwheels.fandom.com/wiki/Porsche_911_GT2</x:v>
      </x:c>
    </x:row>
    <x:row r="193">
      <x:c r="A193" s="88" t="str">
        <x:v>Porsche</x:v>
      </x:c>
      <x:c r="B193" s="88" t="str">
        <x:v>Porsche 911 GT2 EVO 993</x:v>
      </x:c>
      <x:c r="C193" s="88" t="str">
        <x:v>Coleção principal (~1:64)</x:v>
      </x:c>
      <x:c r="D193" s="88" t="n">
        <x:v>2025</x:v>
      </x:c>
      <x:c r="E193" s="88" t="n">
        <x:v>2026</x:v>
      </x:c>
      <x:c r="F193" s="88" t="n">
        <x:v>3</x:v>
      </x:c>
      <x:c r="G193" s="88" t="n">
        <x:v>3</x:v>
      </x:c>
      <x:c r="H193" s="88" t="n">
        <x:v>0</x:v>
      </x:c>
      <x:c r="I193" s="88" t="str">
        <x:v>1 — Comprar agora</x:v>
      </x:c>
      <x:c r="J193" s="89" t="str">
        <x:v>https://hotwheels.fandom.com/wiki/Porsche_911_GT2_EVO_993</x:v>
      </x:c>
    </x:row>
    <x:row r="194">
      <x:c r="A194" s="88" t="str">
        <x:v>Porsche</x:v>
      </x:c>
      <x:c r="B194" s="88" t="str">
        <x:v>Porsche 911 GT3</x:v>
      </x:c>
      <x:c r="C194" s="88" t="str">
        <x:v>Coleção principal (~1:64)</x:v>
      </x:c>
      <x:c r="D194" s="88" t="n">
        <x:v>2022</x:v>
      </x:c>
      <x:c r="E194" s="88" t="n">
        <x:v>2026</x:v>
      </x:c>
      <x:c r="F194" s="88" t="n">
        <x:v>9</x:v>
      </x:c>
      <x:c r="G194" s="88" t="n">
        <x:v>9</x:v>
      </x:c>
      <x:c r="H194" s="88" t="n">
        <x:v>0</x:v>
      </x:c>
      <x:c r="I194" s="88" t="str">
        <x:v>1 — Comprar agora</x:v>
      </x:c>
      <x:c r="J194" s="89" t="str">
        <x:v>https://hotwheels.fandom.com/wiki/Porsche_911_GT3</x:v>
      </x:c>
    </x:row>
    <x:row r="195">
      <x:c r="A195" s="88" t="str">
        <x:v>Porsche</x:v>
      </x:c>
      <x:c r="B195" s="88" t="str">
        <x:v>Porsche 911 GT3 (Pull-Back Speeders)</x:v>
      </x:c>
      <x:c r="C195" s="88" t="str">
        <x:v>Pull-Back</x:v>
      </x:c>
      <x:c r="D195" s="88" t="n">
        <x:v>2023</x:v>
      </x:c>
      <x:c r="E195" s="88" t="n">
        <x:v>2026</x:v>
      </x:c>
      <x:c r="F195" s="88" t="n">
        <x:v>5</x:v>
      </x:c>
      <x:c r="G195" s="88" t="n">
        <x:v>0</x:v>
      </x:c>
      <x:c r="H195" s="88" t="n">
        <x:v>5</x:v>
      </x:c>
      <x:c r="I195" s="88" t="str">
        <x:v>Fora da meta principal</x:v>
      </x:c>
      <x:c r="J195" s="89" t="str">
        <x:v>https://hotwheels.fandom.com/wiki/Porsche_911_GT3_(Pull-Back_Speeders)</x:v>
      </x:c>
    </x:row>
    <x:row r="196">
      <x:c r="A196" s="88" t="str">
        <x:v>Porsche</x:v>
      </x:c>
      <x:c r="B196" s="88" t="str">
        <x:v>Porsche 911 GT3 (RC)</x:v>
      </x:c>
      <x:c r="C196" s="88" t="str">
        <x:v>RC</x:v>
      </x:c>
      <x:c r="D196" s="88" t="n">
        <x:v>2023</x:v>
      </x:c>
      <x:c r="E196" s="88" t="n">
        <x:v>2023</x:v>
      </x:c>
      <x:c r="F196" s="88" t="n">
        <x:v>1</x:v>
      </x:c>
      <x:c r="G196" s="88" t="n">
        <x:v>0</x:v>
      </x:c>
      <x:c r="H196" s="88" t="n">
        <x:v>1</x:v>
      </x:c>
      <x:c r="I196" s="88" t="str">
        <x:v>Fora da meta principal</x:v>
      </x:c>
      <x:c r="J196" s="89" t="str">
        <x:v>https://hotwheels.fandom.com/wiki/Porsche_911_GT3_(RC)</x:v>
      </x:c>
    </x:row>
    <x:row r="197">
      <x:c r="A197" s="88" t="str">
        <x:v>Porsche</x:v>
      </x:c>
      <x:c r="B197" s="88" t="str">
        <x:v>Porsche 911 GT3 Cup</x:v>
      </x:c>
      <x:c r="C197" s="88" t="str">
        <x:v>Coleção principal (~1:64)</x:v>
      </x:c>
      <x:c r="D197" s="88" t="n">
        <x:v>1999</x:v>
      </x:c>
      <x:c r="E197" s="88" t="n">
        <x:v>2025</x:v>
      </x:c>
      <x:c r="F197" s="88" t="n">
        <x:v>27</x:v>
      </x:c>
      <x:c r="G197" s="88" t="n">
        <x:v>27</x:v>
      </x:c>
      <x:c r="H197" s="88" t="n">
        <x:v>0</x:v>
      </x:c>
      <x:c r="I197" s="88" t="str">
        <x:v>1 — Comprar agora</x:v>
      </x:c>
      <x:c r="J197" s="89" t="str">
        <x:v>https://hotwheels.fandom.com/wiki/Porsche_911_GT3_Cup</x:v>
      </x:c>
    </x:row>
    <x:row r="198">
      <x:c r="A198" s="88" t="str">
        <x:v>Porsche</x:v>
      </x:c>
      <x:c r="B198" s="88" t="str">
        <x:v>Porsche 911 GT3 R (992)</x:v>
      </x:c>
      <x:c r="C198" s="88" t="str">
        <x:v>Coleção principal (~1:64)</x:v>
      </x:c>
      <x:c r="D198" s="88" t="n">
        <x:v>2024</x:v>
      </x:c>
      <x:c r="E198" s="88" t="n">
        <x:v>2026</x:v>
      </x:c>
      <x:c r="F198" s="88" t="n">
        <x:v>4</x:v>
      </x:c>
      <x:c r="G198" s="88" t="n">
        <x:v>4</x:v>
      </x:c>
      <x:c r="H198" s="88" t="n">
        <x:v>0</x:v>
      </x:c>
      <x:c r="I198" s="88" t="str">
        <x:v>1 — Comprar agora</x:v>
      </x:c>
      <x:c r="J198" s="89" t="str">
        <x:v>https://hotwheels.fandom.com/wiki/Porsche_911_GT3_R_(992)</x:v>
      </x:c>
    </x:row>
    <x:row r="199">
      <x:c r="A199" s="88" t="str">
        <x:v>Porsche</x:v>
      </x:c>
      <x:c r="B199" s="88" t="str">
        <x:v>Porsche 911 GT3 RS (1:43)</x:v>
      </x:c>
      <x:c r="C199" s="88" t="str">
        <x:v>Escala 1:43</x:v>
      </x:c>
      <x:c r="D199" s="88" t="n">
        <x:v>2024</x:v>
      </x:c>
      <x:c r="E199" s="88" t="n">
        <x:v>2025</x:v>
      </x:c>
      <x:c r="F199" s="88" t="n">
        <x:v>2</x:v>
      </x:c>
      <x:c r="G199" s="88" t="n">
        <x:v>0</x:v>
      </x:c>
      <x:c r="H199" s="88" t="n">
        <x:v>2</x:v>
      </x:c>
      <x:c r="I199" s="88" t="str">
        <x:v>Fora da meta principal</x:v>
      </x:c>
      <x:c r="J199" s="89" t="str">
        <x:v>https://hotwheels.fandom.com/wiki/Porsche_911_GT3_RS_(1:43)</x:v>
      </x:c>
    </x:row>
    <x:row r="200">
      <x:c r="A200" s="88" t="str">
        <x:v>Porsche</x:v>
      </x:c>
      <x:c r="B200" s="88" t="str">
        <x:v>Porsche 911 GT3 RS (2011)</x:v>
      </x:c>
      <x:c r="C200" s="88" t="str">
        <x:v>Coleção principal (~1:64)</x:v>
      </x:c>
      <x:c r="D200" s="88" t="n">
        <x:v>2011</x:v>
      </x:c>
      <x:c r="E200" s="88" t="n">
        <x:v>2025</x:v>
      </x:c>
      <x:c r="F200" s="88" t="n">
        <x:v>22</x:v>
      </x:c>
      <x:c r="G200" s="88" t="n">
        <x:v>22</x:v>
      </x:c>
      <x:c r="H200" s="88" t="n">
        <x:v>0</x:v>
      </x:c>
      <x:c r="I200" s="88" t="str">
        <x:v>1 — Comprar agora</x:v>
      </x:c>
      <x:c r="J200" s="89" t="str">
        <x:v>https://hotwheels.fandom.com/wiki/Porsche_911_GT3_RS_(2011)</x:v>
      </x:c>
    </x:row>
    <x:row r="201">
      <x:c r="A201" s="88" t="str">
        <x:v>Porsche</x:v>
      </x:c>
      <x:c r="B201" s="88" t="str">
        <x:v>Porsche 911 GT3 RS (2016)</x:v>
      </x:c>
      <x:c r="C201" s="88" t="str">
        <x:v>Coleção principal (~1:64)</x:v>
      </x:c>
      <x:c r="D201" s="88" t="n">
        <x:v>2016</x:v>
      </x:c>
      <x:c r="E201" s="88" t="n">
        <x:v>2025</x:v>
      </x:c>
      <x:c r="F201" s="88" t="n">
        <x:v>17</x:v>
      </x:c>
      <x:c r="G201" s="88" t="n">
        <x:v>17</x:v>
      </x:c>
      <x:c r="H201" s="88" t="n">
        <x:v>0</x:v>
      </x:c>
      <x:c r="I201" s="88" t="str">
        <x:v>1 — Comprar agora</x:v>
      </x:c>
      <x:c r="J201" s="89" t="str">
        <x:v>https://hotwheels.fandom.com/wiki/Porsche_911_GT3_RS_(2016)</x:v>
      </x:c>
    </x:row>
    <x:row r="202">
      <x:c r="A202" s="88" t="str">
        <x:v>Porsche</x:v>
      </x:c>
      <x:c r="B202" s="88" t="str">
        <x:v>Porsche 911 Off-Roader</x:v>
      </x:c>
      <x:c r="C202" s="88" t="str">
        <x:v>Coleção principal (~1:64)</x:v>
      </x:c>
      <x:c r="D202" s="88" t="n">
        <x:v>2025</x:v>
      </x:c>
      <x:c r="E202" s="88" t="n">
        <x:v>2025</x:v>
      </x:c>
      <x:c r="F202" s="88" t="n">
        <x:v>2</x:v>
      </x:c>
      <x:c r="G202" s="88" t="n">
        <x:v>2</x:v>
      </x:c>
      <x:c r="H202" s="88" t="n">
        <x:v>0</x:v>
      </x:c>
      <x:c r="I202" s="88" t="str">
        <x:v>1 — Comprar agora</x:v>
      </x:c>
      <x:c r="J202" s="89" t="str">
        <x:v>https://hotwheels.fandom.com/wiki/Porsche_911_Off-Roader</x:v>
      </x:c>
    </x:row>
    <x:row r="203">
      <x:c r="A203" s="88" t="str">
        <x:v>Porsche</x:v>
      </x:c>
      <x:c r="B203" s="88" t="str">
        <x:v>Porsche 911 Rallye</x:v>
      </x:c>
      <x:c r="C203" s="88" t="str">
        <x:v>Coleção principal (~1:64)</x:v>
      </x:c>
      <x:c r="D203" s="88" t="n">
        <x:v>2024</x:v>
      </x:c>
      <x:c r="E203" s="88" t="n">
        <x:v>2025</x:v>
      </x:c>
      <x:c r="F203" s="88" t="n">
        <x:v>3</x:v>
      </x:c>
      <x:c r="G203" s="88" t="n">
        <x:v>3</x:v>
      </x:c>
      <x:c r="H203" s="88" t="n">
        <x:v>0</x:v>
      </x:c>
      <x:c r="I203" s="88" t="str">
        <x:v>1 — Comprar agora</x:v>
      </x:c>
      <x:c r="J203" s="89" t="str">
        <x:v>https://hotwheels.fandom.com/wiki/Porsche_911_Rallye</x:v>
      </x:c>
    </x:row>
    <x:row r="204">
      <x:c r="A204" s="88" t="str">
        <x:v>Porsche</x:v>
      </x:c>
      <x:c r="B204" s="88" t="str">
        <x:v>Porsche 911 S Targa</x:v>
      </x:c>
      <x:c r="C204" s="88" t="str">
        <x:v>Escala 1:25</x:v>
      </x:c>
      <x:c r="D204" s="88" t="str"/>
      <x:c r="E204" s="88" t="str"/>
      <x:c r="F204" s="88" t="n">
        <x:v>1</x:v>
      </x:c>
      <x:c r="G204" s="88" t="n">
        <x:v>0</x:v>
      </x:c>
      <x:c r="H204" s="88" t="n">
        <x:v>1</x:v>
      </x:c>
      <x:c r="I204" s="88" t="str">
        <x:v>Fora da meta principal</x:v>
      </x:c>
      <x:c r="J204" s="89" t="str">
        <x:v>https://hotwheels.fandom.com/wiki/Porsche</x:v>
      </x:c>
    </x:row>
    <x:row r="205">
      <x:c r="A205" s="88" t="str">
        <x:v>Porsche</x:v>
      </x:c>
      <x:c r="B205" s="88" t="str">
        <x:v>Porsche 911 Targa</x:v>
      </x:c>
      <x:c r="C205" s="88" t="str">
        <x:v>Coleção principal (~1:64)</x:v>
      </x:c>
      <x:c r="D205" s="88" t="n">
        <x:v>1994</x:v>
      </x:c>
      <x:c r="E205" s="88" t="n">
        <x:v>2002</x:v>
      </x:c>
      <x:c r="F205" s="88" t="n">
        <x:v>15</x:v>
      </x:c>
      <x:c r="G205" s="88" t="n">
        <x:v>15</x:v>
      </x:c>
      <x:c r="H205" s="88" t="n">
        <x:v>0</x:v>
      </x:c>
      <x:c r="I205" s="88" t="str">
        <x:v>2 — Completar aos poucos</x:v>
      </x:c>
      <x:c r="J205" s="89" t="str">
        <x:v>https://hotwheels.fandom.com/wiki/Porsche_911_Targa</x:v>
      </x:c>
    </x:row>
    <x:row r="206">
      <x:c r="A206" s="88" t="str">
        <x:v>Porsche</x:v>
      </x:c>
      <x:c r="B206" s="88" t="str">
        <x:v>Porsche 911 Turbo (930)</x:v>
      </x:c>
      <x:c r="C206" s="88" t="str">
        <x:v>Coleção principal (~1:64)</x:v>
      </x:c>
      <x:c r="D206" s="88" t="n">
        <x:v>2022</x:v>
      </x:c>
      <x:c r="E206" s="88" t="n">
        <x:v>2024</x:v>
      </x:c>
      <x:c r="F206" s="88" t="n">
        <x:v>5</x:v>
      </x:c>
      <x:c r="G206" s="88" t="n">
        <x:v>5</x:v>
      </x:c>
      <x:c r="H206" s="88" t="n">
        <x:v>0</x:v>
      </x:c>
      <x:c r="I206" s="88" t="str">
        <x:v>1 — Comprar agora</x:v>
      </x:c>
      <x:c r="J206" s="89" t="str">
        <x:v>https://hotwheels.fandom.com/wiki/Porsche_911_Turbo_(930)</x:v>
      </x:c>
    </x:row>
    <x:row r="207">
      <x:c r="A207" s="88" t="str">
        <x:v>Porsche</x:v>
      </x:c>
      <x:c r="B207" s="88" t="str">
        <x:v>Porsche 911 Turbo (Super Hot Wheels)</x:v>
      </x:c>
      <x:c r="C207" s="88" t="str">
        <x:v>Escala 1:43</x:v>
      </x:c>
      <x:c r="D207" s="88" t="n">
        <x:v>1980</x:v>
      </x:c>
      <x:c r="E207" s="88" t="n">
        <x:v>1980</x:v>
      </x:c>
      <x:c r="F207" s="88" t="n">
        <x:v>10</x:v>
      </x:c>
      <x:c r="G207" s="88" t="n">
        <x:v>0</x:v>
      </x:c>
      <x:c r="H207" s="88" t="n">
        <x:v>10</x:v>
      </x:c>
      <x:c r="I207" s="88" t="str">
        <x:v>Fora da meta principal</x:v>
      </x:c>
      <x:c r="J207" s="89" t="str">
        <x:v>https://hotwheels.fandom.com/wiki/Porsche_911_Turbo_(Super_Hot_Wheels)</x:v>
      </x:c>
    </x:row>
    <x:row r="208">
      <x:c r="A208" s="88" t="str">
        <x:v>Porsche</x:v>
      </x:c>
      <x:c r="B208" s="88" t="str">
        <x:v>Porsche 911 Turbo 3.6 (964)</x:v>
      </x:c>
      <x:c r="C208" s="88" t="str">
        <x:v>Coleção principal (~1:64)</x:v>
      </x:c>
      <x:c r="D208" s="88" t="n">
        <x:v>2023</x:v>
      </x:c>
      <x:c r="E208" s="88" t="n">
        <x:v>2025</x:v>
      </x:c>
      <x:c r="F208" s="88" t="n">
        <x:v>4</x:v>
      </x:c>
      <x:c r="G208" s="88" t="n">
        <x:v>4</x:v>
      </x:c>
      <x:c r="H208" s="88" t="n">
        <x:v>0</x:v>
      </x:c>
      <x:c r="I208" s="88" t="str">
        <x:v>1 — Comprar agora</x:v>
      </x:c>
      <x:c r="J208" s="89" t="str">
        <x:v>https://hotwheels.fandom.com/wiki/Porsche_911_Turbo_3.6_(964)</x:v>
      </x:c>
    </x:row>
    <x:row r="209">
      <x:c r="A209" s="88" t="str">
        <x:v>Porsche</x:v>
      </x:c>
      <x:c r="B209" s="88" t="str">
        <x:v>Porsche 911 Turbo Cabriolet</x:v>
      </x:c>
      <x:c r="C209" s="88" t="str">
        <x:v>Coleção principal (~1:64)</x:v>
      </x:c>
      <x:c r="D209" s="88" t="n">
        <x:v>2025</x:v>
      </x:c>
      <x:c r="E209" s="88" t="n">
        <x:v>2026</x:v>
      </x:c>
      <x:c r="F209" s="88" t="n">
        <x:v>5</x:v>
      </x:c>
      <x:c r="G209" s="88" t="n">
        <x:v>5</x:v>
      </x:c>
      <x:c r="H209" s="88" t="n">
        <x:v>0</x:v>
      </x:c>
      <x:c r="I209" s="88" t="str">
        <x:v>1 — Comprar agora</x:v>
      </x:c>
      <x:c r="J209" s="89" t="str">
        <x:v>https://hotwheels.fandom.com/wiki/Porsche_911_Turbo_Cabriolet</x:v>
      </x:c>
    </x:row>
    <x:row r="210">
      <x:c r="A210" s="88" t="str">
        <x:v>Porsche</x:v>
      </x:c>
      <x:c r="B210" s="88" t="str">
        <x:v>Porsche 912</x:v>
      </x:c>
      <x:c r="C210" s="88" t="str">
        <x:v>Linha vintage / escala variável</x:v>
      </x:c>
      <x:c r="D210" s="88" t="n">
        <x:v>1970</x:v>
      </x:c>
      <x:c r="E210" s="88" t="n">
        <x:v>1970</x:v>
      </x:c>
      <x:c r="F210" s="88" t="n">
        <x:v>1</x:v>
      </x:c>
      <x:c r="G210" s="88" t="n">
        <x:v>0</x:v>
      </x:c>
      <x:c r="H210" s="88" t="n">
        <x:v>1</x:v>
      </x:c>
      <x:c r="I210" s="88" t="str">
        <x:v>2 — Completar aos poucos</x:v>
      </x:c>
      <x:c r="J210" s="89" t="str">
        <x:v>https://hotwheels.fandom.com/wiki/Porsche</x:v>
      </x:c>
    </x:row>
    <x:row r="211">
      <x:c r="A211" s="88" t="str">
        <x:v>Porsche</x:v>
      </x:c>
      <x:c r="B211" s="88" t="str">
        <x:v>Porsche 912 Rally</x:v>
      </x:c>
      <x:c r="C211" s="88" t="str">
        <x:v>Linha vintage / escala variável</x:v>
      </x:c>
      <x:c r="D211" s="88" t="n">
        <x:v>1970</x:v>
      </x:c>
      <x:c r="E211" s="88" t="n">
        <x:v>1970</x:v>
      </x:c>
      <x:c r="F211" s="88" t="n">
        <x:v>1</x:v>
      </x:c>
      <x:c r="G211" s="88" t="n">
        <x:v>0</x:v>
      </x:c>
      <x:c r="H211" s="88" t="n">
        <x:v>1</x:v>
      </x:c>
      <x:c r="I211" s="88" t="str">
        <x:v>2 — Completar aos poucos</x:v>
      </x:c>
      <x:c r="J211" s="89" t="str">
        <x:v>https://hotwheels.fandom.com/wiki/Porsche</x:v>
      </x:c>
    </x:row>
    <x:row r="212">
      <x:c r="A212" s="88" t="str">
        <x:v>Porsche</x:v>
      </x:c>
      <x:c r="B212" s="88" t="str">
        <x:v>Porsche 912 Rallye</x:v>
      </x:c>
      <x:c r="C212" s="88" t="str">
        <x:v>Linha vintage / escala variável</x:v>
      </x:c>
      <x:c r="D212" s="88" t="n">
        <x:v>1970</x:v>
      </x:c>
      <x:c r="E212" s="88" t="n">
        <x:v>1970</x:v>
      </x:c>
      <x:c r="F212" s="88" t="n">
        <x:v>1</x:v>
      </x:c>
      <x:c r="G212" s="88" t="n">
        <x:v>0</x:v>
      </x:c>
      <x:c r="H212" s="88" t="n">
        <x:v>1</x:v>
      </x:c>
      <x:c r="I212" s="88" t="str">
        <x:v>2 — Completar aos poucos</x:v>
      </x:c>
      <x:c r="J212" s="89" t="str">
        <x:v>https://hotwheels.fandom.com/wiki/Porsche</x:v>
      </x:c>
    </x:row>
    <x:row r="213">
      <x:c r="A213" s="88" t="str">
        <x:v>Porsche</x:v>
      </x:c>
      <x:c r="B213" s="88" t="str">
        <x:v>Porsche 914 Safari</x:v>
      </x:c>
      <x:c r="C213" s="88" t="str">
        <x:v>Coleção principal (~1:64)</x:v>
      </x:c>
      <x:c r="D213" s="88" t="n">
        <x:v>2020</x:v>
      </x:c>
      <x:c r="E213" s="88" t="n">
        <x:v>2026</x:v>
      </x:c>
      <x:c r="F213" s="88" t="n">
        <x:v>6</x:v>
      </x:c>
      <x:c r="G213" s="88" t="n">
        <x:v>6</x:v>
      </x:c>
      <x:c r="H213" s="88" t="n">
        <x:v>0</x:v>
      </x:c>
      <x:c r="I213" s="88" t="str">
        <x:v>1 — Comprar agora</x:v>
      </x:c>
      <x:c r="J213" s="89" t="str">
        <x:v>https://hotwheels.fandom.com/wiki/Porsche_914_Safari</x:v>
      </x:c>
    </x:row>
    <x:row r="214">
      <x:c r="A214" s="88" t="str">
        <x:v>Porsche</x:v>
      </x:c>
      <x:c r="B214" s="88" t="str">
        <x:v>Porsche 914 Safari (Pull-Back Speeders)</x:v>
      </x:c>
      <x:c r="C214" s="88" t="str">
        <x:v>Pull-Back</x:v>
      </x:c>
      <x:c r="D214" s="88" t="n">
        <x:v>2024</x:v>
      </x:c>
      <x:c r="E214" s="88" t="n">
        <x:v>2026</x:v>
      </x:c>
      <x:c r="F214" s="88" t="n">
        <x:v>5</x:v>
      </x:c>
      <x:c r="G214" s="88" t="n">
        <x:v>0</x:v>
      </x:c>
      <x:c r="H214" s="88" t="n">
        <x:v>5</x:v>
      </x:c>
      <x:c r="I214" s="88" t="str">
        <x:v>Fora da meta principal</x:v>
      </x:c>
      <x:c r="J214" s="89" t="str">
        <x:v>https://hotwheels.fandom.com/wiki/Porsche_914_Safari_(Pull-Back_Speeders)</x:v>
      </x:c>
    </x:row>
    <x:row r="215">
      <x:c r="A215" s="88" t="str">
        <x:v>Porsche</x:v>
      </x:c>
      <x:c r="B215" s="88" t="str">
        <x:v>Porsche 914-6</x:v>
      </x:c>
      <x:c r="C215" s="88" t="str">
        <x:v>Coleção principal (~1:64)</x:v>
      </x:c>
      <x:c r="D215" s="88" t="n">
        <x:v>2012</x:v>
      </x:c>
      <x:c r="E215" s="88" t="n">
        <x:v>2024</x:v>
      </x:c>
      <x:c r="F215" s="88" t="n">
        <x:v>6</x:v>
      </x:c>
      <x:c r="G215" s="88" t="n">
        <x:v>6</x:v>
      </x:c>
      <x:c r="H215" s="88" t="n">
        <x:v>0</x:v>
      </x:c>
      <x:c r="I215" s="88" t="str">
        <x:v>2 — Completar aos poucos</x:v>
      </x:c>
      <x:c r="J215" s="89" t="str">
        <x:v>https://hotwheels.fandom.com/wiki/Porsche_914-6</x:v>
      </x:c>
    </x:row>
    <x:row r="216">
      <x:c r="A216" s="88" t="str">
        <x:v>Porsche</x:v>
      </x:c>
      <x:c r="B216" s="88" t="str">
        <x:v>Porsche 917</x:v>
      </x:c>
      <x:c r="C216" s="88" t="str">
        <x:v>Coleção principal (~1:64)</x:v>
      </x:c>
      <x:c r="D216" s="88" t="n">
        <x:v>1970</x:v>
      </x:c>
      <x:c r="E216" s="88" t="n">
        <x:v>2012</x:v>
      </x:c>
      <x:c r="F216" s="88" t="n">
        <x:v>31</x:v>
      </x:c>
      <x:c r="G216" s="88" t="n">
        <x:v>31</x:v>
      </x:c>
      <x:c r="H216" s="88" t="n">
        <x:v>0</x:v>
      </x:c>
      <x:c r="I216" s="88" t="str">
        <x:v>2 — Completar aos poucos</x:v>
      </x:c>
      <x:c r="J216" s="89" t="str">
        <x:v>https://hotwheels.fandom.com/wiki/Porsche_917</x:v>
      </x:c>
    </x:row>
    <x:row r="217">
      <x:c r="A217" s="88" t="str">
        <x:v>Porsche</x:v>
      </x:c>
      <x:c r="B217" s="88" t="str">
        <x:v>Porsche 917 (Gran Toros)</x:v>
      </x:c>
      <x:c r="C217" s="88" t="str">
        <x:v>Linha vintage / escala variável</x:v>
      </x:c>
      <x:c r="D217" s="88" t="n">
        <x:v>1970</x:v>
      </x:c>
      <x:c r="E217" s="88" t="n">
        <x:v>1970</x:v>
      </x:c>
      <x:c r="F217" s="88" t="n">
        <x:v>3</x:v>
      </x:c>
      <x:c r="G217" s="88" t="n">
        <x:v>0</x:v>
      </x:c>
      <x:c r="H217" s="88" t="n">
        <x:v>3</x:v>
      </x:c>
      <x:c r="I217" s="88" t="str">
        <x:v>2 — Completar aos poucos</x:v>
      </x:c>
      <x:c r="J217" s="89" t="str">
        <x:v>https://hotwheels.fandom.com/wiki/Porsche_917_(Gran_Toros)</x:v>
      </x:c>
    </x:row>
    <x:row r="218">
      <x:c r="A218" s="88" t="str">
        <x:v>Porsche</x:v>
      </x:c>
      <x:c r="B218" s="88" t="str">
        <x:v>Porsche 917 LH</x:v>
      </x:c>
      <x:c r="C218" s="88" t="str">
        <x:v>Coleção principal (~1:64)</x:v>
      </x:c>
      <x:c r="D218" s="88" t="n">
        <x:v>2018</x:v>
      </x:c>
      <x:c r="E218" s="88" t="n">
        <x:v>2026</x:v>
      </x:c>
      <x:c r="F218" s="88" t="n">
        <x:v>12</x:v>
      </x:c>
      <x:c r="G218" s="88" t="n">
        <x:v>12</x:v>
      </x:c>
      <x:c r="H218" s="88" t="n">
        <x:v>0</x:v>
      </x:c>
      <x:c r="I218" s="88" t="str">
        <x:v>1 — Comprar agora</x:v>
      </x:c>
      <x:c r="J218" s="89" t="str">
        <x:v>https://hotwheels.fandom.com/wiki/Porsche_917_LH</x:v>
      </x:c>
    </x:row>
    <x:row r="219">
      <x:c r="A219" s="88" t="str">
        <x:v>Porsche</x:v>
      </x:c>
      <x:c r="B219" s="88" t="str">
        <x:v>Porsche 917K</x:v>
      </x:c>
      <x:c r="C219" s="88" t="str">
        <x:v>Coleção principal (~1:64)</x:v>
      </x:c>
      <x:c r="D219" s="88" t="n">
        <x:v>2026</x:v>
      </x:c>
      <x:c r="E219" s="88" t="n">
        <x:v>2026</x:v>
      </x:c>
      <x:c r="F219" s="88" t="n">
        <x:v>1</x:v>
      </x:c>
      <x:c r="G219" s="88" t="n">
        <x:v>1</x:v>
      </x:c>
      <x:c r="H219" s="88" t="n">
        <x:v>0</x:v>
      </x:c>
      <x:c r="I219" s="88" t="str">
        <x:v>1 — Comprar agora</x:v>
      </x:c>
      <x:c r="J219" s="89" t="str">
        <x:v>https://hotwheels.fandom.com/wiki/Porsche_917K</x:v>
      </x:c>
    </x:row>
    <x:row r="220">
      <x:c r="A220" s="88" t="str">
        <x:v>Porsche</x:v>
      </x:c>
      <x:c r="B220" s="88" t="str">
        <x:v>Porsche 917KH</x:v>
      </x:c>
      <x:c r="C220" s="88" t="str">
        <x:v>Coleção principal (~1:64)</x:v>
      </x:c>
      <x:c r="D220" s="88" t="n">
        <x:v>1999</x:v>
      </x:c>
      <x:c r="E220" s="88" t="n">
        <x:v>2025</x:v>
      </x:c>
      <x:c r="F220" s="88" t="n">
        <x:v>10</x:v>
      </x:c>
      <x:c r="G220" s="88" t="n">
        <x:v>10</x:v>
      </x:c>
      <x:c r="H220" s="88" t="n">
        <x:v>0</x:v>
      </x:c>
      <x:c r="I220" s="88" t="str">
        <x:v>1 — Comprar agora</x:v>
      </x:c>
      <x:c r="J220" s="89" t="str">
        <x:v>https://hotwheels.fandom.com/wiki/Porsche_917KH</x:v>
      </x:c>
    </x:row>
    <x:row r="221">
      <x:c r="A221" s="88" t="str">
        <x:v>Porsche</x:v>
      </x:c>
      <x:c r="B221" s="88" t="str">
        <x:v>Porsche 918 Spyder</x:v>
      </x:c>
      <x:c r="C221" s="88" t="str">
        <x:v>Coleção principal (~1:64)</x:v>
      </x:c>
      <x:c r="D221" s="88" t="n">
        <x:v>2018</x:v>
      </x:c>
      <x:c r="E221" s="88" t="n">
        <x:v>2024</x:v>
      </x:c>
      <x:c r="F221" s="88" t="n">
        <x:v>11</x:v>
      </x:c>
      <x:c r="G221" s="88" t="n">
        <x:v>11</x:v>
      </x:c>
      <x:c r="H221" s="88" t="n">
        <x:v>0</x:v>
      </x:c>
      <x:c r="I221" s="88" t="str">
        <x:v>1 — Comprar agora</x:v>
      </x:c>
      <x:c r="J221" s="89" t="str">
        <x:v>https://hotwheels.fandom.com/wiki/Porsche_918_Spyder</x:v>
      </x:c>
    </x:row>
    <x:row r="222">
      <x:c r="A222" s="88" t="str">
        <x:v>Porsche</x:v>
      </x:c>
      <x:c r="B222" s="88" t="str">
        <x:v>Porsche 918 Spyder (2013)</x:v>
      </x:c>
      <x:c r="C222" s="88" t="str">
        <x:v>Coleção principal (~1:64)</x:v>
      </x:c>
      <x:c r="D222" s="88" t="n">
        <x:v>2013</x:v>
      </x:c>
      <x:c r="E222" s="88" t="n">
        <x:v>2015</x:v>
      </x:c>
      <x:c r="F222" s="88" t="n">
        <x:v>4</x:v>
      </x:c>
      <x:c r="G222" s="88" t="n">
        <x:v>4</x:v>
      </x:c>
      <x:c r="H222" s="88" t="n">
        <x:v>0</x:v>
      </x:c>
      <x:c r="I222" s="88" t="str">
        <x:v>2 — Completar aos poucos</x:v>
      </x:c>
      <x:c r="J222" s="89" t="str">
        <x:v>https://hotwheels.fandom.com/wiki/Porsche_918_Spyder_(2013)</x:v>
      </x:c>
    </x:row>
    <x:row r="223">
      <x:c r="A223" s="88" t="str">
        <x:v>Porsche</x:v>
      </x:c>
      <x:c r="B223" s="88" t="str">
        <x:v>Porsche 924 (Mebetoys)</x:v>
      </x:c>
      <x:c r="C223" s="88" t="str">
        <x:v>Escala 1:43</x:v>
      </x:c>
      <x:c r="D223" s="88" t="n">
        <x:v>1980</x:v>
      </x:c>
      <x:c r="E223" s="88" t="n">
        <x:v>1980</x:v>
      </x:c>
      <x:c r="F223" s="88" t="n">
        <x:v>9</x:v>
      </x:c>
      <x:c r="G223" s="88" t="n">
        <x:v>0</x:v>
      </x:c>
      <x:c r="H223" s="88" t="n">
        <x:v>9</x:v>
      </x:c>
      <x:c r="I223" s="88" t="str">
        <x:v>Fora da meta principal</x:v>
      </x:c>
      <x:c r="J223" s="89" t="str">
        <x:v>https://hotwheels.fandom.com/wiki/Porsche_924_(Mebetoys)</x:v>
      </x:c>
    </x:row>
    <x:row r="224">
      <x:c r="A224" s="88" t="str">
        <x:v>Porsche</x:v>
      </x:c>
      <x:c r="B224" s="88" t="str">
        <x:v>Porsche 928 Rally</x:v>
      </x:c>
      <x:c r="C224" s="88" t="str">
        <x:v>Escala 1:25</x:v>
      </x:c>
      <x:c r="D224" s="88" t="n">
        <x:v>1982</x:v>
      </x:c>
      <x:c r="E224" s="88" t="n">
        <x:v>1982</x:v>
      </x:c>
      <x:c r="F224" s="88" t="n">
        <x:v>1</x:v>
      </x:c>
      <x:c r="G224" s="88" t="n">
        <x:v>0</x:v>
      </x:c>
      <x:c r="H224" s="88" t="n">
        <x:v>1</x:v>
      </x:c>
      <x:c r="I224" s="88" t="str">
        <x:v>Fora da meta principal</x:v>
      </x:c>
      <x:c r="J224" s="89" t="str">
        <x:v>https://hotwheels.fandom.com/wiki/Porsche</x:v>
      </x:c>
    </x:row>
    <x:row r="225">
      <x:c r="A225" s="88" t="str">
        <x:v>Porsche</x:v>
      </x:c>
      <x:c r="B225" s="88" t="str">
        <x:v>Porsche 928 Safari</x:v>
      </x:c>
      <x:c r="C225" s="88" t="str">
        <x:v>Coleção principal (~1:64)</x:v>
      </x:c>
      <x:c r="D225" s="88" t="n">
        <x:v>2024</x:v>
      </x:c>
      <x:c r="E225" s="88" t="n">
        <x:v>2024</x:v>
      </x:c>
      <x:c r="F225" s="88" t="n">
        <x:v>1</x:v>
      </x:c>
      <x:c r="G225" s="88" t="n">
        <x:v>1</x:v>
      </x:c>
      <x:c r="H225" s="88" t="n">
        <x:v>0</x:v>
      </x:c>
      <x:c r="I225" s="88" t="str">
        <x:v>1 — Comprar agora</x:v>
      </x:c>
      <x:c r="J225" s="89" t="str">
        <x:v>https://hotwheels.fandom.com/wiki/Porsche_928_Safari</x:v>
      </x:c>
    </x:row>
    <x:row r="226">
      <x:c r="A226" s="88" t="str">
        <x:v>Porsche</x:v>
      </x:c>
      <x:c r="B226" s="88" t="str">
        <x:v>Porsche 928S Safari</x:v>
      </x:c>
      <x:c r="C226" s="88" t="str">
        <x:v>Coleção principal (~1:64)</x:v>
      </x:c>
      <x:c r="D226" s="88" t="n">
        <x:v>2023</x:v>
      </x:c>
      <x:c r="E226" s="88" t="n">
        <x:v>2025</x:v>
      </x:c>
      <x:c r="F226" s="88" t="n">
        <x:v>3</x:v>
      </x:c>
      <x:c r="G226" s="88" t="n">
        <x:v>3</x:v>
      </x:c>
      <x:c r="H226" s="88" t="n">
        <x:v>0</x:v>
      </x:c>
      <x:c r="I226" s="88" t="str">
        <x:v>2 — Completar aos poucos</x:v>
      </x:c>
      <x:c r="J226" s="89" t="str">
        <x:v>https://hotwheels.fandom.com/wiki/Porsche_928S_Safari</x:v>
      </x:c>
    </x:row>
    <x:row r="227">
      <x:c r="A227" s="88" t="str">
        <x:v>Porsche</x:v>
      </x:c>
      <x:c r="B227" s="88" t="str">
        <x:v>Porsche 930</x:v>
      </x:c>
      <x:c r="C227" s="88" t="str">
        <x:v>Coleção principal (~1:64)</x:v>
      </x:c>
      <x:c r="D227" s="88" t="n">
        <x:v>1991</x:v>
      </x:c>
      <x:c r="E227" s="88" t="n">
        <x:v>2026</x:v>
      </x:c>
      <x:c r="F227" s="88" t="n">
        <x:v>38</x:v>
      </x:c>
      <x:c r="G227" s="88" t="n">
        <x:v>38</x:v>
      </x:c>
      <x:c r="H227" s="88" t="n">
        <x:v>0</x:v>
      </x:c>
      <x:c r="I227" s="88" t="str">
        <x:v>1 — Comprar agora</x:v>
      </x:c>
      <x:c r="J227" s="89" t="str">
        <x:v>https://hotwheels.fandom.com/wiki/Porsche_930</x:v>
      </x:c>
    </x:row>
    <x:row r="228">
      <x:c r="A228" s="88" t="str">
        <x:v>Porsche</x:v>
      </x:c>
      <x:c r="B228" s="88" t="str">
        <x:v>Porsche 930 (Flat Outs)</x:v>
      </x:c>
      <x:c r="C228" s="88" t="str">
        <x:v>Não lançado / protótipo</x:v>
      </x:c>
      <x:c r="D228" s="88" t="n">
        <x:v>1989</x:v>
      </x:c>
      <x:c r="E228" s="88" t="n">
        <x:v>1989</x:v>
      </x:c>
      <x:c r="F228" s="88" t="n">
        <x:v>2</x:v>
      </x:c>
      <x:c r="G228" s="88" t="n">
        <x:v>0</x:v>
      </x:c>
      <x:c r="H228" s="88" t="n">
        <x:v>2</x:v>
      </x:c>
      <x:c r="I228" s="88" t="str">
        <x:v>Fora da meta principal</x:v>
      </x:c>
      <x:c r="J228" s="89" t="str">
        <x:v>https://hotwheels.fandom.com/wiki/Porsche_930_(Flat_Outs)</x:v>
      </x:c>
    </x:row>
    <x:row r="229">
      <x:c r="A229" s="88" t="str">
        <x:v>Porsche</x:v>
      </x:c>
      <x:c r="B229" s="88" t="str">
        <x:v>Porsche 930 Turbo</x:v>
      </x:c>
      <x:c r="C229" s="88" t="str">
        <x:v>Coleção principal (~1:64)</x:v>
      </x:c>
      <x:c r="D229" s="88" t="n">
        <x:v>1999</x:v>
      </x:c>
      <x:c r="E229" s="88" t="n">
        <x:v>2003</x:v>
      </x:c>
      <x:c r="F229" s="88" t="n">
        <x:v>5</x:v>
      </x:c>
      <x:c r="G229" s="88" t="n">
        <x:v>5</x:v>
      </x:c>
      <x:c r="H229" s="88" t="n">
        <x:v>0</x:v>
      </x:c>
      <x:c r="I229" s="88" t="str">
        <x:v>2 — Completar aos poucos</x:v>
      </x:c>
      <x:c r="J229" s="89" t="str">
        <x:v>https://hotwheels.fandom.com/wiki/Porsche_930_Turbo</x:v>
      </x:c>
    </x:row>
    <x:row r="230">
      <x:c r="A230" s="88" t="str">
        <x:v>Porsche</x:v>
      </x:c>
      <x:c r="B230" s="88" t="str">
        <x:v>Porsche 934 Turbo RSR</x:v>
      </x:c>
      <x:c r="C230" s="88" t="str">
        <x:v>Coleção principal (~1:64)</x:v>
      </x:c>
      <x:c r="D230" s="88" t="n">
        <x:v>2014</x:v>
      </x:c>
      <x:c r="E230" s="88" t="n">
        <x:v>2025</x:v>
      </x:c>
      <x:c r="F230" s="88" t="n">
        <x:v>16</x:v>
      </x:c>
      <x:c r="G230" s="88" t="n">
        <x:v>16</x:v>
      </x:c>
      <x:c r="H230" s="88" t="n">
        <x:v>0</x:v>
      </x:c>
      <x:c r="I230" s="88" t="str">
        <x:v>1 — Comprar agora</x:v>
      </x:c>
      <x:c r="J230" s="89" t="str">
        <x:v>https://hotwheels.fandom.com/wiki/Porsche_934_Turbo_RSR</x:v>
      </x:c>
    </x:row>
    <x:row r="231">
      <x:c r="A231" s="88" t="str">
        <x:v>Porsche</x:v>
      </x:c>
      <x:c r="B231" s="88" t="str">
        <x:v>Porsche 934.5</x:v>
      </x:c>
      <x:c r="C231" s="88" t="str">
        <x:v>Coleção principal (~1:64)</x:v>
      </x:c>
      <x:c r="D231" s="88" t="n">
        <x:v>2017</x:v>
      </x:c>
      <x:c r="E231" s="88" t="n">
        <x:v>2026</x:v>
      </x:c>
      <x:c r="F231" s="88" t="n">
        <x:v>10</x:v>
      </x:c>
      <x:c r="G231" s="88" t="n">
        <x:v>10</x:v>
      </x:c>
      <x:c r="H231" s="88" t="n">
        <x:v>0</x:v>
      </x:c>
      <x:c r="I231" s="88" t="str">
        <x:v>1 — Comprar agora</x:v>
      </x:c>
      <x:c r="J231" s="89" t="str">
        <x:v>https://hotwheels.fandom.com/wiki/Porsche_934.5</x:v>
      </x:c>
    </x:row>
    <x:row r="232">
      <x:c r="A232" s="88" t="str">
        <x:v>Porsche</x:v>
      </x:c>
      <x:c r="B232" s="88" t="str">
        <x:v>Porsche 934.5 (Hot Wheels XL)</x:v>
      </x:c>
      <x:c r="C232" s="88" t="str">
        <x:v>Hot Wheels XL</x:v>
      </x:c>
      <x:c r="D232" s="88" t="n">
        <x:v>2026</x:v>
      </x:c>
      <x:c r="E232" s="88" t="n">
        <x:v>2026</x:v>
      </x:c>
      <x:c r="F232" s="88" t="n">
        <x:v>2</x:v>
      </x:c>
      <x:c r="G232" s="88" t="n">
        <x:v>0</x:v>
      </x:c>
      <x:c r="H232" s="88" t="n">
        <x:v>2</x:v>
      </x:c>
      <x:c r="I232" s="88" t="str">
        <x:v>Fora da meta principal</x:v>
      </x:c>
      <x:c r="J232" s="89" t="str">
        <x:v>https://hotwheels.fandom.com/wiki/Porsche_934.5_(Hot_Wheels_XL)</x:v>
      </x:c>
    </x:row>
    <x:row r="233">
      <x:c r="A233" s="88" t="str">
        <x:v>Porsche</x:v>
      </x:c>
      <x:c r="B233" s="88" t="str">
        <x:v>Porsche 935 (2021)</x:v>
      </x:c>
      <x:c r="C233" s="88" t="str">
        <x:v>Coleção principal (~1:64)</x:v>
      </x:c>
      <x:c r="D233" s="88" t="n">
        <x:v>2021</x:v>
      </x:c>
      <x:c r="E233" s="88" t="n">
        <x:v>2026</x:v>
      </x:c>
      <x:c r="F233" s="88" t="n">
        <x:v>10</x:v>
      </x:c>
      <x:c r="G233" s="88" t="n">
        <x:v>10</x:v>
      </x:c>
      <x:c r="H233" s="88" t="n">
        <x:v>0</x:v>
      </x:c>
      <x:c r="I233" s="88" t="str">
        <x:v>1 — Comprar agora</x:v>
      </x:c>
      <x:c r="J233" s="89" t="str">
        <x:v>https://hotwheels.fandom.com/wiki/Porsche_935_(2021)</x:v>
      </x:c>
    </x:row>
    <x:row r="234">
      <x:c r="A234" s="88" t="str">
        <x:v>Porsche</x:v>
      </x:c>
      <x:c r="B234" s="88" t="str">
        <x:v>Porsche 935 (2022)</x:v>
      </x:c>
      <x:c r="C234" s="88" t="str">
        <x:v>Coleção principal (~1:64)</x:v>
      </x:c>
      <x:c r="D234" s="88" t="n">
        <x:v>2022</x:v>
      </x:c>
      <x:c r="E234" s="88" t="n">
        <x:v>2026</x:v>
      </x:c>
      <x:c r="F234" s="88" t="n">
        <x:v>13</x:v>
      </x:c>
      <x:c r="G234" s="88" t="n">
        <x:v>13</x:v>
      </x:c>
      <x:c r="H234" s="88" t="n">
        <x:v>0</x:v>
      </x:c>
      <x:c r="I234" s="88" t="str">
        <x:v>1 — Comprar agora</x:v>
      </x:c>
      <x:c r="J234" s="89" t="str">
        <x:v>https://hotwheels.fandom.com/wiki/Porsche_935_(2022)</x:v>
      </x:c>
    </x:row>
    <x:row r="235">
      <x:c r="A235" s="88" t="str">
        <x:v>Porsche</x:v>
      </x:c>
      <x:c r="B235" s="88" t="str">
        <x:v>Porsche 935 (Corgi)</x:v>
      </x:c>
      <x:c r="C235" s="88" t="str">
        <x:v>Coleção principal (~1:64)</x:v>
      </x:c>
      <x:c r="D235" s="88" t="n">
        <x:v>1994</x:v>
      </x:c>
      <x:c r="E235" s="88" t="n">
        <x:v>1998</x:v>
      </x:c>
      <x:c r="F235" s="88" t="n">
        <x:v>4</x:v>
      </x:c>
      <x:c r="G235" s="88" t="n">
        <x:v>4</x:v>
      </x:c>
      <x:c r="H235" s="88" t="n">
        <x:v>0</x:v>
      </x:c>
      <x:c r="I235" s="88" t="str">
        <x:v>2 — Completar aos poucos</x:v>
      </x:c>
      <x:c r="J235" s="89" t="str">
        <x:v>https://hotwheels.fandom.com/wiki/Porsche_935_(Corgi)</x:v>
      </x:c>
    </x:row>
    <x:row r="236">
      <x:c r="A236" s="88" t="str">
        <x:v>Porsche</x:v>
      </x:c>
      <x:c r="B236" s="88" t="str">
        <x:v>Porsche 944 Dirtmeister</x:v>
      </x:c>
      <x:c r="C236" s="88" t="str">
        <x:v>Coleção principal (~1:64)</x:v>
      </x:c>
      <x:c r="D236" s="88" t="n">
        <x:v>2024</x:v>
      </x:c>
      <x:c r="E236" s="88" t="n">
        <x:v>2024</x:v>
      </x:c>
      <x:c r="F236" s="88" t="n">
        <x:v>2</x:v>
      </x:c>
      <x:c r="G236" s="88" t="n">
        <x:v>2</x:v>
      </x:c>
      <x:c r="H236" s="88" t="n">
        <x:v>0</x:v>
      </x:c>
      <x:c r="I236" s="88" t="str">
        <x:v>1 — Comprar agora</x:v>
      </x:c>
      <x:c r="J236" s="89" t="str">
        <x:v>https://hotwheels.fandom.com/wiki/Porsche_944_Dirtmeister</x:v>
      </x:c>
    </x:row>
    <x:row r="237">
      <x:c r="A237" s="88" t="str">
        <x:v>Porsche</x:v>
      </x:c>
      <x:c r="B237" s="88" t="str">
        <x:v>Porsche 956 (1:43 Turbos Collection)</x:v>
      </x:c>
      <x:c r="C237" s="88" t="str">
        <x:v>Escala 1:43</x:v>
      </x:c>
      <x:c r="D237" s="88" t="n">
        <x:v>1996</x:v>
      </x:c>
      <x:c r="E237" s="88" t="n">
        <x:v>1996</x:v>
      </x:c>
      <x:c r="F237" s="88" t="n">
        <x:v>2</x:v>
      </x:c>
      <x:c r="G237" s="88" t="n">
        <x:v>0</x:v>
      </x:c>
      <x:c r="H237" s="88" t="n">
        <x:v>2</x:v>
      </x:c>
      <x:c r="I237" s="88" t="str">
        <x:v>Fora da meta principal</x:v>
      </x:c>
      <x:c r="J237" s="89" t="str">
        <x:v>https://hotwheels.fandom.com/wiki/Porsche_956_(1:43_Turbos_Collection)</x:v>
      </x:c>
    </x:row>
    <x:row r="238">
      <x:c r="A238" s="88" t="str">
        <x:v>Porsche</x:v>
      </x:c>
      <x:c r="B238" s="88" t="str">
        <x:v>Porsche 959</x:v>
      </x:c>
      <x:c r="C238" s="88" t="str">
        <x:v>Coleção principal (~1:64)</x:v>
      </x:c>
      <x:c r="D238" s="88" t="n">
        <x:v>1988</x:v>
      </x:c>
      <x:c r="E238" s="88" t="n">
        <x:v>2015</x:v>
      </x:c>
      <x:c r="F238" s="88" t="n">
        <x:v>70</x:v>
      </x:c>
      <x:c r="G238" s="88" t="n">
        <x:v>70</x:v>
      </x:c>
      <x:c r="H238" s="88" t="n">
        <x:v>0</x:v>
      </x:c>
      <x:c r="I238" s="88" t="str">
        <x:v>2 — Completar aos poucos</x:v>
      </x:c>
      <x:c r="J238" s="89" t="str">
        <x:v>https://hotwheels.fandom.com/wiki/Porsche_959</x:v>
      </x:c>
    </x:row>
    <x:row r="239">
      <x:c r="A239" s="88" t="str">
        <x:v>Porsche</x:v>
      </x:c>
      <x:c r="B239" s="88" t="str">
        <x:v>Porsche 959 (1986)</x:v>
      </x:c>
      <x:c r="C239" s="88" t="str">
        <x:v>Coleção principal (~1:64)</x:v>
      </x:c>
      <x:c r="D239" s="88" t="n">
        <x:v>2020</x:v>
      </x:c>
      <x:c r="E239" s="88" t="n">
        <x:v>2023</x:v>
      </x:c>
      <x:c r="F239" s="88" t="n">
        <x:v>3</x:v>
      </x:c>
      <x:c r="G239" s="88" t="n">
        <x:v>3</x:v>
      </x:c>
      <x:c r="H239" s="88" t="n">
        <x:v>0</x:v>
      </x:c>
      <x:c r="I239" s="88" t="str">
        <x:v>2 — Completar aos poucos</x:v>
      </x:c>
      <x:c r="J239" s="89" t="str">
        <x:v>https://hotwheels.fandom.com/wiki/Porsche_959_(1986)</x:v>
      </x:c>
    </x:row>
    <x:row r="240">
      <x:c r="A240" s="88" t="str">
        <x:v>Porsche</x:v>
      </x:c>
      <x:c r="B240" s="88" t="str">
        <x:v>Porsche 959 (micro)</x:v>
      </x:c>
      <x:c r="C240" s="88" t="str">
        <x:v>Micro</x:v>
      </x:c>
      <x:c r="D240" s="88" t="n">
        <x:v>1990</x:v>
      </x:c>
      <x:c r="E240" s="88" t="n">
        <x:v>1990</x:v>
      </x:c>
      <x:c r="F240" s="88" t="n">
        <x:v>10</x:v>
      </x:c>
      <x:c r="G240" s="88" t="n">
        <x:v>0</x:v>
      </x:c>
      <x:c r="H240" s="88" t="n">
        <x:v>10</x:v>
      </x:c>
      <x:c r="I240" s="88" t="str">
        <x:v>Fora da meta principal</x:v>
      </x:c>
      <x:c r="J240" s="89" t="str">
        <x:v>https://hotwheels.fandom.com/wiki/Porsche_959_(micro)</x:v>
      </x:c>
    </x:row>
    <x:row r="241">
      <x:c r="A241" s="88" t="str">
        <x:v>Porsche</x:v>
      </x:c>
      <x:c r="B241" s="88" t="str">
        <x:v>Porsche 959 (RLC)</x:v>
      </x:c>
      <x:c r="C241" s="88" t="str">
        <x:v>Coleção principal (~1:64)</x:v>
      </x:c>
      <x:c r="D241" s="88" t="n">
        <x:v>2023</x:v>
      </x:c>
      <x:c r="E241" s="88" t="n">
        <x:v>2026</x:v>
      </x:c>
      <x:c r="F241" s="88" t="n">
        <x:v>6</x:v>
      </x:c>
      <x:c r="G241" s="88" t="n">
        <x:v>6</x:v>
      </x:c>
      <x:c r="H241" s="88" t="n">
        <x:v>0</x:v>
      </x:c>
      <x:c r="I241" s="88" t="str">
        <x:v>3 — Caça de longo prazo</x:v>
      </x:c>
      <x:c r="J241" s="89" t="str">
        <x:v>https://hotwheels.fandom.com/wiki/Porsche_959_(RLC)</x:v>
      </x:c>
    </x:row>
    <x:row r="242">
      <x:c r="A242" s="88" t="str">
        <x:v>Porsche</x:v>
      </x:c>
      <x:c r="B242" s="88" t="str">
        <x:v>Porsche 962</x:v>
      </x:c>
      <x:c r="C242" s="88" t="str">
        <x:v>Coleção principal (~1:64)</x:v>
      </x:c>
      <x:c r="D242" s="88" t="n">
        <x:v>2017</x:v>
      </x:c>
      <x:c r="E242" s="88" t="n">
        <x:v>2025</x:v>
      </x:c>
      <x:c r="F242" s="88" t="n">
        <x:v>9</x:v>
      </x:c>
      <x:c r="G242" s="88" t="n">
        <x:v>9</x:v>
      </x:c>
      <x:c r="H242" s="88" t="n">
        <x:v>0</x:v>
      </x:c>
      <x:c r="I242" s="88" t="str">
        <x:v>1 — Comprar agora</x:v>
      </x:c>
      <x:c r="J242" s="89" t="str">
        <x:v>https://hotwheels.fandom.com/wiki/Porsche_962</x:v>
      </x:c>
    </x:row>
    <x:row r="243">
      <x:c r="A243" s="88" t="str">
        <x:v>Porsche</x:v>
      </x:c>
      <x:c r="B243" s="88" t="str">
        <x:v>Porsche 963</x:v>
      </x:c>
      <x:c r="C243" s="88" t="str">
        <x:v>Coleção principal (~1:64)</x:v>
      </x:c>
      <x:c r="D243" s="88" t="n">
        <x:v>2025</x:v>
      </x:c>
      <x:c r="E243" s="88" t="n">
        <x:v>2025</x:v>
      </x:c>
      <x:c r="F243" s="88" t="n">
        <x:v>1</x:v>
      </x:c>
      <x:c r="G243" s="88" t="n">
        <x:v>1</x:v>
      </x:c>
      <x:c r="H243" s="88" t="n">
        <x:v>0</x:v>
      </x:c>
      <x:c r="I243" s="88" t="str">
        <x:v>1 — Comprar agora</x:v>
      </x:c>
      <x:c r="J243" s="89" t="str">
        <x:v>https://hotwheels.fandom.com/wiki/Porsche_963</x:v>
      </x:c>
    </x:row>
    <x:row r="244">
      <x:c r="A244" s="88" t="str">
        <x:v>Porsche</x:v>
      </x:c>
      <x:c r="B244" s="88" t="str">
        <x:v>Porsche 964</x:v>
      </x:c>
      <x:c r="C244" s="88" t="str">
        <x:v>Coleção principal (~1:64)</x:v>
      </x:c>
      <x:c r="D244" s="88" t="n">
        <x:v>2016</x:v>
      </x:c>
      <x:c r="E244" s="88" t="n">
        <x:v>2024</x:v>
      </x:c>
      <x:c r="F244" s="88" t="n">
        <x:v>5</x:v>
      </x:c>
      <x:c r="G244" s="88" t="n">
        <x:v>5</x:v>
      </x:c>
      <x:c r="H244" s="88" t="n">
        <x:v>0</x:v>
      </x:c>
      <x:c r="I244" s="88" t="str">
        <x:v>1 — Comprar agora</x:v>
      </x:c>
      <x:c r="J244" s="89" t="str">
        <x:v>https://hotwheels.fandom.com/wiki/Porsche_964</x:v>
      </x:c>
    </x:row>
    <x:row r="245">
      <x:c r="A245" s="88" t="str">
        <x:v>Porsche</x:v>
      </x:c>
      <x:c r="B245" s="88" t="str">
        <x:v>Porsche 964 (RLC)</x:v>
      </x:c>
      <x:c r="C245" s="88" t="str">
        <x:v>Coleção principal (~1:64)</x:v>
      </x:c>
      <x:c r="D245" s="88" t="n">
        <x:v>2019</x:v>
      </x:c>
      <x:c r="E245" s="88" t="n">
        <x:v>2023</x:v>
      </x:c>
      <x:c r="F245" s="88" t="n">
        <x:v>3</x:v>
      </x:c>
      <x:c r="G245" s="88" t="n">
        <x:v>3</x:v>
      </x:c>
      <x:c r="H245" s="88" t="n">
        <x:v>0</x:v>
      </x:c>
      <x:c r="I245" s="88" t="str">
        <x:v>3 — Caça de longo prazo</x:v>
      </x:c>
      <x:c r="J245" s="89" t="str">
        <x:v>https://hotwheels.fandom.com/wiki/Porsche_964_(RLC)</x:v>
      </x:c>
    </x:row>
    <x:row r="246">
      <x:c r="A246" s="88" t="str">
        <x:v>Porsche</x:v>
      </x:c>
      <x:c r="B246" s="88" t="str">
        <x:v>Porsche 993 GT2</x:v>
      </x:c>
      <x:c r="C246" s="88" t="str">
        <x:v>Coleção principal (~1:64)</x:v>
      </x:c>
      <x:c r="D246" s="88" t="n">
        <x:v>2013</x:v>
      </x:c>
      <x:c r="E246" s="88" t="n">
        <x:v>2026</x:v>
      </x:c>
      <x:c r="F246" s="88" t="n">
        <x:v>20</x:v>
      </x:c>
      <x:c r="G246" s="88" t="n">
        <x:v>20</x:v>
      </x:c>
      <x:c r="H246" s="88" t="n">
        <x:v>0</x:v>
      </x:c>
      <x:c r="I246" s="88" t="str">
        <x:v>1 — Comprar agora</x:v>
      </x:c>
      <x:c r="J246" s="89" t="str">
        <x:v>https://hotwheels.fandom.com/wiki/Porsche_993_GT2</x:v>
      </x:c>
    </x:row>
    <x:row r="247">
      <x:c r="A247" s="88" t="str">
        <x:v>Porsche</x:v>
      </x:c>
      <x:c r="B247" s="88" t="str">
        <x:v>Porsche Boxster (prototype)</x:v>
      </x:c>
      <x:c r="C247" s="88" t="str">
        <x:v>Não lançado / protótipo</x:v>
      </x:c>
      <x:c r="D247" s="88" t="n">
        <x:v>1996</x:v>
      </x:c>
      <x:c r="E247" s="88" t="n">
        <x:v>1996</x:v>
      </x:c>
      <x:c r="F247" s="88" t="n">
        <x:v>1</x:v>
      </x:c>
      <x:c r="G247" s="88" t="n">
        <x:v>0</x:v>
      </x:c>
      <x:c r="H247" s="88" t="n">
        <x:v>1</x:v>
      </x:c>
      <x:c r="I247" s="88" t="str">
        <x:v>Fora da meta principal</x:v>
      </x:c>
      <x:c r="J247" s="89" t="str">
        <x:v>https://hotwheels.fandom.com/wiki/Porsche_Boxster_(prototype)</x:v>
      </x:c>
    </x:row>
    <x:row r="248">
      <x:c r="A248" s="88" t="str">
        <x:v>Porsche</x:v>
      </x:c>
      <x:c r="B248" s="88" t="str">
        <x:v>Porsche Boxster Spyder</x:v>
      </x:c>
      <x:c r="C248" s="88" t="str">
        <x:v>Coleção principal (~1:64)</x:v>
      </x:c>
      <x:c r="D248" s="88" t="n">
        <x:v>2012</x:v>
      </x:c>
      <x:c r="E248" s="88" t="n">
        <x:v>2026</x:v>
      </x:c>
      <x:c r="F248" s="88" t="n">
        <x:v>6</x:v>
      </x:c>
      <x:c r="G248" s="88" t="n">
        <x:v>6</x:v>
      </x:c>
      <x:c r="H248" s="88" t="n">
        <x:v>0</x:v>
      </x:c>
      <x:c r="I248" s="88" t="str">
        <x:v>2 — Completar aos poucos</x:v>
      </x:c>
      <x:c r="J248" s="89" t="str">
        <x:v>https://hotwheels.fandom.com/wiki/Porsche_Boxster_Spyder</x:v>
      </x:c>
    </x:row>
    <x:row r="249">
      <x:c r="A249" s="88" t="str">
        <x:v>Porsche</x:v>
      </x:c>
      <x:c r="B249" s="88" t="str">
        <x:v>Porsche Boxster Spyder (Micro)</x:v>
      </x:c>
      <x:c r="C249" s="88" t="str">
        <x:v>Micro</x:v>
      </x:c>
      <x:c r="D249" s="88" t="n">
        <x:v>1997</x:v>
      </x:c>
      <x:c r="E249" s="88" t="n">
        <x:v>2003</x:v>
      </x:c>
      <x:c r="F249" s="88" t="n">
        <x:v>7</x:v>
      </x:c>
      <x:c r="G249" s="88" t="n">
        <x:v>0</x:v>
      </x:c>
      <x:c r="H249" s="88" t="n">
        <x:v>7</x:v>
      </x:c>
      <x:c r="I249" s="88" t="str">
        <x:v>Fora da meta principal</x:v>
      </x:c>
      <x:c r="J249" s="89" t="str">
        <x:v>https://hotwheels.fandom.com/wiki/Porsche_Boxster_Spyder_(Micro)</x:v>
      </x:c>
    </x:row>
    <x:row r="250">
      <x:c r="A250" s="88" t="str">
        <x:v>Porsche</x:v>
      </x:c>
      <x:c r="B250" s="88" t="str">
        <x:v>Porsche Carrera 10 (Gran Toros)</x:v>
      </x:c>
      <x:c r="C250" s="88" t="str">
        <x:v>Linha vintage / escala variável</x:v>
      </x:c>
      <x:c r="D250" s="88" t="n">
        <x:v>1970</x:v>
      </x:c>
      <x:c r="E250" s="88" t="n">
        <x:v>1970</x:v>
      </x:c>
      <x:c r="F250" s="88" t="n">
        <x:v>3</x:v>
      </x:c>
      <x:c r="G250" s="88" t="n">
        <x:v>0</x:v>
      </x:c>
      <x:c r="H250" s="88" t="n">
        <x:v>3</x:v>
      </x:c>
      <x:c r="I250" s="88" t="str">
        <x:v>2 — Completar aos poucos</x:v>
      </x:c>
      <x:c r="J250" s="89" t="str">
        <x:v>https://hotwheels.fandom.com/wiki/Porsche_Carrera_10_(Gran_Toros)</x:v>
      </x:c>
    </x:row>
    <x:row r="251">
      <x:c r="A251" s="88" t="str">
        <x:v>Porsche</x:v>
      </x:c>
      <x:c r="B251" s="88" t="str">
        <x:v>Porsche Carrera 10 (Sizzlers)</x:v>
      </x:c>
      <x:c r="C251" s="88" t="str">
        <x:v>Sizzlers/Scorchers</x:v>
      </x:c>
      <x:c r="D251" s="88" t="n">
        <x:v>1970</x:v>
      </x:c>
      <x:c r="E251" s="88" t="n">
        <x:v>1970</x:v>
      </x:c>
      <x:c r="F251" s="88" t="n">
        <x:v>1</x:v>
      </x:c>
      <x:c r="G251" s="88" t="n">
        <x:v>0</x:v>
      </x:c>
      <x:c r="H251" s="88" t="n">
        <x:v>1</x:v>
      </x:c>
      <x:c r="I251" s="88" t="str">
        <x:v>2 — Completar aos poucos</x:v>
      </x:c>
      <x:c r="J251" s="89" t="str">
        <x:v>https://hotwheels.fandom.com/wiki/Porsche_Carrera_10_(Sizzlers)</x:v>
      </x:c>
    </x:row>
    <x:row r="252">
      <x:c r="A252" s="88" t="str">
        <x:v>Porsche</x:v>
      </x:c>
      <x:c r="B252" s="88" t="str">
        <x:v>Porsche Carrera GT</x:v>
      </x:c>
      <x:c r="C252" s="88" t="str">
        <x:v>Coleção principal (~1:64)</x:v>
      </x:c>
      <x:c r="D252" s="88" t="n">
        <x:v>2006</x:v>
      </x:c>
      <x:c r="E252" s="88" t="n">
        <x:v>2025</x:v>
      </x:c>
      <x:c r="F252" s="88" t="n">
        <x:v>19</x:v>
      </x:c>
      <x:c r="G252" s="88" t="n">
        <x:v>19</x:v>
      </x:c>
      <x:c r="H252" s="88" t="n">
        <x:v>0</x:v>
      </x:c>
      <x:c r="I252" s="88" t="str">
        <x:v>1 — Comprar agora</x:v>
      </x:c>
      <x:c r="J252" s="89" t="str">
        <x:v>https://hotwheels.fandom.com/wiki/Porsche_Carrera_GT</x:v>
      </x:c>
    </x:row>
    <x:row r="253">
      <x:c r="A253" s="88" t="str">
        <x:v>Porsche</x:v>
      </x:c>
      <x:c r="B253" s="88" t="str">
        <x:v>Porsche Cayman (1:87)</x:v>
      </x:c>
      <x:c r="C253" s="88" t="str">
        <x:v>Escala 1:87</x:v>
      </x:c>
      <x:c r="D253" s="88" t="n">
        <x:v>2007</x:v>
      </x:c>
      <x:c r="E253" s="88" t="n">
        <x:v>2008</x:v>
      </x:c>
      <x:c r="F253" s="88" t="n">
        <x:v>5</x:v>
      </x:c>
      <x:c r="G253" s="88" t="n">
        <x:v>0</x:v>
      </x:c>
      <x:c r="H253" s="88" t="n">
        <x:v>5</x:v>
      </x:c>
      <x:c r="I253" s="88" t="str">
        <x:v>Fora da meta principal</x:v>
      </x:c>
      <x:c r="J253" s="89" t="str">
        <x:v>https://hotwheels.fandom.com/wiki/Porsche_Cayman_(1:87)</x:v>
      </x:c>
    </x:row>
    <x:row r="254">
      <x:c r="A254" s="88" t="str">
        <x:v>Porsche</x:v>
      </x:c>
      <x:c r="B254" s="88" t="str">
        <x:v>Porsche Cayman S</x:v>
      </x:c>
      <x:c r="C254" s="88" t="str">
        <x:v>Coleção principal (~1:64)</x:v>
      </x:c>
      <x:c r="D254" s="88" t="n">
        <x:v>2007</x:v>
      </x:c>
      <x:c r="E254" s="88" t="n">
        <x:v>2026</x:v>
      </x:c>
      <x:c r="F254" s="88" t="n">
        <x:v>18</x:v>
      </x:c>
      <x:c r="G254" s="88" t="n">
        <x:v>18</x:v>
      </x:c>
      <x:c r="H254" s="88" t="n">
        <x:v>0</x:v>
      </x:c>
      <x:c r="I254" s="88" t="str">
        <x:v>1 — Comprar agora</x:v>
      </x:c>
      <x:c r="J254" s="89" t="str">
        <x:v>https://hotwheels.fandom.com/wiki/Porsche_Cayman_S</x:v>
      </x:c>
    </x:row>
    <x:row r="255">
      <x:c r="A255" s="88" t="str">
        <x:v>Porsche</x:v>
      </x:c>
      <x:c r="B255" s="88" t="str">
        <x:v>Porsche GT3 (1:18)</x:v>
      </x:c>
      <x:c r="C255" s="88" t="str">
        <x:v>Escala 1:18</x:v>
      </x:c>
      <x:c r="D255" s="88" t="n">
        <x:v>2003</x:v>
      </x:c>
      <x:c r="E255" s="88" t="n">
        <x:v>2003</x:v>
      </x:c>
      <x:c r="F255" s="88" t="n">
        <x:v>5</x:v>
      </x:c>
      <x:c r="G255" s="88" t="n">
        <x:v>0</x:v>
      </x:c>
      <x:c r="H255" s="88" t="n">
        <x:v>5</x:v>
      </x:c>
      <x:c r="I255" s="88" t="str">
        <x:v>Fora da meta principal</x:v>
      </x:c>
      <x:c r="J255" s="89" t="str">
        <x:v>https://hotwheels.fandom.com/wiki/Porsche_GT3_(1:18)</x:v>
      </x:c>
    </x:row>
    <x:row r="256">
      <x:c r="A256" s="88" t="str">
        <x:v>Porsche</x:v>
      </x:c>
      <x:c r="B256" s="88" t="str">
        <x:v>Porsche Panamera</x:v>
      </x:c>
      <x:c r="C256" s="88" t="str">
        <x:v>Coleção principal (~1:64)</x:v>
      </x:c>
      <x:c r="D256" s="88" t="n">
        <x:v>2014</x:v>
      </x:c>
      <x:c r="E256" s="88" t="n">
        <x:v>2019</x:v>
      </x:c>
      <x:c r="F256" s="88" t="n">
        <x:v>10</x:v>
      </x:c>
      <x:c r="G256" s="88" t="n">
        <x:v>10</x:v>
      </x:c>
      <x:c r="H256" s="88" t="n">
        <x:v>0</x:v>
      </x:c>
      <x:c r="I256" s="88" t="str">
        <x:v>2 — Completar aos poucos</x:v>
      </x:c>
      <x:c r="J256" s="89" t="str">
        <x:v>https://hotwheels.fandom.com/wiki/Porsche_Panamera</x:v>
      </x:c>
    </x:row>
    <x:row r="257">
      <x:c r="A257" s="88" t="str">
        <x:v>Porsche</x:v>
      </x:c>
      <x:c r="B257" s="88" t="str">
        <x:v>Porsche Panamera Turbo S E-Hybrid Sport Turismo</x:v>
      </x:c>
      <x:c r="C257" s="88" t="str">
        <x:v>Coleção principal (~1:64)</x:v>
      </x:c>
      <x:c r="D257" s="88" t="n">
        <x:v>2019</x:v>
      </x:c>
      <x:c r="E257" s="88" t="n">
        <x:v>2025</x:v>
      </x:c>
      <x:c r="F257" s="88" t="n">
        <x:v>7</x:v>
      </x:c>
      <x:c r="G257" s="88" t="n">
        <x:v>7</x:v>
      </x:c>
      <x:c r="H257" s="88" t="n">
        <x:v>0</x:v>
      </x:c>
      <x:c r="I257" s="88" t="str">
        <x:v>1 — Comprar agora</x:v>
      </x:c>
      <x:c r="J257" s="89" t="str">
        <x:v>https://hotwheels.fandom.com/wiki/Porsche_Panamera_Turbo_S_E-Hybrid_Sport_Turismo</x:v>
      </x:c>
    </x:row>
    <x:row r="258">
      <x:c r="A258" s="88" t="str">
        <x:v>Porsche</x:v>
      </x:c>
      <x:c r="B258" s="88" t="str">
        <x:v>Porsche Taycan Turbo S</x:v>
      </x:c>
      <x:c r="C258" s="88" t="str">
        <x:v>Coleção principal (~1:64)</x:v>
      </x:c>
      <x:c r="D258" s="88" t="n">
        <x:v>2021</x:v>
      </x:c>
      <x:c r="E258" s="88" t="n">
        <x:v>2026</x:v>
      </x:c>
      <x:c r="F258" s="88" t="n">
        <x:v>8</x:v>
      </x:c>
      <x:c r="G258" s="88" t="n">
        <x:v>8</x:v>
      </x:c>
      <x:c r="H258" s="88" t="n">
        <x:v>0</x:v>
      </x:c>
      <x:c r="I258" s="88" t="str">
        <x:v>1 — Comprar agora</x:v>
      </x:c>
      <x:c r="J258" s="89" t="str">
        <x:v>https://hotwheels.fandom.com/wiki/Porsche_Taycan_Turbo_S</x:v>
      </x:c>
    </x:row>
    <x:row r="259">
      <x:c r="A259" s="88" t="str">
        <x:v>Porsche</x:v>
      </x:c>
      <x:c r="B259" s="88" t="str">
        <x:v>Porsche Taycan Turbo S Cross Turismo</x:v>
      </x:c>
      <x:c r="C259" s="88" t="str">
        <x:v>Escala 1:43</x:v>
      </x:c>
      <x:c r="D259" s="88" t="n">
        <x:v>2024</x:v>
      </x:c>
      <x:c r="E259" s="88" t="n">
        <x:v>2024</x:v>
      </x:c>
      <x:c r="F259" s="88" t="n">
        <x:v>1</x:v>
      </x:c>
      <x:c r="G259" s="88" t="n">
        <x:v>0</x:v>
      </x:c>
      <x:c r="H259" s="88" t="n">
        <x:v>1</x:v>
      </x:c>
      <x:c r="I259" s="88" t="str">
        <x:v>Fora da meta principal</x:v>
      </x:c>
      <x:c r="J259" s="89" t="str">
        <x:v>https://hotwheels.fandom.com/wiki/Porsche_Taycan_Turbo_S_Cross_Turismo</x:v>
      </x:c>
    </x:row>
    <x:row r="260">
      <x:c r="A260" s="88" t="str">
        <x:v>Porsche</x:v>
      </x:c>
      <x:c r="B260" s="88" t="str">
        <x:v>RWB Porsche 930</x:v>
      </x:c>
      <x:c r="C260" s="88" t="str">
        <x:v>Coleção principal (~1:64)</x:v>
      </x:c>
      <x:c r="D260" s="88" t="n">
        <x:v>2019</x:v>
      </x:c>
      <x:c r="E260" s="88" t="n">
        <x:v>2025</x:v>
      </x:c>
      <x:c r="F260" s="88" t="n">
        <x:v>3</x:v>
      </x:c>
      <x:c r="G260" s="88" t="n">
        <x:v>3</x:v>
      </x:c>
      <x:c r="H260" s="88" t="n">
        <x:v>0</x:v>
      </x:c>
      <x:c r="I260" s="88" t="str">
        <x:v>1 — Comprar agora</x:v>
      </x:c>
      <x:c r="J260" s="89" t="str">
        <x:v>https://hotwheels.fandom.com/wiki/RWB_Porsche_930</x:v>
      </x:c>
    </x:row>
    <x:row r="261">
      <x:c r="A261" s="88" t="str">
        <x:v>Porsche</x:v>
      </x:c>
      <x:c r="B261" s="88" t="str">
        <x:v>RWB Porsche 930 (RLC)</x:v>
      </x:c>
      <x:c r="C261" s="88" t="str">
        <x:v>Coleção principal (~1:64)</x:v>
      </x:c>
      <x:c r="D261" s="88" t="n">
        <x:v>2020</x:v>
      </x:c>
      <x:c r="E261" s="88" t="n">
        <x:v>2026</x:v>
      </x:c>
      <x:c r="F261" s="88" t="n">
        <x:v>3</x:v>
      </x:c>
      <x:c r="G261" s="88" t="n">
        <x:v>3</x:v>
      </x:c>
      <x:c r="H261" s="88" t="n">
        <x:v>0</x:v>
      </x:c>
      <x:c r="I261" s="88" t="str">
        <x:v>3 — Caça de longo prazo</x:v>
      </x:c>
      <x:c r="J261" s="89" t="str">
        <x:v>https://hotwheels.fandom.com/wiki/RWB_Porsche_930_(RLC)</x:v>
      </x:c>
    </x:row>
    <x:row r="262">
      <x:c r="A262" s="88" t="str">
        <x:v>Porsche</x:v>
      </x:c>
      <x:c r="B262" s="88" t="str">
        <x:v>Tooned Porsche</x:v>
      </x:c>
      <x:c r="C262" s="88" t="str">
        <x:v>Coleção principal (~1:64)</x:v>
      </x:c>
      <x:c r="D262" s="88" t="n">
        <x:v>2026</x:v>
      </x:c>
      <x:c r="E262" s="88" t="n">
        <x:v>2026</x:v>
      </x:c>
      <x:c r="F262" s="88" t="n">
        <x:v>1</x:v>
      </x:c>
      <x:c r="G262" s="88" t="n">
        <x:v>1</x:v>
      </x:c>
      <x:c r="H262" s="88" t="n">
        <x:v>0</x:v>
      </x:c>
      <x:c r="I262" s="88" t="str">
        <x:v>1 — Comprar agora</x:v>
      </x:c>
      <x:c r="J262" s="89" t="str">
        <x:v>https://orangetrackdiecast.com/2026-hot-wheels-master-list-of-all-lines/</x:v>
      </x:c>
    </x:row>
    <x:row r="263">
      <x:c r="A263" s="88" t="str">
        <x:v>Porsche</x:v>
      </x:c>
      <x:c r="B263" s="88" t="str">
        <x:v>Turbo 928</x:v>
      </x:c>
      <x:c r="C263" s="88" t="str">
        <x:v>Sizzlers/Scorchers</x:v>
      </x:c>
      <x:c r="D263" s="88" t="n">
        <x:v>1981</x:v>
      </x:c>
      <x:c r="E263" s="88" t="n">
        <x:v>1981</x:v>
      </x:c>
      <x:c r="F263" s="88" t="n">
        <x:v>2</x:v>
      </x:c>
      <x:c r="G263" s="88" t="n">
        <x:v>0</x:v>
      </x:c>
      <x:c r="H263" s="88" t="n">
        <x:v>2</x:v>
      </x:c>
      <x:c r="I263" s="88" t="str">
        <x:v>2 — Completar aos poucos</x:v>
      </x:c>
      <x:c r="J263" s="89" t="str">
        <x:v>https://hotwheels.fandom.com/wiki/Turbo_928</x:v>
      </x:c>
    </x:row>
    <x:row r="264">
      <x:c r="A264" s="88" t="str">
        <x:v>Porsche</x:v>
      </x:c>
      <x:c r="B264" s="88" t="str">
        <x:v>Upfront 924</x:v>
      </x:c>
      <x:c r="C264" s="88" t="str">
        <x:v>Coleção principal (~1:64)</x:v>
      </x:c>
      <x:c r="D264" s="88" t="n">
        <x:v>1979</x:v>
      </x:c>
      <x:c r="E264" s="88" t="n">
        <x:v>1984</x:v>
      </x:c>
      <x:c r="F264" s="88" t="n">
        <x:v>10</x:v>
      </x:c>
      <x:c r="G264" s="88" t="n">
        <x:v>10</x:v>
      </x:c>
      <x:c r="H264" s="88" t="n">
        <x:v>0</x:v>
      </x:c>
      <x:c r="I264" s="88" t="str">
        <x:v>2 — Completar aos poucos</x:v>
      </x:c>
      <x:c r="J264" s="89" t="str">
        <x:v>https://hotwheels.fandom.com/wiki/Upfront_924</x:v>
      </x:c>
    </x:row>
  </x:sheetData>
  <x:mergeCells>
    <x:mergeCell ref="A1:J1"/>
    <x:mergeCell ref="A2:J2"/>
  </x:mergeCells>
  <x:pageMargins left="0.7" right="0.7" top="0.75" bottom="0.75" header="0.3" footer="0.3"/>
  <x:tableParts count="1">
    <x:tablePart xmlns:r="http://schemas.openxmlformats.org/officeDocument/2006/relationships" r:id="R861483e80229497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s>
  <x:sheetData>
    <x:row r="1">
      <x:c r="A1" s="77" t="str">
        <x:v>Guia de uso e critérios da pesquisa</x:v>
      </x:c>
      <x:c r="B1" s="77"/>
      <x:c r="C1" s="77"/>
      <x:c r="D1" s="77"/>
      <x:c r="E1" s="77"/>
      <x:c r="F1" s="77"/>
      <x:c r="G1" s="77"/>
      <x:c r="H1" s="77"/>
    </x:row>
    <x:row r="2">
      <x:c r="A2" s="58"/>
      <x:c r="B2" s="58"/>
      <x:c r="C2" s="58"/>
      <x:c r="D2" s="58"/>
      <x:c r="E2" s="58"/>
      <x:c r="F2" s="58"/>
      <x:c r="G2" s="58"/>
      <x:c r="H2" s="58"/>
    </x:row>
    <x:row r="3">
      <x:c r="A3" s="68" t="str">
        <x:v>Tema</x:v>
      </x:c>
      <x:c r="B3" s="68" t="str">
        <x:v>Critério adotado</x:v>
      </x:c>
      <x:c r="C3" s="58"/>
      <x:c r="D3" s="58"/>
      <x:c r="E3" s="58"/>
      <x:c r="F3" s="58"/>
      <x:c r="G3" s="58"/>
      <x:c r="H3" s="58"/>
    </x:row>
    <x:row r="4">
      <x:c r="A4" s="90" t="str">
        <x:v>Objetivo</x:v>
      </x:c>
      <x:c r="B4" s="69" t="str">
        <x:v>Checklist de compra para coleção pessoal de Hot Wheels BMW, Porsche e Ferrari.</x:v>
      </x:c>
      <x:c r="C4" s="58"/>
      <x:c r="D4" s="58"/>
      <x:c r="E4" s="58"/>
      <x:c r="F4" s="58"/>
      <x:c r="G4" s="58"/>
      <x:c r="H4" s="58"/>
    </x:row>
    <x:row r="5">
      <x:c r="A5" s="90" t="str">
        <x:v>Unidade de contagem</x:v>
      </x:c>
      <x:c r="B5" s="69" t="str">
        <x:v>Um lançamento ou uma variação física visível do carrinho. Cor, rodas, tampo, base, vidros ou interior diferentes podem gerar linhas separadas.</x:v>
      </x:c>
      <x:c r="C5" s="58"/>
      <x:c r="D5" s="58"/>
      <x:c r="E5" s="58"/>
      <x:c r="F5" s="58"/>
      <x:c r="G5" s="58"/>
      <x:c r="H5" s="58"/>
    </x:row>
    <x:row r="6">
      <x:c r="A6" s="90" t="str">
        <x:v>O que não foi duplicado</x:v>
      </x:c>
      <x:c r="B6" s="69" t="str">
        <x:v>Mudança apenas de cartela/embalagem, sem alteração visível no veículo.</x:v>
      </x:c>
      <x:c r="C6" s="58"/>
      <x:c r="D6" s="58"/>
      <x:c r="E6" s="58"/>
      <x:c r="F6" s="58"/>
      <x:c r="G6" s="58"/>
      <x:c r="H6" s="58"/>
    </x:row>
    <x:row r="7">
      <x:c r="A7" s="90" t="str">
        <x:v>Coleção principal</x:v>
      </x:c>
      <x:c r="B7" s="69" t="str">
        <x:v>Modelos próximos de 1:64: Mainline, Premium, RLC/HWC, Elite 64, convenções, multipacks, exclusividades e variantes.</x:v>
      </x:c>
      <x:c r="C7" s="58"/>
      <x:c r="D7" s="58"/>
      <x:c r="E7" s="58"/>
      <x:c r="F7" s="58"/>
      <x:c r="G7" s="58"/>
      <x:c r="H7" s="58"/>
    </x:row>
    <x:row r="8">
      <x:c r="A8" s="90" t="str">
        <x:v>Outras linhas</x:v>
      </x:c>
      <x:c r="B8" s="69" t="str">
        <x:v>Escalas 1:18–1:87, Micro, RC, Pull-Back, Hot Wheels XL, Action Racers, Sizzlers/Scorchers, motos e itens vintage de escala variável.</x:v>
      </x:c>
      <x:c r="C8" s="58"/>
      <x:c r="D8" s="58"/>
      <x:c r="E8" s="58"/>
      <x:c r="F8" s="58"/>
      <x:c r="G8" s="58"/>
      <x:c r="H8" s="58"/>
    </x:row>
    <x:row r="9">
      <x:c r="A9" s="90" t="str">
        <x:v>Protótipos</x:v>
      </x:c>
      <x:c r="B9" s="69" t="str">
        <x:v>Mantidos em Outras linhas para registro, com prioridade “fora do objetivo principal”; não são uma recomendação de compra.</x:v>
      </x:c>
      <x:c r="C9" s="58"/>
      <x:c r="D9" s="58"/>
      <x:c r="E9" s="58"/>
      <x:c r="F9" s="58"/>
      <x:c r="G9" s="58"/>
      <x:c r="H9" s="58"/>
    </x:row>
    <x:row r="10">
      <x:c r="A10" s="90" t="str">
        <x:v>2026</x:v>
      </x:c>
      <x:c r="B10" s="69" t="str">
        <x:v>A pesquisa foi fechada em 15/08/2026. Itens ainda não lançados estão marcados para confirmação, porque o ano pode receber alterações.</x:v>
      </x:c>
      <x:c r="C10" s="58"/>
      <x:c r="D10" s="58"/>
      <x:c r="E10" s="58"/>
      <x:c r="F10" s="58"/>
      <x:c r="G10" s="58"/>
      <x:c r="H10" s="58"/>
    </x:row>
    <x:row r="11">
      <x:c r="A11" s="90" t="str">
        <x:v>Raridade</x:v>
      </x:c>
      <x:c r="B11" s="69" t="str">
        <x:v>Estimativa heurística para organizar a busca, não cotação de mercado. Condição, país, variação e embalagem afetam o preço real.</x:v>
      </x:c>
      <x:c r="C11" s="58"/>
      <x:c r="D11" s="58"/>
      <x:c r="E11" s="58"/>
      <x:c r="F11" s="58"/>
      <x:c r="G11" s="58"/>
      <x:c r="H11" s="58"/>
    </x:row>
    <x:row r="12">
      <x:c r="A12" s="90" t="str">
        <x:v>Prioridade 1</x:v>
      </x:c>
      <x:c r="B12" s="69" t="str">
        <x:v>RLC/HWC, convenções, chase/STH/TH, ZAMAC, mail-in e lançamentos de acesso limitado.</x:v>
      </x:c>
      <x:c r="C12" s="58"/>
      <x:c r="D12" s="58"/>
      <x:c r="E12" s="58"/>
      <x:c r="F12" s="58"/>
      <x:c r="G12" s="58"/>
      <x:c r="H12" s="58"/>
    </x:row>
    <x:row r="13">
      <x:c r="A13" s="90" t="str">
        <x:v>Prioridade 2</x:v>
      </x:c>
      <x:c r="B13" s="69" t="str">
        <x:v>Premium, exclusividades e modelos antigos ou incomuns; complete aos poucos.</x:v>
      </x:c>
      <x:c r="C13" s="58"/>
      <x:c r="D13" s="58"/>
      <x:c r="E13" s="58"/>
      <x:c r="F13" s="58"/>
      <x:c r="G13" s="58"/>
      <x:c r="H13" s="58"/>
    </x:row>
    <x:row r="14">
      <x:c r="A14" s="90" t="str">
        <x:v>Prioridade 3</x:v>
      </x:c>
      <x:c r="B14" s="69" t="str">
        <x:v>Mainlines recentes e versões com distribuição mais ampla; compre quando aparecerem por preço justo.</x:v>
      </x:c>
      <x:c r="C14" s="58"/>
      <x:c r="D14" s="58"/>
      <x:c r="E14" s="58"/>
      <x:c r="F14" s="58"/>
      <x:c r="G14" s="58"/>
      <x:c r="H14" s="58"/>
    </x:row>
    <x:row r="15">
      <x:c r="A15" s="90" t="str">
        <x:v>Fontes</x:v>
      </x:c>
      <x:c r="B15" s="69" t="str">
        <x:v>A planilha combina base oficial da Mattel para referência, tabelas comunitárias do Hot Wheels Wiki, lista 2026 e Orange Track Diecast. Cada registro preserva sua URL.</x:v>
      </x:c>
      <x:c r="C15" s="58"/>
      <x:c r="D15" s="58"/>
      <x:c r="E15" s="58"/>
      <x:c r="F15" s="58"/>
      <x:c r="G15" s="58"/>
      <x:c r="H15" s="58"/>
    </x:row>
    <x:row r="16">
      <x:c r="A16" s="90" t="str">
        <x:v>Limitação</x:v>
      </x:c>
      <x:c r="B16" s="69" t="str">
        <x:v>Nenhuma base pública garante 100% das microvariações globais. Linhas com ano/cor em branco refletem lacunas documentais e foram preservadas sem inventar dados.</x:v>
      </x:c>
      <x:c r="C16" s="58"/>
      <x:c r="D16" s="58"/>
      <x:c r="E16" s="58"/>
      <x:c r="F16" s="58"/>
      <x:c r="G16" s="58"/>
      <x:c r="H16" s="58"/>
    </x:row>
  </x:sheetData>
  <x:mergeCells>
    <x:mergeCell ref="A1:H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3" hidden="0" customWidth="1"/>
    <x:col min="2" max="2" width="58" hidden="0" customWidth="1"/>
    <x:col min="3" max="3" width="95" hidden="0" customWidth="1"/>
  </x:cols>
  <x:sheetData>
    <x:row r="1">
      <x:c r="A1" s="77" t="str">
        <x:v>Fontes e trilha de verificação</x:v>
      </x:c>
      <x:c r="B1" s="77"/>
      <x:c r="C1" s="77"/>
    </x:row>
    <x:row r="2">
      <x:c r="A2" s="58"/>
      <x:c r="B2" s="58"/>
      <x:c r="C2" s="58"/>
    </x:row>
    <x:row r="3">
      <x:c r="A3" s="65" t="str">
        <x:v>Fonte</x:v>
      </x:c>
      <x:c r="B3" s="65" t="str">
        <x:v>Uso na pesquisa</x:v>
      </x:c>
      <x:c r="C3" s="65" t="str">
        <x:v>URL</x:v>
      </x:c>
    </x:row>
    <x:row r="4">
      <x:c r="A4" s="91" t="str">
        <x:v>Hot Wheels Showcase — Mattel</x:v>
      </x:c>
      <x:c r="B4" s="91" t="str">
        <x:v>Referência oficial para o catálogo histórico e campos de identificação.</x:v>
      </x:c>
      <x:c r="C4" s="91" t="str">
        <x:v>https://creations.mattel.com/pages/hot-wheels-showcase</x:v>
      </x:c>
    </x:row>
    <x:row r="5">
      <x:c r="A5" s="91" t="str">
        <x:v>Mattel × Ferrari</x:v>
      </x:c>
      <x:c r="B5" s="91" t="str">
        <x:v>Confirmação oficial do retorno da parceria e da linha Ferrari a partir de 2025.</x:v>
      </x:c>
      <x:c r="C5" s="91" t="str">
        <x:v>https://corporate.mattel.com/news/hot-wheels-and-ferrari-team-up-for-the-first-time-in-10-years-to-release-a-full-range-of-die-cast-cars-and-collectibles</x:v>
      </x:c>
    </x:row>
    <x:row r="6">
      <x:c r="A6" s="91" t="str">
        <x:v>Hot Wheels Wiki — BMW</x:v>
      </x:c>
      <x:c r="B6" s="91" t="str">
        <x:v>Índice de castings e tabelas de lançamentos/variações BMW.</x:v>
      </x:c>
      <x:c r="C6" s="91" t="str">
        <x:v>https://hotwheels.fandom.com/wiki/BMW</x:v>
      </x:c>
    </x:row>
    <x:row r="7">
      <x:c r="A7" s="91" t="str">
        <x:v>Hot Wheels Wiki — Porsche</x:v>
      </x:c>
      <x:c r="B7" s="91" t="str">
        <x:v>Índice de castings e tabelas de lançamentos/variações Porsche.</x:v>
      </x:c>
      <x:c r="C7" s="91" t="str">
        <x:v>https://hotwheels.fandom.com/wiki/Porsche</x:v>
      </x:c>
    </x:row>
    <x:row r="8">
      <x:c r="A8" s="91" t="str">
        <x:v>Hot Wheels Wiki — Ferrari</x:v>
      </x:c>
      <x:c r="B8" s="91" t="str">
        <x:v>Índice de castings e tabelas de lançamentos/variações Ferrari.</x:v>
      </x:c>
      <x:c r="C8" s="91" t="str">
        <x:v>https://hotwheels.fandom.com/wiki/Ferrari</x:v>
      </x:c>
    </x:row>
    <x:row r="9">
      <x:c r="A9" s="91" t="str">
        <x:v>Hot Wheels Wiki — 2026</x:v>
      </x:c>
      <x:c r="B9" s="91" t="str">
        <x:v>Lista corrente de mainlines 2026, cores, números e exclusividades.</x:v>
      </x:c>
      <x:c r="C9" s="91" t="str">
        <x:v>https://hotwheels.fandom.com/wiki/List_of_2026_Hot_Wheels</x:v>
      </x:c>
    </x:row>
    <x:row r="10">
      <x:c r="A10" s="91" t="str">
        <x:v>Hot Wheels Wiki — dump</x:v>
      </x:c>
      <x:c r="B10" s="91" t="str">
        <x:v>Snapshot público das páginas usado para processar as tabelas históricas de forma reprodutível.</x:v>
      </x:c>
      <x:c r="C10" s="91" t="str">
        <x:v>https://s3.amazonaws.com/wikia_xml_dumps/h/ho/hotwheels_pages_current.xml.7z</x:v>
      </x:c>
    </x:row>
    <x:row r="11">
      <x:c r="A11" s="91" t="str">
        <x:v>Orange Track Diecast — Casting Database</x:v>
      </x:c>
      <x:c r="B11" s="91" t="str">
        <x:v>Verificação cruzada de castings e linhas.</x:v>
      </x:c>
      <x:c r="C11" s="91" t="str">
        <x:v>https://orangetrackdiecast.com/hot-wheels-casting-database/</x:v>
      </x:c>
    </x:row>
    <x:row r="12">
      <x:c r="A12" s="91" t="str">
        <x:v>Orange Track Diecast — master 2026</x:v>
      </x:c>
      <x:c r="B12" s="91" t="str">
        <x:v>Premium, RLC, convenções, multipacks e linhas temáticas anunciadas em 2026.</x:v>
      </x:c>
      <x:c r="C12" s="91" t="str">
        <x:v>https://orangetrackdiecast.com/2026-hot-wheels-master-list-of-all-lines/</x:v>
      </x:c>
    </x:row>
    <x:row r="13">
      <x:c r="A13" s="91" t="str">
        <x:v>PorscheDB</x:v>
      </x:c>
      <x:c r="B13" s="91" t="str">
        <x:v>Verificação cruzada especializada em variações visíveis de Porsche.</x:v>
      </x:c>
      <x:c r="C13" s="91" t="str">
        <x:v>https://www.porschedb.com/</x:v>
      </x:c>
    </x:row>
  </x:sheetData>
  <x:mergeCells>
    <x:mergeCell ref="A1:C1"/>
  </x:mergeCells>
  <x:pageMargins left="0.7" right="0.7" top="0.75" bottom="0.75" header="0.3" footer="0.3"/>
  <x:tableParts count="1">
    <x:tablePart xmlns:r="http://schemas.openxmlformats.org/officeDocument/2006/relationships" r:id="R431a435e3cdc422f"/>
  </x:tableParts>
</x:worksheet>
</file>